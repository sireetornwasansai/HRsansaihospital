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+รหัส" sheetId="1" r:id="rId5"/>
    <sheet state="visible" name="allstaff" sheetId="2" r:id="rId6"/>
    <sheet state="visible" name="Export" sheetId="3" r:id="rId7"/>
    <sheet state="visible" name="Sheet7" sheetId="4" r:id="rId8"/>
    <sheet state="visible" name="ActivityLog" sheetId="5" r:id="rId9"/>
    <sheet state="visible" name="TransferRequests" sheetId="6" r:id="rId10"/>
    <sheet state="visible" name="Fte sansai hos " sheetId="7" r:id="rId11"/>
    <sheet state="hidden" name="StaffData" sheetId="8" r:id="rId12"/>
  </sheets>
  <definedNames>
    <definedName hidden="1" localSheetId="1" name="_xlnm._FilterDatabase">allstaff!$A$1:$AI$879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">
      <text>
        <t xml:space="preserve">Chamornpan Yenjai:
ตาม ป.จริง
</t>
      </text>
    </comment>
  </commentList>
</comments>
</file>

<file path=xl/sharedStrings.xml><?xml version="1.0" encoding="utf-8"?>
<sst xmlns="http://schemas.openxmlformats.org/spreadsheetml/2006/main" count="28875" uniqueCount="6484">
  <si>
    <t>https://script.google.com/a/macros/sansaihospital.go.th/s/AKfycbxbDTmoSluMcM35zptxZ26Nu4RchZK5MC8T-2IxkeUJzINymjJcbPgWw1aetOrq5hJcMg/exec</t>
  </si>
  <si>
    <t>รหัส admin</t>
  </si>
  <si>
    <t>ลำดับ</t>
  </si>
  <si>
    <t>HRSANSAI2569</t>
  </si>
  <si>
    <t>เพศ</t>
  </si>
  <si>
    <t>ชื่อ นามสกุล</t>
  </si>
  <si>
    <t/>
  </si>
  <si>
    <t>สถานะ</t>
  </si>
  <si>
    <t>ST</t>
  </si>
  <si>
    <t>ชื่อเล่น</t>
  </si>
  <si>
    <t>รูป</t>
  </si>
  <si>
    <t>เหลือปี</t>
  </si>
  <si>
    <t>เกษียณในวันที่</t>
  </si>
  <si>
    <t>ปัด</t>
  </si>
  <si>
    <t>บัตรประชาชน</t>
  </si>
  <si>
    <t>เบอร์โทรศัพท์</t>
  </si>
  <si>
    <t>วันเกิด</t>
  </si>
  <si>
    <t>1,097</t>
  </si>
  <si>
    <t xml:space="preserve">1. กราฟ อัตรากำลัง ภารกิจ ** รอตรวจสอบเลขอีกที เลขอัตรากำลังภารกิจ เลขกอัตราการกำลังกลุ่มงาน
2.  *** แยกการมองเห็นของข้อมูล ผู้เยี่ยมชม ให้เห็นเฉพาะ ภาพรวม กลุ่มภารกิจ กับ อัตรากำลังรายวิชาชีพ(ตำแหน่ง) + กราฟเรดาห์ ต่างๆ (ไม่ให้เห็นส่วนของรายละเอียดที่ว่า มี แต่ละแท่งประเภทกี่คน ขรก พกส พรก รายเดือน รายวัน 
3. เพิ่มแท่ง ในกราฟกลุ่มงาน ต้องมีสนับสนุน/วิชาชีพ (โดยแยกแท่ง ปฏิบัติงาน(1) กับแท่งกรอบ(1) แยกสนับสนุน วิชาชีพ )
กราฟเรดาห์เพิ่ม อันดับอื่นๆด้วย โดยการใช้ฟังก์ชันกดเลื่อนไปด้านขวา เพื่อดูอันดับถัดไป
4. กราฟความมั่นคงการจ้าง - กรอบตามกลุ่มงาน + กรอบตามตำแหน่ง ดูแยกกันได้ สามารถระบุได้แบบแยกกัน
5. เกณฑ์การสรุปรายงาน จะไม่รวมตำแหน่งที่เป็น รายวัน แต่ให้ทำแยก 2 ฉบับได้  (ฉบับที่มีรายวัน กับฉบับที่ไม่รวมรายวัน)
</t>
  </si>
  <si>
    <t>นางสาวรุจิพร     แก้ววังศรี</t>
  </si>
  <si>
    <t>ช่วยราชการ</t>
  </si>
  <si>
    <t>03</t>
  </si>
  <si>
    <t>อ๋อมแอ๋ม</t>
  </si>
  <si>
    <t>True</t>
  </si>
  <si>
    <t>27</t>
  </si>
  <si>
    <t>30/9/2596</t>
  </si>
  <si>
    <t>ปกติ</t>
  </si>
  <si>
    <t>1500300138222</t>
  </si>
  <si>
    <t>091-859-2178</t>
  </si>
  <si>
    <t>1,262</t>
  </si>
  <si>
    <t>นางมัณฑกานต์   เครือเตจ๊ะ</t>
  </si>
  <si>
    <t>หล้า</t>
  </si>
  <si>
    <t>10</t>
  </si>
  <si>
    <t>30/9/2579</t>
  </si>
  <si>
    <t>3560100868967</t>
  </si>
  <si>
    <t>064-478-7453</t>
  </si>
  <si>
    <t>1,315</t>
  </si>
  <si>
    <t>นายทักษิณ    ประพฤติ</t>
  </si>
  <si>
    <t>อาร์ท</t>
  </si>
  <si>
    <t>16</t>
  </si>
  <si>
    <t>30/9/2585</t>
  </si>
  <si>
    <t>3500900448857</t>
  </si>
  <si>
    <t>064-342-2999</t>
  </si>
  <si>
    <t>1</t>
  </si>
  <si>
    <t>นางสาวสรัสวัลญ์  สุนันต๊ะ</t>
  </si>
  <si>
    <t>ทำงานปกติ</t>
  </si>
  <si>
    <t>01</t>
  </si>
  <si>
    <t>-</t>
  </si>
  <si>
    <t>False</t>
  </si>
  <si>
    <t>35</t>
  </si>
  <si>
    <t>30/9/2604</t>
  </si>
  <si>
    <t>1500701288951</t>
  </si>
  <si>
    <t>084-254-0821</t>
  </si>
  <si>
    <t>2</t>
  </si>
  <si>
    <t>นายธนากร  ดาซอ</t>
  </si>
  <si>
    <t>41</t>
  </si>
  <si>
    <t>30/9/2610</t>
  </si>
  <si>
    <t>2501801181677</t>
  </si>
  <si>
    <t>080-335-3390</t>
  </si>
  <si>
    <t>3</t>
  </si>
  <si>
    <t>นางสาวณัฐชฎลภ์  อินทนนท์</t>
  </si>
  <si>
    <t>38</t>
  </si>
  <si>
    <t>30/9/2607</t>
  </si>
  <si>
    <t>1509966346183</t>
  </si>
  <si>
    <t>061-667-8992</t>
  </si>
  <si>
    <t>4</t>
  </si>
  <si>
    <t>นางสาวธัญพิชชา  ปะสี</t>
  </si>
  <si>
    <t>37</t>
  </si>
  <si>
    <t>30/9/2606</t>
  </si>
  <si>
    <t>1579901005888</t>
  </si>
  <si>
    <t>098-801-1480</t>
  </si>
  <si>
    <t>5</t>
  </si>
  <si>
    <t>นายธนานพ  ศรีจันทร์</t>
  </si>
  <si>
    <t>นพ</t>
  </si>
  <si>
    <t>1320300350762</t>
  </si>
  <si>
    <t>092-519-8847</t>
  </si>
  <si>
    <t>6</t>
  </si>
  <si>
    <t>นายadmin.tae  nopparat</t>
  </si>
  <si>
    <t>tae</t>
  </si>
  <si>
    <t>-533</t>
  </si>
  <si>
    <t>30/9/2036</t>
  </si>
  <si>
    <t>+1 ปี</t>
  </si>
  <si>
    <t>8888888888888</t>
  </si>
  <si>
    <t>10/2/1432</t>
  </si>
  <si>
    <t>7</t>
  </si>
  <si>
    <t>นายบารมี  บุญเลิศ</t>
  </si>
  <si>
    <t>ผอ.</t>
  </si>
  <si>
    <t>8</t>
  </si>
  <si>
    <t>30/9/2577</t>
  </si>
  <si>
    <t>3120200251281</t>
  </si>
  <si>
    <t>นายสิทธิศักดิ์  ขัตติยะ</t>
  </si>
  <si>
    <t>แม็ก</t>
  </si>
  <si>
    <t>32</t>
  </si>
  <si>
    <t>30/9/2601</t>
  </si>
  <si>
    <t>1630400089940</t>
  </si>
  <si>
    <t>095-687-5847</t>
  </si>
  <si>
    <t>9</t>
  </si>
  <si>
    <t>นายยงยุทธ  บรรพตเกศคีรี</t>
  </si>
  <si>
    <t>ยงยุ</t>
  </si>
  <si>
    <t>42</t>
  </si>
  <si>
    <t>30/9/2611</t>
  </si>
  <si>
    <t>1630500235034</t>
  </si>
  <si>
    <t>082-227-2502</t>
  </si>
  <si>
    <t>นายทักษ์ดนัย  พัดเล็ก</t>
  </si>
  <si>
    <t>เบนซ์</t>
  </si>
  <si>
    <t>40</t>
  </si>
  <si>
    <t>30/9/2609</t>
  </si>
  <si>
    <t>1638900043806</t>
  </si>
  <si>
    <t>061-327-3325</t>
  </si>
  <si>
    <t>11</t>
  </si>
  <si>
    <t>นายวรรณกร  รำไพ</t>
  </si>
  <si>
    <t>เอก</t>
  </si>
  <si>
    <t>23</t>
  </si>
  <si>
    <t>30/9/2592</t>
  </si>
  <si>
    <t>1560100149565</t>
  </si>
  <si>
    <t>099-443-8667</t>
  </si>
  <si>
    <t>12</t>
  </si>
  <si>
    <t>นายวทัญญู  ปริทัศน์โยธิน</t>
  </si>
  <si>
    <t>ญู</t>
  </si>
  <si>
    <t>1580200069211</t>
  </si>
  <si>
    <t>062-548-1301</t>
  </si>
  <si>
    <t>13</t>
  </si>
  <si>
    <t>นางสาวณัฐปภัสร  กรณ์ศักดิ์โภคิน</t>
  </si>
  <si>
    <t>ดิว</t>
  </si>
  <si>
    <t>24</t>
  </si>
  <si>
    <t>30/9/2593</t>
  </si>
  <si>
    <t>1501600073208</t>
  </si>
  <si>
    <t>094-826-3298</t>
  </si>
  <si>
    <t>14</t>
  </si>
  <si>
    <t>นายธนายุทธ  จองปุ๊ก</t>
  </si>
  <si>
    <t>ยุทธ</t>
  </si>
  <si>
    <t>33</t>
  </si>
  <si>
    <t>30/9/2602</t>
  </si>
  <si>
    <t>1502001075077</t>
  </si>
  <si>
    <t>088-575-4096</t>
  </si>
  <si>
    <t>15</t>
  </si>
  <si>
    <t>นางสาวพิมพกานต์  แก้วเฮ้า</t>
  </si>
  <si>
    <t>พิม</t>
  </si>
  <si>
    <t>1609200001133</t>
  </si>
  <si>
    <t>093-280-8532</t>
  </si>
  <si>
    <t>17</t>
  </si>
  <si>
    <t>นายธิติ  มุสิกะลักษณ์</t>
  </si>
  <si>
    <t>1500701289116</t>
  </si>
  <si>
    <t>18</t>
  </si>
  <si>
    <t>นายกิตติยศ  ตรุณรัตน์</t>
  </si>
  <si>
    <t>36</t>
  </si>
  <si>
    <t>30/9/2605</t>
  </si>
  <si>
    <t>1419902072695</t>
  </si>
  <si>
    <t>19</t>
  </si>
  <si>
    <t>นางจารุวรรณ์  ถนอมบุญ</t>
  </si>
  <si>
    <t>ต้อม</t>
  </si>
  <si>
    <t>30/9/2576</t>
  </si>
  <si>
    <t>3501100077111</t>
  </si>
  <si>
    <t>061-529-6444</t>
  </si>
  <si>
    <t>20</t>
  </si>
  <si>
    <t>นางสาววิชญาพร  วิชัย</t>
  </si>
  <si>
    <t>รวงข้าว</t>
  </si>
  <si>
    <t>1500201270530</t>
  </si>
  <si>
    <t>097-976-1530</t>
  </si>
  <si>
    <t>21</t>
  </si>
  <si>
    <t>นางสาวอภิญญา  ศิลป์ท้าว</t>
  </si>
  <si>
    <t>ฟ้า</t>
  </si>
  <si>
    <t>1509966271451</t>
  </si>
  <si>
    <t>093-280-3734</t>
  </si>
  <si>
    <t>นางสาวมะลิวัลย์  ครองคีรีสิน</t>
  </si>
  <si>
    <t>ไนท์</t>
  </si>
  <si>
    <t>34</t>
  </si>
  <si>
    <t>30/9/2603</t>
  </si>
  <si>
    <t>1500301231048</t>
  </si>
  <si>
    <t>061-036-7841</t>
  </si>
  <si>
    <t>25</t>
  </si>
  <si>
    <t>นางสาวอารีย์  นามเรือง</t>
  </si>
  <si>
    <t>เฟิร์น</t>
  </si>
  <si>
    <t>30/9/2586</t>
  </si>
  <si>
    <t>3580400297370</t>
  </si>
  <si>
    <t>080-849-1217</t>
  </si>
  <si>
    <t>26</t>
  </si>
  <si>
    <t>นายอภินันท์  พันนา</t>
  </si>
  <si>
    <t>เอ</t>
  </si>
  <si>
    <t>1102003306592</t>
  </si>
  <si>
    <t>064-409-0150</t>
  </si>
  <si>
    <t>นางนภัสสร  บ่อสุวรรณ</t>
  </si>
  <si>
    <t>30/9/2588</t>
  </si>
  <si>
    <t>8502084010668</t>
  </si>
  <si>
    <t>28</t>
  </si>
  <si>
    <t>นางสาวพิมพ์ชนก  แซ่ลี</t>
  </si>
  <si>
    <t>นก</t>
  </si>
  <si>
    <t>1502201065504</t>
  </si>
  <si>
    <t>065-587-2545</t>
  </si>
  <si>
    <t>29</t>
  </si>
  <si>
    <t>นางสาวกฤติยา  กรีนแบ๊งค์</t>
  </si>
  <si>
    <t>พริมโรส</t>
  </si>
  <si>
    <t>1139700010829</t>
  </si>
  <si>
    <t>30</t>
  </si>
  <si>
    <t>นางสาวกิ่งแก้ว  ภัทรพรฉัตร</t>
  </si>
  <si>
    <t>ส้มโอ</t>
  </si>
  <si>
    <t>8580173014098</t>
  </si>
  <si>
    <t>062-036-4710</t>
  </si>
  <si>
    <t>31</t>
  </si>
  <si>
    <t>นางสาวนภัส  รุ่งเรืองธนะกิจ</t>
  </si>
  <si>
    <t>30/9/2599</t>
  </si>
  <si>
    <t>1509901670628</t>
  </si>
  <si>
    <t>089-435-0009</t>
  </si>
  <si>
    <t>นางสาวกนิษฐา  ราชชมภู</t>
  </si>
  <si>
    <t>1489500007562</t>
  </si>
  <si>
    <t>097-957-7212</t>
  </si>
  <si>
    <t>นายหนุ่ม  ซอคำ</t>
  </si>
  <si>
    <t>8502076052250</t>
  </si>
  <si>
    <t>090-964-3527</t>
  </si>
  <si>
    <t>นายณัฐภัทร  ศรีวิชัย</t>
  </si>
  <si>
    <t>30/9/2598</t>
  </si>
  <si>
    <t>1509901535861</t>
  </si>
  <si>
    <t>นายพุฒิพงศ์  พวงทอง</t>
  </si>
  <si>
    <t>เป็ก</t>
  </si>
  <si>
    <t>1502001084203</t>
  </si>
  <si>
    <t>095-487-6419</t>
  </si>
  <si>
    <t>นางสาวณัฐธิชา  เสนคำสอน</t>
  </si>
  <si>
    <t>มิ้นท์</t>
  </si>
  <si>
    <t>1398800021854</t>
  </si>
  <si>
    <t>095-447-6621</t>
  </si>
  <si>
    <t>นางสาวมะลิวัลย์  ตาน้อย</t>
  </si>
  <si>
    <t>มะลิ</t>
  </si>
  <si>
    <t>1500701252859</t>
  </si>
  <si>
    <t>083-569-0557</t>
  </si>
  <si>
    <t>39</t>
  </si>
  <si>
    <t>นางสาวณัฐกมล  จันทร์ทิพย์</t>
  </si>
  <si>
    <t>ควีน</t>
  </si>
  <si>
    <t>1500701294756</t>
  </si>
  <si>
    <t>090-320-8815</t>
  </si>
  <si>
    <t>นางสาวเปรมสินี  พลายกลาง</t>
  </si>
  <si>
    <t>แสตมป์</t>
  </si>
  <si>
    <t>1509966239191</t>
  </si>
  <si>
    <t>064-468-3334</t>
  </si>
  <si>
    <t>นายวิทวัส  ศรีนวล</t>
  </si>
  <si>
    <t>1509901659331</t>
  </si>
  <si>
    <t>095-673-2854</t>
  </si>
  <si>
    <t>นางสาวศรีสาวรรณ  มูทา</t>
  </si>
  <si>
    <t>ซีซั่น</t>
  </si>
  <si>
    <t>30/9/2608</t>
  </si>
  <si>
    <t>1500201268471</t>
  </si>
  <si>
    <t>092-657-2199</t>
  </si>
  <si>
    <t>43</t>
  </si>
  <si>
    <t>นางสาวอรจิรา  ลินทะจะกะ</t>
  </si>
  <si>
    <t>บุ๋ม</t>
  </si>
  <si>
    <t>1119902159416</t>
  </si>
  <si>
    <t>090-265-2676</t>
  </si>
  <si>
    <t>44</t>
  </si>
  <si>
    <t>นางสาวนัทชา  นันทชัย</t>
  </si>
  <si>
    <t>ชา</t>
  </si>
  <si>
    <t>5505000009530</t>
  </si>
  <si>
    <t>086-387-5208</t>
  </si>
  <si>
    <t>45</t>
  </si>
  <si>
    <t>นายภูริวรรษ  ธารนพ</t>
  </si>
  <si>
    <t>1505200001394</t>
  </si>
  <si>
    <t>46</t>
  </si>
  <si>
    <t>นางสาวอรปวีณา  ว่างป่อ</t>
  </si>
  <si>
    <t>อร</t>
  </si>
  <si>
    <t>-505</t>
  </si>
  <si>
    <t>30/9/2064</t>
  </si>
  <si>
    <t>1589700025415</t>
  </si>
  <si>
    <t>062-540-1009</t>
  </si>
  <si>
    <t>9/15/1461</t>
  </si>
  <si>
    <t>47</t>
  </si>
  <si>
    <t>นางสาวนันทิยา  แวววรรณจิตร</t>
  </si>
  <si>
    <t>มิ้ว</t>
  </si>
  <si>
    <t>1809902242422</t>
  </si>
  <si>
    <t>084-340-1892</t>
  </si>
  <si>
    <t>2/1/1461</t>
  </si>
  <si>
    <t>48</t>
  </si>
  <si>
    <t>นางสาวปาริชาติ   ศรีสกุล</t>
  </si>
  <si>
    <t>แพรวา</t>
  </si>
  <si>
    <t>1309701275387</t>
  </si>
  <si>
    <t>081-295-9027</t>
  </si>
  <si>
    <t>1/27/1461</t>
  </si>
  <si>
    <t>49</t>
  </si>
  <si>
    <t>นางสาวโยษิตา   วงค์วัน</t>
  </si>
  <si>
    <t>แยม</t>
  </si>
  <si>
    <t>-507</t>
  </si>
  <si>
    <t>30/9/2062</t>
  </si>
  <si>
    <t>1578800008783</t>
  </si>
  <si>
    <t>097-330-6988</t>
  </si>
  <si>
    <t>6/8/1459</t>
  </si>
  <si>
    <t>50</t>
  </si>
  <si>
    <t>นางสาวธนัญญา  แซ่พู่</t>
  </si>
  <si>
    <t>หมี่</t>
  </si>
  <si>
    <t>-508</t>
  </si>
  <si>
    <t>30/9/2061</t>
  </si>
  <si>
    <t>1508600002285</t>
  </si>
  <si>
    <t>093-191-4608</t>
  </si>
  <si>
    <t>9/14/1458</t>
  </si>
  <si>
    <t>51</t>
  </si>
  <si>
    <t>นางสาวอมรรัตน์  คำสร้อย</t>
  </si>
  <si>
    <t>1509900850754</t>
  </si>
  <si>
    <t>091-412-7654</t>
  </si>
  <si>
    <t>52</t>
  </si>
  <si>
    <t>นายศุภวิชญ์  วงษ์สุชัย</t>
  </si>
  <si>
    <t>1509963015232</t>
  </si>
  <si>
    <t>53</t>
  </si>
  <si>
    <t>นางสาวศนิดา  หว่างป่อ</t>
  </si>
  <si>
    <t>นุช</t>
  </si>
  <si>
    <t>1589700003730</t>
  </si>
  <si>
    <t>080-713-9971</t>
  </si>
  <si>
    <t>54</t>
  </si>
  <si>
    <t>นางสาวณัฐวรา  หน่อพิชญ์</t>
  </si>
  <si>
    <t>แนนนี่</t>
  </si>
  <si>
    <t>1507400019116</t>
  </si>
  <si>
    <t>56</t>
  </si>
  <si>
    <t>นางสาวศิริทร  อนุกุล</t>
  </si>
  <si>
    <t>กล้วย</t>
  </si>
  <si>
    <t>1580500122664</t>
  </si>
  <si>
    <t>088-277-9853</t>
  </si>
  <si>
    <t>57</t>
  </si>
  <si>
    <t>นายสุทธิพันธุ์  อักษรพันธ์</t>
  </si>
  <si>
    <t>1104200395549</t>
  </si>
  <si>
    <t>061-335-3579</t>
  </si>
  <si>
    <t>58</t>
  </si>
  <si>
    <t>นางสาวจุฑาทิพย์  เมืองหมอกงาม</t>
  </si>
  <si>
    <t>นี</t>
  </si>
  <si>
    <t>1589800005009</t>
  </si>
  <si>
    <t>064-147-3860</t>
  </si>
  <si>
    <t>59</t>
  </si>
  <si>
    <t>นางสาวธนพร  เพชรเชิดพงษ์</t>
  </si>
  <si>
    <t>1580401278046</t>
  </si>
  <si>
    <t>098-971-3922</t>
  </si>
  <si>
    <t>60</t>
  </si>
  <si>
    <t>นางสาวทิพรดา  จะหละ</t>
  </si>
  <si>
    <t>เอเปค</t>
  </si>
  <si>
    <t>1508900005191</t>
  </si>
  <si>
    <t>086-217-1271</t>
  </si>
  <si>
    <t>61</t>
  </si>
  <si>
    <t>นางสาวนฤมล  คำตั๋น</t>
  </si>
  <si>
    <t>มิ้น</t>
  </si>
  <si>
    <t>1508500006823</t>
  </si>
  <si>
    <t>081-152-5085</t>
  </si>
  <si>
    <t>62</t>
  </si>
  <si>
    <t>นายทนันชัย  บริบูรณ์</t>
  </si>
  <si>
    <t>ตั้ม</t>
  </si>
  <si>
    <t>30/9/2600</t>
  </si>
  <si>
    <t>1560100410859</t>
  </si>
  <si>
    <t>081-541-6237</t>
  </si>
  <si>
    <t>63</t>
  </si>
  <si>
    <t>นางสาวสะอาดทิพย์  โพธิ์ทอง</t>
  </si>
  <si>
    <t>ปีใหม่</t>
  </si>
  <si>
    <t>1580401281241</t>
  </si>
  <si>
    <t>098-651-6702</t>
  </si>
  <si>
    <t>64</t>
  </si>
  <si>
    <t>นายวรินทร  อนุกุล</t>
  </si>
  <si>
    <t>เจมส์</t>
  </si>
  <si>
    <t>1580401272170</t>
  </si>
  <si>
    <t>65</t>
  </si>
  <si>
    <t>นางสาวสิรภัทร  ลักษมีวาณิชย์</t>
  </si>
  <si>
    <t>1949900386841</t>
  </si>
  <si>
    <t>66</t>
  </si>
  <si>
    <t>นางสาวกันทร  บรรพตไพรวัลย์</t>
  </si>
  <si>
    <t>1578000008096</t>
  </si>
  <si>
    <t>093-290-3635</t>
  </si>
  <si>
    <t>67</t>
  </si>
  <si>
    <t>นางสาวพรพรรณ  ใจยะธรรม</t>
  </si>
  <si>
    <t>เจน</t>
  </si>
  <si>
    <t>1509966273160</t>
  </si>
  <si>
    <t>68</t>
  </si>
  <si>
    <t>นางสาวเบญจวรรณ  ไพรประสิทธิผล</t>
  </si>
  <si>
    <t>1580700034165</t>
  </si>
  <si>
    <t>064-863-9180</t>
  </si>
  <si>
    <t>69</t>
  </si>
  <si>
    <t>นางสาวบุณยานุช  ญาณะเปียง</t>
  </si>
  <si>
    <t>1509966338466</t>
  </si>
  <si>
    <t>062-752-6455</t>
  </si>
  <si>
    <t>70</t>
  </si>
  <si>
    <t>นางสาวสุภัสสร  ขาวงาม</t>
  </si>
  <si>
    <t>1571100156929</t>
  </si>
  <si>
    <t>095-452-0685</t>
  </si>
  <si>
    <t>71</t>
  </si>
  <si>
    <t>นางสาวปนัดดา  ธิโน</t>
  </si>
  <si>
    <t>1500201240649</t>
  </si>
  <si>
    <t>093-770-0895</t>
  </si>
  <si>
    <t>72</t>
  </si>
  <si>
    <t>นางสาวบุณยาพร  ญาณะเปียง</t>
  </si>
  <si>
    <t>1509966338474</t>
  </si>
  <si>
    <t>063-513-3381</t>
  </si>
  <si>
    <t>73</t>
  </si>
  <si>
    <t>นางสาวอารียา  ศศิธรบำรุง</t>
  </si>
  <si>
    <t>1500301259783</t>
  </si>
  <si>
    <t>064-695-8209</t>
  </si>
  <si>
    <t>74</t>
  </si>
  <si>
    <t>นางสาวเกสรา  น้อยละ</t>
  </si>
  <si>
    <t>1589800023422</t>
  </si>
  <si>
    <t>096-380-7102</t>
  </si>
  <si>
    <t>75</t>
  </si>
  <si>
    <t>นางสาวสรินยา  คำมก</t>
  </si>
  <si>
    <t>1509966320273</t>
  </si>
  <si>
    <t>094-591-0914</t>
  </si>
  <si>
    <t>76</t>
  </si>
  <si>
    <t>นางสาวศลิษา  สกุลจันทร์งาม</t>
  </si>
  <si>
    <t>ปิงปอง</t>
  </si>
  <si>
    <t>1509966280956</t>
  </si>
  <si>
    <t>098-475-5519</t>
  </si>
  <si>
    <t>77</t>
  </si>
  <si>
    <t>นางสาวธิดารัตน์  ต้นนาค</t>
  </si>
  <si>
    <t>1508500006149</t>
  </si>
  <si>
    <t>088-665-1580</t>
  </si>
  <si>
    <t>79</t>
  </si>
  <si>
    <t>นางสาวมลฤดี  สิริเผ่าพันธ์</t>
  </si>
  <si>
    <t>ไปร์ท</t>
  </si>
  <si>
    <t>1501601153825</t>
  </si>
  <si>
    <t>092-823-7341</t>
  </si>
  <si>
    <t>81</t>
  </si>
  <si>
    <t>นางสาวพิมาลา  เมืองกิจเสมอ</t>
  </si>
  <si>
    <t>วิว</t>
  </si>
  <si>
    <t>30/9/2594</t>
  </si>
  <si>
    <t>1580400134547</t>
  </si>
  <si>
    <t>092-945-2362</t>
  </si>
  <si>
    <t>82</t>
  </si>
  <si>
    <t>นายประจักษ์  จำมะเขือ</t>
  </si>
  <si>
    <t>เมย์</t>
  </si>
  <si>
    <t>1551000051661</t>
  </si>
  <si>
    <t>096-163-1299</t>
  </si>
  <si>
    <t>83</t>
  </si>
  <si>
    <t>นางสาวปวริศา  เจริญสุข</t>
  </si>
  <si>
    <t>เจนนี่</t>
  </si>
  <si>
    <t>1309902989417</t>
  </si>
  <si>
    <t>094-724-3823</t>
  </si>
  <si>
    <t>84</t>
  </si>
  <si>
    <t>นางสาวปริญญา  บวกไธสง</t>
  </si>
  <si>
    <t>1509966282703</t>
  </si>
  <si>
    <t>094-628-8027</t>
  </si>
  <si>
    <t>85</t>
  </si>
  <si>
    <t>นางสาวพิรัลญดา  ปรียาภัสร์สกุล</t>
  </si>
  <si>
    <t>30/9/2595</t>
  </si>
  <si>
    <t>8500976000122</t>
  </si>
  <si>
    <t>092-967-4110</t>
  </si>
  <si>
    <t>88</t>
  </si>
  <si>
    <t>นางสาวปรารถนา  บุญทวี</t>
  </si>
  <si>
    <t>จ๋า</t>
  </si>
  <si>
    <t>30/9/2589</t>
  </si>
  <si>
    <t>1509900382505</t>
  </si>
  <si>
    <t>090-326-7424</t>
  </si>
  <si>
    <t>89</t>
  </si>
  <si>
    <t>นายณัฐพล  จงกิจสมบูรณ์</t>
  </si>
  <si>
    <t>30/9/2597</t>
  </si>
  <si>
    <t>1579900549353</t>
  </si>
  <si>
    <t>91</t>
  </si>
  <si>
    <t>นายณัฐเศรษฐ  โปธายะ</t>
  </si>
  <si>
    <t>แอ๊มป์</t>
  </si>
  <si>
    <t>1509966062355</t>
  </si>
  <si>
    <t>085-653-4636</t>
  </si>
  <si>
    <t>92</t>
  </si>
  <si>
    <t>นายภูมิรพี  นามวงค์</t>
  </si>
  <si>
    <t>1500701264636</t>
  </si>
  <si>
    <t>094-735-1341</t>
  </si>
  <si>
    <t>93</t>
  </si>
  <si>
    <t>นางสาวกานต์รวี  แก้วมา</t>
  </si>
  <si>
    <t>น้ำ</t>
  </si>
  <si>
    <t>1508000001971</t>
  </si>
  <si>
    <t>082-556-9051</t>
  </si>
  <si>
    <t>94</t>
  </si>
  <si>
    <t>นางสาวฐิติรัตน์  เด่นนิมิตร</t>
  </si>
  <si>
    <t>ลิลลี่</t>
  </si>
  <si>
    <t>1589700000170</t>
  </si>
  <si>
    <t>099-294-1117</t>
  </si>
  <si>
    <t>95</t>
  </si>
  <si>
    <t>นางสาวภัทรนันท์  จีวรงคกุล</t>
  </si>
  <si>
    <t>2919900028323</t>
  </si>
  <si>
    <t>064-351-8788</t>
  </si>
  <si>
    <t>96</t>
  </si>
  <si>
    <t>นางสาวภูศณิษา  ไชยหลาก</t>
  </si>
  <si>
    <t>อุ้ม</t>
  </si>
  <si>
    <t>1549900574226</t>
  </si>
  <si>
    <t>97</t>
  </si>
  <si>
    <t>นางพิมลพรรณ  สิงณะราช</t>
  </si>
  <si>
    <t>อ้อม</t>
  </si>
  <si>
    <t>30/9/2582</t>
  </si>
  <si>
    <t>3501400287359</t>
  </si>
  <si>
    <t>090-918-7615</t>
  </si>
  <si>
    <t>98</t>
  </si>
  <si>
    <t>นายขจรเกียรติ  แซ่ว่าง</t>
  </si>
  <si>
    <t>1509966217804</t>
  </si>
  <si>
    <t>095-237-2717</t>
  </si>
  <si>
    <t>99</t>
  </si>
  <si>
    <t>นางสาวนันทภัค  คำมณีเลิศ</t>
  </si>
  <si>
    <t>1509966021241</t>
  </si>
  <si>
    <t>098-009-2093</t>
  </si>
  <si>
    <t>100</t>
  </si>
  <si>
    <t>นางสาวภัควลัญชญ์  ปัญญาพิมพ์</t>
  </si>
  <si>
    <t>1601100270771</t>
  </si>
  <si>
    <t>084-069-7092</t>
  </si>
  <si>
    <t>101</t>
  </si>
  <si>
    <t>นางสาวสกาวฟ้า  จอมฟอง</t>
  </si>
  <si>
    <t>แอน</t>
  </si>
  <si>
    <t>30/9/2584</t>
  </si>
  <si>
    <t>5501190005294</t>
  </si>
  <si>
    <t>081-387-4162</t>
  </si>
  <si>
    <t>102</t>
  </si>
  <si>
    <t>นางสาวดุจดาว  เปี้ยสม</t>
  </si>
  <si>
    <t>3501200599039</t>
  </si>
  <si>
    <t>082-691-1606</t>
  </si>
  <si>
    <t>103</t>
  </si>
  <si>
    <t>นางสาวอนันตญา  เอกปณิธานพงศ์</t>
  </si>
  <si>
    <t>1909800826947</t>
  </si>
  <si>
    <t>061-463-5642</t>
  </si>
  <si>
    <t>104</t>
  </si>
  <si>
    <t>นายธีรวุฒิ  ไหลมี</t>
  </si>
  <si>
    <t>ฟลุ๊ค</t>
  </si>
  <si>
    <t>1509963020805</t>
  </si>
  <si>
    <t>093-274-7336</t>
  </si>
  <si>
    <t>เวลา</t>
  </si>
  <si>
    <t>105</t>
  </si>
  <si>
    <t>นางสาวกฤติน  ไชยรังษี</t>
  </si>
  <si>
    <t>ไอ</t>
  </si>
  <si>
    <t>1509966251956</t>
  </si>
  <si>
    <t>094-945-6994</t>
  </si>
  <si>
    <t>106</t>
  </si>
  <si>
    <t>นางสาวมลนิกา  เปียงวัน</t>
  </si>
  <si>
    <t>1529902099070</t>
  </si>
  <si>
    <t>064-794-1497</t>
  </si>
  <si>
    <t>107</t>
  </si>
  <si>
    <t>นางสาวอภิญญา  แสนโคตร</t>
  </si>
  <si>
    <t>1500701282961</t>
  </si>
  <si>
    <t>065-427-4312</t>
  </si>
  <si>
    <t>108</t>
  </si>
  <si>
    <t>นางสาวกรองทอง  ทองคำ</t>
  </si>
  <si>
    <t>2240401040288</t>
  </si>
  <si>
    <t>065-391-0824</t>
  </si>
  <si>
    <t>109</t>
  </si>
  <si>
    <t>นางสาวณภษร  วงค์นวล</t>
  </si>
  <si>
    <t>1501400072356</t>
  </si>
  <si>
    <t>093-558-8687</t>
  </si>
  <si>
    <t>111</t>
  </si>
  <si>
    <t>นางสาวรลิตา  ชื่นหัตไทย</t>
  </si>
  <si>
    <t>ประเภทกิจกรรม</t>
  </si>
  <si>
    <t>1659900828693</t>
  </si>
  <si>
    <t>062-201-6864</t>
  </si>
  <si>
    <t>112</t>
  </si>
  <si>
    <t>นางสาวอริสรา  เรือนงาม</t>
  </si>
  <si>
    <t>1500601128200</t>
  </si>
  <si>
    <t>099-154-6132</t>
  </si>
  <si>
    <t>บทบาท</t>
  </si>
  <si>
    <t>113</t>
  </si>
  <si>
    <t>นางสาวจิรภิญญา  บุญชัยกมลอากร</t>
  </si>
  <si>
    <t>1110100189480</t>
  </si>
  <si>
    <t>063-114-4094</t>
  </si>
  <si>
    <t>กลุ่มงาน (ผู้เยี่ยมชม)</t>
  </si>
  <si>
    <t>114</t>
  </si>
  <si>
    <t>นายกฤติณัฐ  สมบัติใหม่</t>
  </si>
  <si>
    <t>1509966060336</t>
  </si>
  <si>
    <t>061-792-8771</t>
  </si>
  <si>
    <t>115</t>
  </si>
  <si>
    <t>นางสาวจรรยา  วิชัย</t>
  </si>
  <si>
    <t>ฟิล์ม</t>
  </si>
  <si>
    <t>ผลลัพธ์</t>
  </si>
  <si>
    <t>1508700053400</t>
  </si>
  <si>
    <t>085-518-9169</t>
  </si>
  <si>
    <t>118</t>
  </si>
  <si>
    <t>นายภรัณยู  พุทธรักสกุล</t>
  </si>
  <si>
    <t>รายละเอียด</t>
  </si>
  <si>
    <t>1502201066519</t>
  </si>
  <si>
    <t>065-580-8412</t>
  </si>
  <si>
    <t>ที่แยกประเภท</t>
  </si>
  <si>
    <t>121</t>
  </si>
  <si>
    <t>ยินยอมคุกกี้/ประวัติ</t>
  </si>
  <si>
    <t>นางสาวฉัตรพร  คำใสสุวรรณ</t>
  </si>
  <si>
    <t>1580401302508</t>
  </si>
  <si>
    <t>080-726-1224</t>
  </si>
  <si>
    <t>122</t>
  </si>
  <si>
    <t>นางสาวชญาณี  ริวไสยโดยคีรี</t>
  </si>
  <si>
    <t>1630500162754</t>
  </si>
  <si>
    <t>093-669-4867</t>
  </si>
  <si>
    <t>125</t>
  </si>
  <si>
    <t>นางสาวอริสรา  วงค์เชิดศักดิ์</t>
  </si>
  <si>
    <t>admin_login</t>
  </si>
  <si>
    <t>1589500027414</t>
  </si>
  <si>
    <t>096-131-6626</t>
  </si>
  <si>
    <t>126</t>
  </si>
  <si>
    <t>นางสาวภัทธิรา  ชลธารชนิตกุล</t>
  </si>
  <si>
    <t>1580401307178</t>
  </si>
  <si>
    <t>092-883-0617</t>
  </si>
  <si>
    <t>128</t>
  </si>
  <si>
    <t>นายภานุพงษ์  คำฟู</t>
  </si>
  <si>
    <t>คณะกรรมการทรัพยากรบุคคล/แอดมิน</t>
  </si>
  <si>
    <t>คำนำหน้า</t>
  </si>
  <si>
    <t>1509901545297</t>
  </si>
  <si>
    <t>090-324-0845</t>
  </si>
  <si>
    <t>129</t>
  </si>
  <si>
    <t>success</t>
  </si>
  <si>
    <t>นายสุวรรณ  พงศ์ประทีปชัย</t>
  </si>
  <si>
    <t>1500301248625</t>
  </si>
  <si>
    <t>080-968-0717</t>
  </si>
  <si>
    <t>ชื่อ</t>
  </si>
  <si>
    <t>130</t>
  </si>
  <si>
    <t>นางสาวปภาดา  จิตรบรรจง</t>
  </si>
  <si>
    <t>30/9/2628</t>
  </si>
  <si>
    <t>2819800011322</t>
  </si>
  <si>
    <t>093-715-3982</t>
  </si>
  <si>
    <t>131</t>
  </si>
  <si>
    <t>นางสาวภัทริยาวรรณ  เวียงลอ</t>
  </si>
  <si>
    <t>นามสกุล</t>
  </si>
  <si>
    <t>1560300317381</t>
  </si>
  <si>
    <t>083-319-0886</t>
  </si>
  <si>
    <t>132</t>
  </si>
  <si>
    <t>นางสาววิจิตรา  วาฤทธิ์</t>
  </si>
  <si>
    <t>1520500124918</t>
  </si>
  <si>
    <t>094-507-9193</t>
  </si>
  <si>
    <t>134</t>
  </si>
  <si>
    <t>นายคมสันต์  ภายไธสงค์</t>
  </si>
  <si>
    <t>ก็อต</t>
  </si>
  <si>
    <t>ตำแหน่ง</t>
  </si>
  <si>
    <t>1505200027237</t>
  </si>
  <si>
    <t>096-695-2256</t>
  </si>
  <si>
    <t>135</t>
  </si>
  <si>
    <t>นางสาวณุตตรา  ลาดเด่นพนา</t>
  </si>
  <si>
    <t>ณุต</t>
  </si>
  <si>
    <t>1508900011361</t>
  </si>
  <si>
    <t>081-089-2802</t>
  </si>
  <si>
    <t>136</t>
  </si>
  <si>
    <t>นางสาวแสงรุ้ง  อนันต์ไพสิฐ</t>
  </si>
  <si>
    <t>ตำแหน่งตามโครงสร้าง</t>
  </si>
  <si>
    <t>1500301217070</t>
  </si>
  <si>
    <t>062-476-2043</t>
  </si>
  <si>
    <t>137</t>
  </si>
  <si>
    <t>นางสาวธิดารัตน์  ส่องหล้า</t>
  </si>
  <si>
    <t>1509966194995</t>
  </si>
  <si>
    <t>094-635-4041</t>
  </si>
  <si>
    <t>139</t>
  </si>
  <si>
    <t>นางสาวพิมพ์พิศุทธิ์  ใจสว่าง</t>
  </si>
  <si>
    <t>ระดับ</t>
  </si>
  <si>
    <t>Miss</t>
  </si>
  <si>
    <t>1509966231513</t>
  </si>
  <si>
    <t>091-859-0012</t>
  </si>
  <si>
    <t>140</t>
  </si>
  <si>
    <t>นางสาวบุษลัดดา  แก้วเนิน</t>
  </si>
  <si>
    <t>กวิน</t>
  </si>
  <si>
    <t>1718800032364</t>
  </si>
  <si>
    <t>093-723-6431</t>
  </si>
  <si>
    <t>141</t>
  </si>
  <si>
    <t>ชมพู</t>
  </si>
  <si>
    <t>1509966231613</t>
  </si>
  <si>
    <t>ด้านความเชี่ยวชาญ</t>
  </si>
  <si>
    <t>143</t>
  </si>
  <si>
    <t>นางสาวธันยนิษฐ์  สิงห์คำปอง</t>
  </si>
  <si>
    <t>1100703274616</t>
  </si>
  <si>
    <t>064-080-2705</t>
  </si>
  <si>
    <t>144</t>
  </si>
  <si>
    <t>นายธิติ  เรืองด้วยธรรม</t>
  </si>
  <si>
    <t>1508700005014</t>
  </si>
  <si>
    <t>084-298-0443</t>
  </si>
  <si>
    <t>145</t>
  </si>
  <si>
    <t>นางสาวสุพัตรา  สักลอ</t>
  </si>
  <si>
    <t>เลขที่ตำแหน่ง</t>
  </si>
  <si>
    <t>แพรว</t>
  </si>
  <si>
    <t>1560200078333</t>
  </si>
  <si>
    <t>061-230-5377</t>
  </si>
  <si>
    <t>149</t>
  </si>
  <si>
    <t>นางสาวเขมิกา  แซ่ย่าง</t>
  </si>
  <si>
    <t>เค้ก</t>
  </si>
  <si>
    <t>1502201056963</t>
  </si>
  <si>
    <t>097-190-8547</t>
  </si>
  <si>
    <t>150</t>
  </si>
  <si>
    <t>นางสาวธัญมล  ราวคำ</t>
  </si>
  <si>
    <t>โบว์</t>
  </si>
  <si>
    <t>8571176007824</t>
  </si>
  <si>
    <t>082-026-0312</t>
  </si>
  <si>
    <t>152</t>
  </si>
  <si>
    <t>นายสิวิชาติ  แซ่อั้ง</t>
  </si>
  <si>
    <t>อาอู๋</t>
  </si>
  <si>
    <t>1139900356397</t>
  </si>
  <si>
    <t>098-794-9376</t>
  </si>
  <si>
    <t>154</t>
  </si>
  <si>
    <t>นางสาวพัชริญา  สิงหาทา</t>
  </si>
  <si>
    <t>กาฟิวส์</t>
  </si>
  <si>
    <t>1510101408904</t>
  </si>
  <si>
    <t>065-474-9525</t>
  </si>
  <si>
    <t>155</t>
  </si>
  <si>
    <t>นายจักรกฤษณ์  คงสิบ</t>
  </si>
  <si>
    <t>เกมส์</t>
  </si>
  <si>
    <t>1539900812119</t>
  </si>
  <si>
    <t>ประเภทการจ้าง
ขรก./ พรก./ พกส./ รายวัน/ รายเดือน</t>
  </si>
  <si>
    <t>080-936-7255</t>
  </si>
  <si>
    <t>160</t>
  </si>
  <si>
    <t>นางสาวชัชชญา  สัจจานิจการ</t>
  </si>
  <si>
    <t>นกน่อย</t>
  </si>
  <si>
    <t>1550900054224</t>
  </si>
  <si>
    <t>091-078-0781</t>
  </si>
  <si>
    <t>162</t>
  </si>
  <si>
    <t>นางสาวพัณณิตา  ทาเงิน</t>
  </si>
  <si>
    <t>เบียร์</t>
  </si>
  <si>
    <t>1509901496920</t>
  </si>
  <si>
    <t>081-716-7607</t>
  </si>
  <si>
    <t>163</t>
  </si>
  <si>
    <t>นายไกรลาส  อภิบูลย์</t>
  </si>
  <si>
    <t>1502001081417</t>
  </si>
  <si>
    <t>090-273-6085</t>
  </si>
  <si>
    <t>164</t>
  </si>
  <si>
    <t>นายประชา  แซ่ย่าง</t>
  </si>
  <si>
    <t>วิชาชีพ/สนับสนุน</t>
  </si>
  <si>
    <t>1509901380069</t>
  </si>
  <si>
    <t>093-787-5260</t>
  </si>
  <si>
    <t>167</t>
  </si>
  <si>
    <t>นางสาวขวัญพร  บัวษา</t>
  </si>
  <si>
    <t>1500401158288</t>
  </si>
  <si>
    <t>098-602-6500</t>
  </si>
  <si>
    <t>169</t>
  </si>
  <si>
    <t>นางสาวเกรียงวรา  แซ่เล่า</t>
  </si>
  <si>
    <t>1571300055522</t>
  </si>
  <si>
    <t>092-642-5080</t>
  </si>
  <si>
    <t>170</t>
  </si>
  <si>
    <t>นางสาวมนรดา  อมรทิพย์สกุล</t>
  </si>
  <si>
    <t>มุก</t>
  </si>
  <si>
    <t>1=สายวิชาชีพ
2=สส.วชช
3=สายBack Off
4=สส.Back Off
5=ผู้ช่วยพยาบาล</t>
  </si>
  <si>
    <t>1559900268354</t>
  </si>
  <si>
    <t>171</t>
  </si>
  <si>
    <t>นายภูรงค์  เลาหวิรภาพ</t>
  </si>
  <si>
    <t>1509901428983</t>
  </si>
  <si>
    <t>087-544-4973</t>
  </si>
  <si>
    <t>172</t>
  </si>
  <si>
    <t>นายปวริศพงศ์  เสาร์สาร</t>
  </si>
  <si>
    <t>Sub ย่อยวิชาชีพ/สนับสนุน</t>
  </si>
  <si>
    <t>เปา</t>
  </si>
  <si>
    <t>1559900293031</t>
  </si>
  <si>
    <t>093-138-6042</t>
  </si>
  <si>
    <t>173</t>
  </si>
  <si>
    <t>นางสาวนาธิชา  ฉายาสิงขร</t>
  </si>
  <si>
    <t>1580500114688</t>
  </si>
  <si>
    <t>096-119-5997</t>
  </si>
  <si>
    <t>ป.งาน ตรงตัว ตรงจ.18</t>
  </si>
  <si>
    <t>175</t>
  </si>
  <si>
    <t>นางสาวจันทร์จิรา  อูปคำ</t>
  </si>
  <si>
    <t>แบงค์</t>
  </si>
  <si>
    <t>1102001391011</t>
  </si>
  <si>
    <t>063-234-3543</t>
  </si>
  <si>
    <t>176</t>
  </si>
  <si>
    <t>นายธรณินทร์  ประสาท</t>
  </si>
  <si>
    <t>1579900459664</t>
  </si>
  <si>
    <t>096-638-0591</t>
  </si>
  <si>
    <t>visitor_enter</t>
  </si>
  <si>
    <t>177</t>
  </si>
  <si>
    <t>นายปภิณวิช  กังไพบูลย์</t>
  </si>
  <si>
    <t>โบนัส</t>
  </si>
  <si>
    <t>ป.จริง (เช่น อายุรกรรม)</t>
  </si>
  <si>
    <t>1509966010177</t>
  </si>
  <si>
    <t>096-315-8162</t>
  </si>
  <si>
    <t>ผู้เยี่ยมชม</t>
  </si>
  <si>
    <t>178</t>
  </si>
  <si>
    <t>นายต่อพงศ์  สุวรรณมณี</t>
  </si>
  <si>
    <t>1509901555195</t>
  </si>
  <si>
    <t>095-687-2489</t>
  </si>
  <si>
    <t>179</t>
  </si>
  <si>
    <t>นางสาวพรรณาภา  แก้วสว่าง</t>
  </si>
  <si>
    <t>1100702939231</t>
  </si>
  <si>
    <t>089-555-8508</t>
  </si>
  <si>
    <t>181</t>
  </si>
  <si>
    <t>นางสาวกมลชนก  เชาว์ธุลี</t>
  </si>
  <si>
    <t>1509902776934</t>
  </si>
  <si>
    <t>089-954-6213</t>
  </si>
  <si>
    <t>185</t>
  </si>
  <si>
    <t>กลุ่มงานพัฒนาคุณภาพบริการและมาตรฐาน</t>
  </si>
  <si>
    <t>นางสายสุดา  มานารักษ์</t>
  </si>
  <si>
    <t>กุ้ง</t>
  </si>
  <si>
    <t>30/9/2581</t>
  </si>
  <si>
    <t>ป.จริง (ตัวย่อ เช่น MB5)</t>
  </si>
  <si>
    <t>3501400397146</t>
  </si>
  <si>
    <t>087-295-9126</t>
  </si>
  <si>
    <t>189</t>
  </si>
  <si>
    <t>นางสาวกรรณิการ์  ทรัพย์ปรุง</t>
  </si>
  <si>
    <t>1560300200980</t>
  </si>
  <si>
    <t>090-324-4619</t>
  </si>
  <si>
    <t>193</t>
  </si>
  <si>
    <t>นางสาวอำภา  จันทรชูวิจิตร</t>
  </si>
  <si>
    <t>ป.จริง (ชื่อกลุ่มงานตามโครงสร้าง)</t>
  </si>
  <si>
    <t>ยินยอม</t>
  </si>
  <si>
    <t>เวลาที่ยื่น</t>
  </si>
  <si>
    <t>1580200045915</t>
  </si>
  <si>
    <t>095-334-1440</t>
  </si>
  <si>
    <t>รหัสคำร้อง</t>
  </si>
  <si>
    <t>194</t>
  </si>
  <si>
    <t>ประเภทคำร้อง</t>
  </si>
  <si>
    <t>นายวรศักดิ์  ดำรงอุดมศักดิ์</t>
  </si>
  <si>
    <t>ป.จริง (ภารกิจ)</t>
  </si>
  <si>
    <t>1500301240829</t>
  </si>
  <si>
    <t>061-350-5164</t>
  </si>
  <si>
    <t>196</t>
  </si>
  <si>
    <t>นางจมรพรรณ  เย็นใจ</t>
  </si>
  <si>
    <t>เบอร์โทร</t>
  </si>
  <si>
    <t>งาน จ.18</t>
  </si>
  <si>
    <t>เลขบัตรประชาชน</t>
  </si>
  <si>
    <t>ลูกหว้า</t>
  </si>
  <si>
    <t>กลุ่มงานเดิม</t>
  </si>
  <si>
    <t>หน่วยงานเดิม</t>
  </si>
  <si>
    <t>1549900190541</t>
  </si>
  <si>
    <t>กลุ่มงานปลายทาง</t>
  </si>
  <si>
    <t>200</t>
  </si>
  <si>
    <t>นางสาวหัตถภรณ์  แสงเพชรไพบูรณ์</t>
  </si>
  <si>
    <t>หน่วยงานปลายทาง</t>
  </si>
  <si>
    <t>เหตุผล</t>
  </si>
  <si>
    <t>1500300186634</t>
  </si>
  <si>
    <t>063-117-3982</t>
  </si>
  <si>
    <t>201</t>
  </si>
  <si>
    <t>นายชัชพิสิฐ  วีระพันธ์</t>
  </si>
  <si>
    <t>กลุ่มงาน จ.18</t>
  </si>
  <si>
    <t>1509966249471</t>
  </si>
  <si>
    <t>062-447-0479</t>
  </si>
  <si>
    <t>202</t>
  </si>
  <si>
    <t>นายรัชชานนท์  ริทู</t>
  </si>
  <si>
    <t>1100703217710</t>
  </si>
  <si>
    <t>085-832-2453</t>
  </si>
  <si>
    <t>REQ-20260824-141705-365</t>
  </si>
  <si>
    <t>206</t>
  </si>
  <si>
    <t>นาง</t>
  </si>
  <si>
    <t>นางสาวดวงพร  ปันยวง</t>
  </si>
  <si>
    <t>จมรพรรณ</t>
  </si>
  <si>
    <t>สังกัด ตามจ.18</t>
  </si>
  <si>
    <t>เย็นใจ</t>
  </si>
  <si>
    <t>1571100135166</t>
  </si>
  <si>
    <t>กลุ่มงานทรัพยากรบุคคล</t>
  </si>
  <si>
    <t>064-871-2540</t>
  </si>
  <si>
    <t>ทรัพยากรบุคคล</t>
  </si>
  <si>
    <t>207</t>
  </si>
  <si>
    <t>กลุ่มงานการเงิน</t>
  </si>
  <si>
    <t>งานการเงิน</t>
  </si>
  <si>
    <t>นางสาวสโรชินี  เมฆวงศ์</t>
  </si>
  <si>
    <t>สมัครใจ</t>
  </si>
  <si>
    <t>รอดำเนินการ</t>
  </si>
  <si>
    <t>1509966204869</t>
  </si>
  <si>
    <t>085-620-2469</t>
  </si>
  <si>
    <t>208</t>
  </si>
  <si>
    <t>เลขกลุ่มงาน ป.จริง</t>
  </si>
  <si>
    <t>นางสาวประภัสสร  โตกระแส</t>
  </si>
  <si>
    <t>1560301387455</t>
  </si>
  <si>
    <t>062-691-1291</t>
  </si>
  <si>
    <t>209</t>
  </si>
  <si>
    <t>นางสาวชุลีพร  ปะเหย่</t>
  </si>
  <si>
    <t>1501101122815</t>
  </si>
  <si>
    <t>063-889-9834</t>
  </si>
  <si>
    <t>211</t>
  </si>
  <si>
    <t>นางสาวพิจิตตรา  บุญมี</t>
  </si>
  <si>
    <t>1328800009056</t>
  </si>
  <si>
    <t>ภารกิจ ตามจ.18</t>
  </si>
  <si>
    <t>092-386-6811</t>
  </si>
  <si>
    <t>213</t>
  </si>
  <si>
    <t>นางสาวธนัญชนก  ขันมอน</t>
  </si>
  <si>
    <t>1508500003336</t>
  </si>
  <si>
    <t>092-182-3265</t>
  </si>
  <si>
    <t>215</t>
  </si>
  <si>
    <t>นางสาวณัฐรดา  นิลละออง</t>
  </si>
  <si>
    <t>1589900121639</t>
  </si>
  <si>
    <t>097-929-5962</t>
  </si>
  <si>
    <t>222</t>
  </si>
  <si>
    <t>นางสาวพิชชา  โสภณดารา</t>
  </si>
  <si>
    <t>1509966222221</t>
  </si>
  <si>
    <t>093-032-1754</t>
  </si>
  <si>
    <t>223</t>
  </si>
  <si>
    <t>นายจักรพงษ์  คุณะแสน</t>
  </si>
  <si>
    <t>เลขภารกิจ ป.จริง</t>
  </si>
  <si>
    <t>1510100231971</t>
  </si>
  <si>
    <t>085-524-1971</t>
  </si>
  <si>
    <t>224</t>
  </si>
  <si>
    <t>นางสาวพนิตพิมพ์  เมืองอินทร์</t>
  </si>
  <si>
    <t>1960500278890</t>
  </si>
  <si>
    <t>080-831-2057</t>
  </si>
  <si>
    <t>225</t>
  </si>
  <si>
    <t>นายกัญจนพิทักษ์  ปิยะฉัตราภรณ์</t>
  </si>
  <si>
    <t>1509963054076</t>
  </si>
  <si>
    <t>080-142-4206</t>
  </si>
  <si>
    <t>226</t>
  </si>
  <si>
    <t>นายธนวัฒน์  มอญแสง</t>
  </si>
  <si>
    <t>บาส</t>
  </si>
  <si>
    <t>กรอบย่อย (ตน.ในกง.)</t>
  </si>
  <si>
    <t>1508000006425</t>
  </si>
  <si>
    <t>083-480-0121</t>
  </si>
  <si>
    <t>231</t>
  </si>
  <si>
    <t>นางสาวกุลจิรา  พาณิชย์พิทักษ์</t>
  </si>
  <si>
    <t>1500701300799</t>
  </si>
  <si>
    <t>099-879-8298</t>
  </si>
  <si>
    <t>232</t>
  </si>
  <si>
    <t>นางสาวจันทร์จิรา  แซ่ลี</t>
  </si>
  <si>
    <t>1502201055789</t>
  </si>
  <si>
    <t>080-647-3503</t>
  </si>
  <si>
    <t>233</t>
  </si>
  <si>
    <t>นางสาวหนึ่งฤทัย  สุริโย</t>
  </si>
  <si>
    <t>กรอบหลัก (รวมทั้งกลุ่มงาน)</t>
  </si>
  <si>
    <t>1509966251557</t>
  </si>
  <si>
    <t>096-946-6624</t>
  </si>
  <si>
    <t>235</t>
  </si>
  <si>
    <t>นางสาวธัญญารักษ์  ปิกจุมปู</t>
  </si>
  <si>
    <t>แทม</t>
  </si>
  <si>
    <t>1560100414501</t>
  </si>
  <si>
    <t>093-359-8855</t>
  </si>
  <si>
    <t>238</t>
  </si>
  <si>
    <t>นางสาวณัฐวีการณ์  คำปวง</t>
  </si>
  <si>
    <t>1521000069765</t>
  </si>
  <si>
    <t>093-193-6433</t>
  </si>
  <si>
    <t>239</t>
  </si>
  <si>
    <t>นายศตวรรษ  ราษฎร์ดี</t>
  </si>
  <si>
    <t>1500701304883</t>
  </si>
  <si>
    <t>094-729-3886</t>
  </si>
  <si>
    <t>240</t>
  </si>
  <si>
    <t>นางสาวณัฐกมล  ศรีเที่ยง</t>
  </si>
  <si>
    <t>1509966249528</t>
  </si>
  <si>
    <t>064-763-7608</t>
  </si>
  <si>
    <t>กรอบอัตรากำลัง 
ตามกลุ่มภารกิจ</t>
  </si>
  <si>
    <t>242</t>
  </si>
  <si>
    <t>นางชไมพร  คงมีความดี</t>
  </si>
  <si>
    <t>1500300056404</t>
  </si>
  <si>
    <t>089-954-0825</t>
  </si>
  <si>
    <t>243</t>
  </si>
  <si>
    <t>นายเสกสรรค์  พะบุญรักษ์</t>
  </si>
  <si>
    <t>กรอบอัตรากำลังตามตำแหน่ง</t>
  </si>
  <si>
    <t>1500900196584</t>
  </si>
  <si>
    <t>065-546-3248</t>
  </si>
  <si>
    <t>244</t>
  </si>
  <si>
    <t>นางสาวปวันพัสตร์  บัวระภา</t>
  </si>
  <si>
    <t>1420900255603</t>
  </si>
  <si>
    <t>061-492-5695</t>
  </si>
  <si>
    <t>245</t>
  </si>
  <si>
    <t>นางสาวณัฐธิดา   คลังความดี</t>
  </si>
  <si>
    <t>1580401272803</t>
  </si>
  <si>
    <t>098-363-1848</t>
  </si>
  <si>
    <t>246</t>
  </si>
  <si>
    <t>นายณัฐพล  สุริยะ</t>
  </si>
  <si>
    <t>สถานะ
0=ไม่มีคนครอง
 1=ทำงานปกติ
 2=ลาศึกษา
 3=มาช่วย 
4=ไปช่วย
5=ไปช่วย-มาช่วย ภายใน</t>
  </si>
  <si>
    <t>1501301109413</t>
  </si>
  <si>
    <t>092-882-8334</t>
  </si>
  <si>
    <t>248</t>
  </si>
  <si>
    <t>นางสาวปิยรัตน์  วรรณแก้ว</t>
  </si>
  <si>
    <t>1509901509550</t>
  </si>
  <si>
    <t>080-858-7147</t>
  </si>
  <si>
    <t>251</t>
  </si>
  <si>
    <t>นางสาวญาดา  ติ๊บปาละ</t>
  </si>
  <si>
    <t>1589700024028</t>
  </si>
  <si>
    <t>095-623-2206</t>
  </si>
  <si>
    <t>253</t>
  </si>
  <si>
    <t>หมายเหตุ</t>
  </si>
  <si>
    <t>นางสาวราณีร์  เทพวิชา</t>
  </si>
  <si>
    <t>1500701290378</t>
  </si>
  <si>
    <t>061-269-1222</t>
  </si>
  <si>
    <t>254</t>
  </si>
  <si>
    <t>นางสาวบุญสิตา  คำอ้าย</t>
  </si>
  <si>
    <t>2500401033009</t>
  </si>
  <si>
    <t>062-310-2290</t>
  </si>
  <si>
    <t>255</t>
  </si>
  <si>
    <t>นางธีราภรณ์  กันตีมูล</t>
  </si>
  <si>
    <t>เปียร์</t>
  </si>
  <si>
    <t>3500200312928</t>
  </si>
  <si>
    <t>062-428-5365</t>
  </si>
  <si>
    <t>256</t>
  </si>
  <si>
    <t>นางสาวรัชนี  บัวหลวง</t>
  </si>
  <si>
    <t>3501100224220</t>
  </si>
  <si>
    <t>086-195-6325</t>
  </si>
  <si>
    <t>257</t>
  </si>
  <si>
    <t>นางสาวกุลธิดา  ท้าวภูธร</t>
  </si>
  <si>
    <t>1570400254712</t>
  </si>
  <si>
    <t>062-253-1094</t>
  </si>
  <si>
    <t>ตำแหน่งบริหาร( หัวหน้ากลุ่มงาน...ระบุชื่อกลุ่มงาน)</t>
  </si>
  <si>
    <t>259</t>
  </si>
  <si>
    <t>นางสาวพินพิไล  สุคันธวณิช</t>
  </si>
  <si>
    <t>ผึ้ง</t>
  </si>
  <si>
    <t>1509901293891</t>
  </si>
  <si>
    <t>061-794-1962</t>
  </si>
  <si>
    <t>260</t>
  </si>
  <si>
    <t>นางสาวบุญสิตา  พัฒนะศิลป์</t>
  </si>
  <si>
    <t>จัดกลุ่มกรอบกำลังตามตำแหน่ง(กลุ่มที่ใช้กรอบเดียวกัน)</t>
  </si>
  <si>
    <t>1509966145218</t>
  </si>
  <si>
    <t>092-312-7629</t>
  </si>
  <si>
    <t>261</t>
  </si>
  <si>
    <t>นางสาวรำเพย  เคลือบคลาย</t>
  </si>
  <si>
    <t>1500701289124</t>
  </si>
  <si>
    <t>061-253-7791</t>
  </si>
  <si>
    <t>262</t>
  </si>
  <si>
    <t>นางสาวปัณณิกา  สมฤทธิ์</t>
  </si>
  <si>
    <t>1500700175290</t>
  </si>
  <si>
    <t>082-629-2927</t>
  </si>
  <si>
    <t>264</t>
  </si>
  <si>
    <t>นางสาวจรรยพร  สายเขื่อนสี</t>
  </si>
  <si>
    <t>1580300080267</t>
  </si>
  <si>
    <t>062-249-0278</t>
  </si>
  <si>
    <t>265</t>
  </si>
  <si>
    <t>นายธเนศ  สุขวสันต์สร้าง</t>
  </si>
  <si>
    <t>1500300126666</t>
  </si>
  <si>
    <t>095-221-4496</t>
  </si>
  <si>
    <t>266</t>
  </si>
  <si>
    <t>นายศรัณย์กร  มงคล</t>
  </si>
  <si>
    <t>เอ็ม</t>
  </si>
  <si>
    <t>1509900408733</t>
  </si>
  <si>
    <t>091-180-7888</t>
  </si>
  <si>
    <t>267</t>
  </si>
  <si>
    <t>นางสาวปัญนสรณ์  ด่านสุวรรณ</t>
  </si>
  <si>
    <t>1102500035589</t>
  </si>
  <si>
    <t>081-033-0210</t>
  </si>
  <si>
    <t>269</t>
  </si>
  <si>
    <t>นางสาวพุทธิดา  ค้ำจุนธารา</t>
  </si>
  <si>
    <t>1507400010887</t>
  </si>
  <si>
    <t>082-748-3116</t>
  </si>
  <si>
    <t>270</t>
  </si>
  <si>
    <t>นางสาวศรัณยา  นรากรกูร</t>
  </si>
  <si>
    <t>8580176042327</t>
  </si>
  <si>
    <t>094-695-4456</t>
  </si>
  <si>
    <t>271</t>
  </si>
  <si>
    <t>นางสาวสาวิตรี  วงค์เชื้อ</t>
  </si>
  <si>
    <t>1508000006751</t>
  </si>
  <si>
    <t>065-339-9935</t>
  </si>
  <si>
    <t>272</t>
  </si>
  <si>
    <t>นายพิทวัส  อินถานันท์</t>
  </si>
  <si>
    <t>1500201268284</t>
  </si>
  <si>
    <t>064-507-8418</t>
  </si>
  <si>
    <t>273</t>
  </si>
  <si>
    <t>นายพรภวิษย์  จงมั่นจิตร</t>
  </si>
  <si>
    <t>วันเกิด (พ.ศ.)</t>
  </si>
  <si>
    <t>ปังปอนด์</t>
  </si>
  <si>
    <t>1659901963292</t>
  </si>
  <si>
    <t>084-146-9553</t>
  </si>
  <si>
    <t>274</t>
  </si>
  <si>
    <t>นายธนวัฒน์  มัณฑนศรีสกุล</t>
  </si>
  <si>
    <t>1500900184390</t>
  </si>
  <si>
    <t>065-273-5075</t>
  </si>
  <si>
    <t>275</t>
  </si>
  <si>
    <t>นางสาวพัชรินทร์พร  สดับ</t>
  </si>
  <si>
    <t>1509901325921</t>
  </si>
  <si>
    <t>083-200-3616</t>
  </si>
  <si>
    <t>276</t>
  </si>
  <si>
    <t>นายพรรณวิทย์  บุญเรือง</t>
  </si>
  <si>
    <t>1529902100825</t>
  </si>
  <si>
    <t>080-819-5295</t>
  </si>
  <si>
    <t>277</t>
  </si>
  <si>
    <t>นางรุ่งทิพย์  ศรีเจริญ</t>
  </si>
  <si>
    <t>3500900787490</t>
  </si>
  <si>
    <t>094-661-7325</t>
  </si>
  <si>
    <t>278</t>
  </si>
  <si>
    <t>นางสาวลินดา  ญาดาวนัส</t>
  </si>
  <si>
    <t>30/9/2590</t>
  </si>
  <si>
    <t>1500300063346</t>
  </si>
  <si>
    <t>083-055-9802</t>
  </si>
  <si>
    <t>280</t>
  </si>
  <si>
    <t>นางสาวณัฏฐณิชา  ไชยกันทา</t>
  </si>
  <si>
    <t>มายด์</t>
  </si>
  <si>
    <t>1509901667236</t>
  </si>
  <si>
    <t>098-810-4586</t>
  </si>
  <si>
    <t>281</t>
  </si>
  <si>
    <t>นางสาวจุฑามาศ  คาวาซากิ</t>
  </si>
  <si>
    <t>นางสาว</t>
  </si>
  <si>
    <t>1500701286249</t>
  </si>
  <si>
    <t>085-527-7437</t>
  </si>
  <si>
    <t>286</t>
  </si>
  <si>
    <t>นางสาวอภิญญา  จะข่อย</t>
  </si>
  <si>
    <t>8500484019997</t>
  </si>
  <si>
    <t>083-038-8761</t>
  </si>
  <si>
    <t>287</t>
  </si>
  <si>
    <t>นางสาวกัลยารัตน์  กำแทง</t>
  </si>
  <si>
    <t>1559900424925</t>
  </si>
  <si>
    <t>288</t>
  </si>
  <si>
    <t>นางสาวชนัญชิดา  คงคารำไพ</t>
  </si>
  <si>
    <t>อังคณา</t>
  </si>
  <si>
    <t>1501801189343</t>
  </si>
  <si>
    <t>061-926-2057</t>
  </si>
  <si>
    <t>289</t>
  </si>
  <si>
    <t>นางสาวฉวีวรรณ  กิจโชคประเสริฐ</t>
  </si>
  <si>
    <t>วัน</t>
  </si>
  <si>
    <t>1589700029607</t>
  </si>
  <si>
    <t>093-598-9600</t>
  </si>
  <si>
    <t>290</t>
  </si>
  <si>
    <t>นางสาววิชุดา  กัลยางามเลิศ</t>
  </si>
  <si>
    <t>1500301205781</t>
  </si>
  <si>
    <t>080-124-2501</t>
  </si>
  <si>
    <t>296</t>
  </si>
  <si>
    <t>นางสาวฉันทนา  จันทพร</t>
  </si>
  <si>
    <t>1500701326453</t>
  </si>
  <si>
    <t>082-891-8458</t>
  </si>
  <si>
    <t>อายุยืน</t>
  </si>
  <si>
    <t>297</t>
  </si>
  <si>
    <t>นายศุภณัฐ  ปิ่นสุวรรณ์</t>
  </si>
  <si>
    <t>1659902049764</t>
  </si>
  <si>
    <t>094-705-0898</t>
  </si>
  <si>
    <t>298</t>
  </si>
  <si>
    <t>นางสาวธัญญาลักษณ์  บุญเทียม</t>
  </si>
  <si>
    <t>เจ้าพนักงานการเงินและบัญชี</t>
  </si>
  <si>
    <t>กิ๊ก</t>
  </si>
  <si>
    <t>1500701267449</t>
  </si>
  <si>
    <t>092-470-9614</t>
  </si>
  <si>
    <t>299</t>
  </si>
  <si>
    <t>นายศรีชัย  สร้อยเซียน</t>
  </si>
  <si>
    <t>1502001076812</t>
  </si>
  <si>
    <t>091-812-2818</t>
  </si>
  <si>
    <t>300</t>
  </si>
  <si>
    <t>นางสาวศุภาวรรณ  จันทร์ทิพย์</t>
  </si>
  <si>
    <t>1500701297593</t>
  </si>
  <si>
    <t>097-960-0065</t>
  </si>
  <si>
    <t>301</t>
  </si>
  <si>
    <t>นางสาวนัยนันท์  จันกัด</t>
  </si>
  <si>
    <t>1539900696356</t>
  </si>
  <si>
    <t>099-628-4791</t>
  </si>
  <si>
    <t>302</t>
  </si>
  <si>
    <t>นายภานุพงศ์  แซ่เลี่ยว</t>
  </si>
  <si>
    <t>กล้า</t>
  </si>
  <si>
    <t>1500701258369</t>
  </si>
  <si>
    <t>096-162-6078</t>
  </si>
  <si>
    <t>303</t>
  </si>
  <si>
    <t>นายวรวิช  แซ่เจ๊า</t>
  </si>
  <si>
    <t>1589800025743</t>
  </si>
  <si>
    <t>099-627-8826</t>
  </si>
  <si>
    <t>305</t>
  </si>
  <si>
    <t>นางสาวชนกวนันท์  เลิศบุญสันติ</t>
  </si>
  <si>
    <t>ปฏิบัติงาน</t>
  </si>
  <si>
    <t>1580401293665</t>
  </si>
  <si>
    <t>061-528-6597</t>
  </si>
  <si>
    <t>306</t>
  </si>
  <si>
    <t>นางสาวชุติกานต์  ศิริชัยนันท์</t>
  </si>
  <si>
    <t>1509100004808</t>
  </si>
  <si>
    <t>084-296-8087</t>
  </si>
  <si>
    <t>308</t>
  </si>
  <si>
    <t>นางสาวจินตหรา  คำมีเด</t>
  </si>
  <si>
    <t>1500700126264</t>
  </si>
  <si>
    <t>064-885-9954</t>
  </si>
  <si>
    <t>ไม่มี</t>
  </si>
  <si>
    <t>310</t>
  </si>
  <si>
    <t>นางสาวจันทนา  เลิศสกุลทอง</t>
  </si>
  <si>
    <t>1580500176985</t>
  </si>
  <si>
    <t>090-958-9682</t>
  </si>
  <si>
    <t>311</t>
  </si>
  <si>
    <t>นางสาววีรดา  เชาว์ปัญญา</t>
  </si>
  <si>
    <t>0107094</t>
  </si>
  <si>
    <t>1580500172742</t>
  </si>
  <si>
    <t>095-626-8305</t>
  </si>
  <si>
    <t>315</t>
  </si>
  <si>
    <t>นางสาวกมลวรรณ  คำปวนบุตร</t>
  </si>
  <si>
    <t>1520100127073</t>
  </si>
  <si>
    <t>088-403-3996</t>
  </si>
  <si>
    <t>316</t>
  </si>
  <si>
    <t>ขรก.</t>
  </si>
  <si>
    <t>นางสาวจีฌาญา  เผ่ากันทะ</t>
  </si>
  <si>
    <t>1560101536252</t>
  </si>
  <si>
    <t>095-979-7269</t>
  </si>
  <si>
    <t>318</t>
  </si>
  <si>
    <t>นายกิตติชัย  ยศประเสริฐ</t>
  </si>
  <si>
    <t>30/9/2627</t>
  </si>
  <si>
    <t>1219800233446</t>
  </si>
  <si>
    <t>084-221-3747</t>
  </si>
  <si>
    <t>319</t>
  </si>
  <si>
    <t>นางสาวสุรีรัตน์  อุ่นวิเศษ</t>
  </si>
  <si>
    <t>ซายน์</t>
  </si>
  <si>
    <t>วิชาชีพ</t>
  </si>
  <si>
    <t>1471000191278</t>
  </si>
  <si>
    <t>098-829-8279</t>
  </si>
  <si>
    <t>320</t>
  </si>
  <si>
    <t>นางสาวขจีรัตน์  ยิ่งยอด</t>
  </si>
  <si>
    <t>1500701258776</t>
  </si>
  <si>
    <t>093-210-0596</t>
  </si>
  <si>
    <t>322</t>
  </si>
  <si>
    <t>นางสาวฐิติพร  ถิตย์ประเสริฐ</t>
  </si>
  <si>
    <t>ข้าวฟ่าง</t>
  </si>
  <si>
    <t>1469900115818</t>
  </si>
  <si>
    <t>064-459-5461</t>
  </si>
  <si>
    <t>323</t>
  </si>
  <si>
    <t>นางสาวจุฑามาศ  ใจหลัก</t>
  </si>
  <si>
    <t>1549900388431</t>
  </si>
  <si>
    <t>082-496-7224</t>
  </si>
  <si>
    <t>325</t>
  </si>
  <si>
    <t>นางสาวศศิวิมล  เรือนทิ</t>
  </si>
  <si>
    <t>1500201272613</t>
  </si>
  <si>
    <t>090-488-0264</t>
  </si>
  <si>
    <t>326</t>
  </si>
  <si>
    <t>นายพงษ์ศักดิ์  ดูเจ๊ะ</t>
  </si>
  <si>
    <t>1580300143340</t>
  </si>
  <si>
    <t>082-862-9087</t>
  </si>
  <si>
    <t>330</t>
  </si>
  <si>
    <t>นางสาวสุนารี  ย่าสากล</t>
  </si>
  <si>
    <t>1550500174761</t>
  </si>
  <si>
    <t>332</t>
  </si>
  <si>
    <t>นางวิไลพร  มูลเมือง</t>
  </si>
  <si>
    <t>1100800117929</t>
  </si>
  <si>
    <t>089-155-3048</t>
  </si>
  <si>
    <t>333</t>
  </si>
  <si>
    <t>นายวรากร  ช่อชมภู</t>
  </si>
  <si>
    <t>1500700187417</t>
  </si>
  <si>
    <t>097-960-8678</t>
  </si>
  <si>
    <t>334</t>
  </si>
  <si>
    <t>นางสาวปภัสรา  รัตนะ</t>
  </si>
  <si>
    <t>ตรง</t>
  </si>
  <si>
    <t>ป๊อป</t>
  </si>
  <si>
    <t>1571200083826</t>
  </si>
  <si>
    <t>088-233-4882</t>
  </si>
  <si>
    <t>335</t>
  </si>
  <si>
    <t>นายจันทกรณ์  จีกัน</t>
  </si>
  <si>
    <t>แต๊งค์</t>
  </si>
  <si>
    <t>1510100323549</t>
  </si>
  <si>
    <t>062-608-5255</t>
  </si>
  <si>
    <t>336</t>
  </si>
  <si>
    <t>นางสาวจุฑามาศ  แซ่ย่อง</t>
  </si>
  <si>
    <t>หญิง</t>
  </si>
  <si>
    <t>1520500111034</t>
  </si>
  <si>
    <t>093-169-4638</t>
  </si>
  <si>
    <t>337</t>
  </si>
  <si>
    <t>นายวิทยา  สอนเสนา</t>
  </si>
  <si>
    <t>อัน</t>
  </si>
  <si>
    <t>1579900735041</t>
  </si>
  <si>
    <t>094-732-6956</t>
  </si>
  <si>
    <t>338</t>
  </si>
  <si>
    <t>นายนที  ใจเปรมปรีดี</t>
  </si>
  <si>
    <t>ที</t>
  </si>
  <si>
    <t>1559900291305</t>
  </si>
  <si>
    <t>082-186-2265</t>
  </si>
  <si>
    <t>339</t>
  </si>
  <si>
    <t>นางสาวรดาธันย์   ทองเดช</t>
  </si>
  <si>
    <t>แจ๋วแหวว</t>
  </si>
  <si>
    <t>1640100303024</t>
  </si>
  <si>
    <t xml:space="preserve">   -   -    </t>
  </si>
  <si>
    <t>340</t>
  </si>
  <si>
    <t>นางสาวอรณิชา  แก้วดวงติ๊บ</t>
  </si>
  <si>
    <t>1571100148047</t>
  </si>
  <si>
    <t>065-430-3424</t>
  </si>
  <si>
    <t>341</t>
  </si>
  <si>
    <t>การเงิน</t>
  </si>
  <si>
    <t>นางสาวแพรธินี  ปัทมยุตานนท์</t>
  </si>
  <si>
    <t>แจน</t>
  </si>
  <si>
    <t>1820500055140</t>
  </si>
  <si>
    <t>082-699-4746</t>
  </si>
  <si>
    <t>342</t>
  </si>
  <si>
    <t>นางสาวฐิติรัตน์  วงศ์สุวรรณ</t>
  </si>
  <si>
    <t>เดียร์</t>
  </si>
  <si>
    <t>1509901555578</t>
  </si>
  <si>
    <t>094-601-9652</t>
  </si>
  <si>
    <t>343</t>
  </si>
  <si>
    <t>นางสาวจุฑาลักษณ์  นามกร</t>
  </si>
  <si>
    <t>1509900435463</t>
  </si>
  <si>
    <t>091-858-4718</t>
  </si>
  <si>
    <t>344</t>
  </si>
  <si>
    <t>พญ.ปาณิศา  ฮันตระกูล</t>
  </si>
  <si>
    <t>เกน</t>
  </si>
  <si>
    <t>1620100200268</t>
  </si>
  <si>
    <t>083-962-5522</t>
  </si>
  <si>
    <t>345</t>
  </si>
  <si>
    <t>นางสาวญาดา  มะโต</t>
  </si>
  <si>
    <t>ญาดา</t>
  </si>
  <si>
    <t>1659900644851</t>
  </si>
  <si>
    <t>080-662-4235</t>
  </si>
  <si>
    <t>346</t>
  </si>
  <si>
    <t>นางสาวศศิพิมพ์  ชัยสวัสดิ์</t>
  </si>
  <si>
    <t>พิมพ์</t>
  </si>
  <si>
    <t>1509901482627</t>
  </si>
  <si>
    <t>084-927-2955</t>
  </si>
  <si>
    <t>348</t>
  </si>
  <si>
    <t>นางสาวธีรนุช  บุญทรัพย์</t>
  </si>
  <si>
    <t>ธีรนุช</t>
  </si>
  <si>
    <t>1969800268545</t>
  </si>
  <si>
    <t>063-748-0060</t>
  </si>
  <si>
    <t>349</t>
  </si>
  <si>
    <t>นางสาวณัฏฐ์ลิตา  พวงมาลัย</t>
  </si>
  <si>
    <t>น้ำมนต์</t>
  </si>
  <si>
    <t>1500601120781</t>
  </si>
  <si>
    <t>096-696-2942</t>
  </si>
  <si>
    <t>351</t>
  </si>
  <si>
    <t>นางสาววนัชพร  สอนจันแดง</t>
  </si>
  <si>
    <t>วนัช</t>
  </si>
  <si>
    <t>1190201110404</t>
  </si>
  <si>
    <t>097-979-9019</t>
  </si>
  <si>
    <t>354</t>
  </si>
  <si>
    <t>นางสาวพลอย  พงษ์สอาด</t>
  </si>
  <si>
    <t>พลอย</t>
  </si>
  <si>
    <t>22</t>
  </si>
  <si>
    <t>30/9/2591</t>
  </si>
  <si>
    <t>1309900397024</t>
  </si>
  <si>
    <t>062-406-0030</t>
  </si>
  <si>
    <t>355</t>
  </si>
  <si>
    <t>นายณัทนนท์  ยั่งยืน</t>
  </si>
  <si>
    <t>1509966109009</t>
  </si>
  <si>
    <t>064-932-4451</t>
  </si>
  <si>
    <t>356</t>
  </si>
  <si>
    <t>นางสาวนัฐยา  กิติกูล</t>
  </si>
  <si>
    <t>แพ๊ตตี้</t>
  </si>
  <si>
    <t>1509901226400</t>
  </si>
  <si>
    <t>065-020-1999</t>
  </si>
  <si>
    <t>358</t>
  </si>
  <si>
    <t>นางสาวบุษบากร  สร้อยสังวาลย์</t>
  </si>
  <si>
    <t>หนิง</t>
  </si>
  <si>
    <t>1509901639011</t>
  </si>
  <si>
    <t>092-995-3591</t>
  </si>
  <si>
    <t>359</t>
  </si>
  <si>
    <t>นางสาวสุพิมล  พิลา</t>
  </si>
  <si>
    <t>1509966175851</t>
  </si>
  <si>
    <t>082-298-9709</t>
  </si>
  <si>
    <t>360</t>
  </si>
  <si>
    <t>นางสาวนิจจารีย์  เลาเทาะ</t>
  </si>
  <si>
    <t>1500801096450</t>
  </si>
  <si>
    <t>097-972-5633</t>
  </si>
  <si>
    <t>362</t>
  </si>
  <si>
    <t>นางสาวปนัดดา  อินนา</t>
  </si>
  <si>
    <t>1749900783311</t>
  </si>
  <si>
    <t>080-772-9251</t>
  </si>
  <si>
    <t>365</t>
  </si>
  <si>
    <t>นางสาวเบญจมาศ  ผลจำเริญ</t>
  </si>
  <si>
    <t>เบญ</t>
  </si>
  <si>
    <t>1580500053166</t>
  </si>
  <si>
    <t>083-491-5075</t>
  </si>
  <si>
    <t>366</t>
  </si>
  <si>
    <t>นางสาวสิริญา  กาสพิสิฐ</t>
  </si>
  <si>
    <t>1509900254604</t>
  </si>
  <si>
    <t>099-245-3594</t>
  </si>
  <si>
    <t>368</t>
  </si>
  <si>
    <t>นางสาวพิมพ์วรีย์  โล่ห์จิรกาญจนกุล</t>
  </si>
  <si>
    <t>1560100221576</t>
  </si>
  <si>
    <t>087-360-8544</t>
  </si>
  <si>
    <t>369</t>
  </si>
  <si>
    <t>นายชิตวัน  ฝั้นชมภู</t>
  </si>
  <si>
    <t>ชิด</t>
  </si>
  <si>
    <t>1509901370675</t>
  </si>
  <si>
    <t>รพท.สันทราย</t>
  </si>
  <si>
    <t>091-076-0028</t>
  </si>
  <si>
    <t>370</t>
  </si>
  <si>
    <t>นายเนติพัฒน์  จิตมหาวงศ์</t>
  </si>
  <si>
    <t>เน</t>
  </si>
  <si>
    <t>1102002143142</t>
  </si>
  <si>
    <t>087-311-5454</t>
  </si>
  <si>
    <t>371</t>
  </si>
  <si>
    <t>นางปิยะพรรณ  เมธาวิเศษสวัสดิ์</t>
  </si>
  <si>
    <t>ฝน</t>
  </si>
  <si>
    <t>05</t>
  </si>
  <si>
    <t>1509900510473</t>
  </si>
  <si>
    <t>089-756-8597</t>
  </si>
  <si>
    <t>372</t>
  </si>
  <si>
    <t>นายธนกร  อภิญญาเวศพร</t>
  </si>
  <si>
    <t>1559900125359</t>
  </si>
  <si>
    <t>063-629-1662</t>
  </si>
  <si>
    <t>373</t>
  </si>
  <si>
    <t>นายงานสารสนเทศ  IT</t>
  </si>
  <si>
    <t>IT</t>
  </si>
  <si>
    <t>1111111111119</t>
  </si>
  <si>
    <t>ภารกิจด้านอำนวยการ</t>
  </si>
  <si>
    <t>111-111-1111</t>
  </si>
  <si>
    <t>374</t>
  </si>
  <si>
    <t>นางสาวมณฑินี  ชมมณฑา</t>
  </si>
  <si>
    <t>1909800787445</t>
  </si>
  <si>
    <t>083-205-9610</t>
  </si>
  <si>
    <t>375</t>
  </si>
  <si>
    <t>นายก้าวเกียรติ  สุมิตรเหมาะ</t>
  </si>
  <si>
    <t>ก้าว</t>
  </si>
  <si>
    <t>1429900317615</t>
  </si>
  <si>
    <t>377</t>
  </si>
  <si>
    <t>นางสาวธนภรณ์  คาโพ</t>
  </si>
  <si>
    <t>ธนภรณ์</t>
  </si>
  <si>
    <t>1500801094821</t>
  </si>
  <si>
    <t>085-884-0285</t>
  </si>
  <si>
    <t>379</t>
  </si>
  <si>
    <t>นางสาวชนาธินาถ  ศรีมลยา</t>
  </si>
  <si>
    <t>ชนา</t>
  </si>
  <si>
    <t>1100700829188</t>
  </si>
  <si>
    <t>098-776-4920</t>
  </si>
  <si>
    <t>381</t>
  </si>
  <si>
    <t>นางสาวอชิรญา  คำวัง</t>
  </si>
  <si>
    <t>อชิร</t>
  </si>
  <si>
    <t>1500701262412</t>
  </si>
  <si>
    <t>093-289-5755</t>
  </si>
  <si>
    <t>382</t>
  </si>
  <si>
    <t>นางสาวณพิชญา  เต็ม</t>
  </si>
  <si>
    <t>admin_set_site_info</t>
  </si>
  <si>
    <t>ณพิช</t>
  </si>
  <si>
    <t>1500701261751</t>
  </si>
  <si>
    <t>082-664-8609</t>
  </si>
  <si>
    <t>383</t>
  </si>
  <si>
    <t>นายวิทวัส  แสนมา</t>
  </si>
  <si>
    <t>วิททวัส</t>
  </si>
  <si>
    <t>1560100131739</t>
  </si>
  <si>
    <t>087-303-7309</t>
  </si>
  <si>
    <t>386</t>
  </si>
  <si>
    <t>นายณัฐวัตร  ชุ่มเชื้อ</t>
  </si>
  <si>
    <t>ตาม</t>
  </si>
  <si>
    <t>1500900194573</t>
  </si>
  <si>
    <t>088-584-0182</t>
  </si>
  <si>
    <t>387</t>
  </si>
  <si>
    <t>นายเกียรติภูมิ  อุปนันท์</t>
  </si>
  <si>
    <t>เกียรติภูม</t>
  </si>
  <si>
    <t>1500700192178</t>
  </si>
  <si>
    <t>061-950-4974</t>
  </si>
  <si>
    <t>388</t>
  </si>
  <si>
    <t>นายสรวิชญ์  คำเกิด</t>
  </si>
  <si>
    <t>สรวิชญ์</t>
  </si>
  <si>
    <t>1509901129358</t>
  </si>
  <si>
    <t>066-109-2517</t>
  </si>
  <si>
    <t>392</t>
  </si>
  <si>
    <t>นางสาวพิมผกา  สายแผลง</t>
  </si>
  <si>
    <t>อิ๊บ</t>
  </si>
  <si>
    <t>1579900387612</t>
  </si>
  <si>
    <t>088-942-0722</t>
  </si>
  <si>
    <t>394</t>
  </si>
  <si>
    <t>นายศิวกร  อินจันทร์</t>
  </si>
  <si>
    <t>1509966119837</t>
  </si>
  <si>
    <t>091-628-4395</t>
  </si>
  <si>
    <t>395</t>
  </si>
  <si>
    <t>นางสาวขวัญจิรา  มาลากรอง</t>
  </si>
  <si>
    <t>1500701291609</t>
  </si>
  <si>
    <t>095-597-7111</t>
  </si>
  <si>
    <t>396</t>
  </si>
  <si>
    <t>นางสาวกุนมลี  ทองคูณโชคชัย</t>
  </si>
  <si>
    <t>ตังเออ</t>
  </si>
  <si>
    <t>admin_markdata_updated</t>
  </si>
  <si>
    <t>1500301241931</t>
  </si>
  <si>
    <t>062-576-9002</t>
  </si>
  <si>
    <t>398</t>
  </si>
  <si>
    <t>นางสาววิษา  ต่างใจ</t>
  </si>
  <si>
    <t>วิ</t>
  </si>
  <si>
    <t>1550701178292</t>
  </si>
  <si>
    <t>094-724-7957</t>
  </si>
  <si>
    <t>399</t>
  </si>
  <si>
    <t>นางสาวชลธิชา  สมบูรณ์พูลเพิ่ม</t>
  </si>
  <si>
    <t>1509600001441</t>
  </si>
  <si>
    <t>095-345-3195</t>
  </si>
  <si>
    <t>400</t>
  </si>
  <si>
    <t>นายศราวุธ  ใจโอบอ้อม</t>
  </si>
  <si>
    <t>หัวหน้ากลุ่มงานการเงิน</t>
  </si>
  <si>
    <t>บอมบ์</t>
  </si>
  <si>
    <t>1508500002208</t>
  </si>
  <si>
    <t>082-014-2813</t>
  </si>
  <si>
    <t>402</t>
  </si>
  <si>
    <t>นางสาวจริยาพร  ปลอดภัย</t>
  </si>
  <si>
    <t>จุ๊บแจง</t>
  </si>
  <si>
    <t>1500701297011</t>
  </si>
  <si>
    <t>065-420-5029</t>
  </si>
  <si>
    <t>404</t>
  </si>
  <si>
    <t>นางสาวพิมพ์พิไล  ใจอ้าย</t>
  </si>
  <si>
    <t>ป้อง</t>
  </si>
  <si>
    <t>1507600002314</t>
  </si>
  <si>
    <t>098-856-7209</t>
  </si>
  <si>
    <t>406</t>
  </si>
  <si>
    <t>นางสาววาสนา  ปุญณิสา</t>
  </si>
  <si>
    <t>1509966184086</t>
  </si>
  <si>
    <t>097-996-4865</t>
  </si>
  <si>
    <t>407</t>
  </si>
  <si>
    <t>นางสาวรินรดา  สะพานแก้ว</t>
  </si>
  <si>
    <t>1509966200294</t>
  </si>
  <si>
    <t>087-193-5096</t>
  </si>
  <si>
    <t>410</t>
  </si>
  <si>
    <t>นายทีปกร  เปียงใจ</t>
  </si>
  <si>
    <t>ทีป</t>
  </si>
  <si>
    <t>1501601148252</t>
  </si>
  <si>
    <t>092-647-1690</t>
  </si>
  <si>
    <t>411</t>
  </si>
  <si>
    <t>นางสาวเบญจรัตน์  หลวงโย</t>
  </si>
  <si>
    <t>086-659-4854</t>
  </si>
  <si>
    <t>1501201146317</t>
  </si>
  <si>
    <t>090-892-0005</t>
  </si>
  <si>
    <t>412</t>
  </si>
  <si>
    <t>นายเพิ่มพูน  สมบัติ</t>
  </si>
  <si>
    <t>เพิ่มพูน</t>
  </si>
  <si>
    <t>1550500156453</t>
  </si>
  <si>
    <t>082-374-8433</t>
  </si>
  <si>
    <t>413</t>
  </si>
  <si>
    <t>นายชัยพร  ชัยศร</t>
  </si>
  <si>
    <t>ชัยพร</t>
  </si>
  <si>
    <t>1505200044948</t>
  </si>
  <si>
    <t>086-672-8623</t>
  </si>
  <si>
    <t>414</t>
  </si>
  <si>
    <t>นายศักดินนท์  ไร่ทะ</t>
  </si>
  <si>
    <t>ดินน</t>
  </si>
  <si>
    <t>1509963026528</t>
  </si>
  <si>
    <t>30/11/2534</t>
  </si>
  <si>
    <t>087-301-9879</t>
  </si>
  <si>
    <t>415</t>
  </si>
  <si>
    <t>นางสาวจิดาภา  เพลิดเพลิน</t>
  </si>
  <si>
    <t>จิดา</t>
  </si>
  <si>
    <t>1509902780591</t>
  </si>
  <si>
    <t>093-139-8522</t>
  </si>
  <si>
    <t>419</t>
  </si>
  <si>
    <t>นางสาวกมลวรรณ  สิงห์ปา</t>
  </si>
  <si>
    <t>กมล</t>
  </si>
  <si>
    <t>1509966179571</t>
  </si>
  <si>
    <t>091-825-9604</t>
  </si>
  <si>
    <t>422</t>
  </si>
  <si>
    <t>นางสาวฐิติมา  ปิยชาติศรกุล</t>
  </si>
  <si>
    <t>ฐิติ</t>
  </si>
  <si>
    <t>1580700015446</t>
  </si>
  <si>
    <t>065-009-0698</t>
  </si>
  <si>
    <t>423</t>
  </si>
  <si>
    <t>นางสาวสาวิตรี  สารบูรณ์</t>
  </si>
  <si>
    <t>1340400149864</t>
  </si>
  <si>
    <t>093-495-4847</t>
  </si>
  <si>
    <t>425</t>
  </si>
  <si>
    <t>นางสาวพรสวรรค์  หน่อแก้ว</t>
  </si>
  <si>
    <t>1509966236345</t>
  </si>
  <si>
    <t>080-527-8303</t>
  </si>
  <si>
    <t>426</t>
  </si>
  <si>
    <t>นางสาวนงนุช  แซ่ว่าง</t>
  </si>
  <si>
    <t>นงนุช</t>
  </si>
  <si>
    <t>1500100072490</t>
  </si>
  <si>
    <t>061-308-0817</t>
  </si>
  <si>
    <t>427</t>
  </si>
  <si>
    <t>นางสาวจรรยา  ประชุมวิทยา</t>
  </si>
  <si>
    <t>จรรยา</t>
  </si>
  <si>
    <t xml:space="preserve">พัชรี </t>
  </si>
  <si>
    <t>1508900006570</t>
  </si>
  <si>
    <t>063-134-3177</t>
  </si>
  <si>
    <t>429</t>
  </si>
  <si>
    <t>นางสาวนิราวรรณ์  ชัยยารัตน์</t>
  </si>
  <si>
    <t>ไอซ์</t>
  </si>
  <si>
    <t>1509901507034</t>
  </si>
  <si>
    <t>096-287-1505</t>
  </si>
  <si>
    <t>พิบูลย์</t>
  </si>
  <si>
    <t>430</t>
  </si>
  <si>
    <t>นางสาวกัญญารัตน์  ทองเจือ</t>
  </si>
  <si>
    <t>กัญญา</t>
  </si>
  <si>
    <t>1301600133083</t>
  </si>
  <si>
    <t>061-201-6605</t>
  </si>
  <si>
    <t>431</t>
  </si>
  <si>
    <t>นางสาวอัณณ์ณิชา  โทพิลา</t>
  </si>
  <si>
    <t>อัณ</t>
  </si>
  <si>
    <t>1560100402244</t>
  </si>
  <si>
    <t>084-486-4220</t>
  </si>
  <si>
    <t>432</t>
  </si>
  <si>
    <t>นายรณพีร์  วงษ์จินดา</t>
  </si>
  <si>
    <t>รณพีร์</t>
  </si>
  <si>
    <t>1509901724931</t>
  </si>
  <si>
    <t>093-139-5345</t>
  </si>
  <si>
    <t>433</t>
  </si>
  <si>
    <t>นายสิรวิชญ์  สุภะการ</t>
  </si>
  <si>
    <t>เฟิร์ส</t>
  </si>
  <si>
    <t>1510100331266</t>
  </si>
  <si>
    <t>095-134-7025</t>
  </si>
  <si>
    <t>436</t>
  </si>
  <si>
    <t>นางสาวฐิติรัตน์  รามพัด</t>
  </si>
  <si>
    <t>1500301227644</t>
  </si>
  <si>
    <t>065-469-2629</t>
  </si>
  <si>
    <t>438</t>
  </si>
  <si>
    <t>นายธีรภัทร  สิงห์ตัน</t>
  </si>
  <si>
    <t>1510401204581</t>
  </si>
  <si>
    <t>094-738-1243</t>
  </si>
  <si>
    <t>440</t>
  </si>
  <si>
    <t>นายพัชรพล  หมุดปัน</t>
  </si>
  <si>
    <t>1501201129161</t>
  </si>
  <si>
    <t>096-208-0669</t>
  </si>
  <si>
    <t>441</t>
  </si>
  <si>
    <t>นางสาวเฟื่องฟ้า  กิติกา</t>
  </si>
  <si>
    <t>เฟื่องฟ้า</t>
  </si>
  <si>
    <t>1509901105726</t>
  </si>
  <si>
    <t>062-402-9887</t>
  </si>
  <si>
    <t>444</t>
  </si>
  <si>
    <t>นางพรสุดา  แสนสุวรรณ์</t>
  </si>
  <si>
    <t>ก้อย</t>
  </si>
  <si>
    <t>1341500202881</t>
  </si>
  <si>
    <t>080-503-1213</t>
  </si>
  <si>
    <t>447</t>
  </si>
  <si>
    <t>พกส.</t>
  </si>
  <si>
    <t>นางสาวทิฐินันท์  บัวใหล</t>
  </si>
  <si>
    <t>1500401148703</t>
  </si>
  <si>
    <t>064-654-8180</t>
  </si>
  <si>
    <t>451</t>
  </si>
  <si>
    <t>นางสาวอังคณา  เค้าสงค์</t>
  </si>
  <si>
    <t>1401300078396</t>
  </si>
  <si>
    <t>454</t>
  </si>
  <si>
    <t>นางสาวเสาวนีย์  แซ่สง</t>
  </si>
  <si>
    <t>1571100201061</t>
  </si>
  <si>
    <t>062-418-0889</t>
  </si>
  <si>
    <t>456</t>
  </si>
  <si>
    <t>นางสาวพรพิมล  กิจการถาวร</t>
  </si>
  <si>
    <t>1630500189181</t>
  </si>
  <si>
    <t>459</t>
  </si>
  <si>
    <t>นายเดโชชัย  หม่อซอ</t>
  </si>
  <si>
    <t>1500801097898</t>
  </si>
  <si>
    <t>462</t>
  </si>
  <si>
    <t>นายวิทวัส  คะเน</t>
  </si>
  <si>
    <t>1508500009784</t>
  </si>
  <si>
    <t>463</t>
  </si>
  <si>
    <t>นายธราเทพ  อินวงค์</t>
  </si>
  <si>
    <t>ประกัน</t>
  </si>
  <si>
    <t>1548800031068</t>
  </si>
  <si>
    <t>464</t>
  </si>
  <si>
    <t>นางสาวอรนุช  ปู่เลอโม</t>
  </si>
  <si>
    <t>1500601138264</t>
  </si>
  <si>
    <t>465</t>
  </si>
  <si>
    <t>นางสาวแคทเทอญริญ  บ่อแก้วเจริญ</t>
  </si>
  <si>
    <t>1508900008661</t>
  </si>
  <si>
    <t>468</t>
  </si>
  <si>
    <t>นางสาวอรพรรณ  ขนายทองวสุ</t>
  </si>
  <si>
    <t>พรส.</t>
  </si>
  <si>
    <t>1500801098835</t>
  </si>
  <si>
    <t>469</t>
  </si>
  <si>
    <t>นายวิชชากร  อุตเถิน</t>
  </si>
  <si>
    <t xml:space="preserve"> -</t>
  </si>
  <si>
    <t>1505300024914</t>
  </si>
  <si>
    <t>471</t>
  </si>
  <si>
    <t>นางสาวมุทิตา  จันทราวดี</t>
  </si>
  <si>
    <t>1505200034811</t>
  </si>
  <si>
    <t>098-959-5745</t>
  </si>
  <si>
    <t>472</t>
  </si>
  <si>
    <t>นางสาวศศิวิมล  รัตนัง</t>
  </si>
  <si>
    <t>แพร</t>
  </si>
  <si>
    <t>1509900812836</t>
  </si>
  <si>
    <t>085-040-1812</t>
  </si>
  <si>
    <t>473</t>
  </si>
  <si>
    <t>นางสาวปิยะกานต์  ปิยะตระกูล</t>
  </si>
  <si>
    <t>หมูหวาน</t>
  </si>
  <si>
    <t>1529900690072</t>
  </si>
  <si>
    <t>064-339-9968</t>
  </si>
  <si>
    <t>474</t>
  </si>
  <si>
    <t>นางสาวสุดาธิภร  เครือคำ</t>
  </si>
  <si>
    <t>ขะนิ่ง</t>
  </si>
  <si>
    <t>1509901650121</t>
  </si>
  <si>
    <t>088-795-3279</t>
  </si>
  <si>
    <t>478</t>
  </si>
  <si>
    <t>นางสาวพัชรวรินทร์  ต่ออินทร์</t>
  </si>
  <si>
    <t>1529900833531</t>
  </si>
  <si>
    <t>097-924-6056</t>
  </si>
  <si>
    <t>480</t>
  </si>
  <si>
    <t>นางอรอนงค์  รุ่งกิจวานิชน์</t>
  </si>
  <si>
    <t>1580200062658</t>
  </si>
  <si>
    <t>481</t>
  </si>
  <si>
    <t>นางสาวจุฑามณี  ถาพา</t>
  </si>
  <si>
    <t>กลุ่มงานประกันสุขภาพ</t>
  </si>
  <si>
    <t>1549900403375</t>
  </si>
  <si>
    <t>482</t>
  </si>
  <si>
    <t>นางสาวนันทิยา  คำแสน</t>
  </si>
  <si>
    <t>1509901619011</t>
  </si>
  <si>
    <t>087-656-9309</t>
  </si>
  <si>
    <t>483</t>
  </si>
  <si>
    <t>นางสาวณิชารัตน์  เทพวงค์</t>
  </si>
  <si>
    <t>เฟรน</t>
  </si>
  <si>
    <t>1509963050194</t>
  </si>
  <si>
    <t>097-978-8288</t>
  </si>
  <si>
    <t>484</t>
  </si>
  <si>
    <t>นายสุขพงษ์  ว่องชาญอุดม</t>
  </si>
  <si>
    <t>1579900219272</t>
  </si>
  <si>
    <t>091-839-6064</t>
  </si>
  <si>
    <t>ภารกิจด้านพัฒนาระบบบริการและสนับสนุนบริการสุขภาพ</t>
  </si>
  <si>
    <t>485</t>
  </si>
  <si>
    <t>นางสาวณัฐกฤตา  ภาวนะกีรติ</t>
  </si>
  <si>
    <t>1509901445896</t>
  </si>
  <si>
    <t>081-918-6395</t>
  </si>
  <si>
    <t>486</t>
  </si>
  <si>
    <t>นางสาวจ๋ามเงิน  ซอคำ</t>
  </si>
  <si>
    <t>จ๋าม</t>
  </si>
  <si>
    <t>8502076047078</t>
  </si>
  <si>
    <t>091-852-0630</t>
  </si>
  <si>
    <t>489</t>
  </si>
  <si>
    <t>นางสาวกชกร  ขุนนา</t>
  </si>
  <si>
    <t>ออม</t>
  </si>
  <si>
    <t>1509970132460</t>
  </si>
  <si>
    <t>095-383-7039</t>
  </si>
  <si>
    <t>490</t>
  </si>
  <si>
    <t>นางสาววรวรรณ  จันทร์ขาว</t>
  </si>
  <si>
    <t>มะปราง</t>
  </si>
  <si>
    <t>1579900718643</t>
  </si>
  <si>
    <t>065-526-5918</t>
  </si>
  <si>
    <t>491</t>
  </si>
  <si>
    <t>นางสุทธิพร  จอมจันทร์</t>
  </si>
  <si>
    <t>แอม</t>
  </si>
  <si>
    <t>30/9/2587</t>
  </si>
  <si>
    <t>1509900096847</t>
  </si>
  <si>
    <t>061-468-1999</t>
  </si>
  <si>
    <t>494</t>
  </si>
  <si>
    <t>นางสาวฐิติมา  ธิวงค์</t>
  </si>
  <si>
    <t>1560100451687</t>
  </si>
  <si>
    <t>083-024-8347</t>
  </si>
  <si>
    <t>495</t>
  </si>
  <si>
    <t>นายนวพล  จรุงวัฒนา</t>
  </si>
  <si>
    <t>1579900470706</t>
  </si>
  <si>
    <t>096-185-1954</t>
  </si>
  <si>
    <t>498</t>
  </si>
  <si>
    <t>นายสุมิ  ครองนาคา</t>
  </si>
  <si>
    <t>มิตร</t>
  </si>
  <si>
    <t>2630500137651</t>
  </si>
  <si>
    <t>062-573-6552</t>
  </si>
  <si>
    <t>499</t>
  </si>
  <si>
    <t>พญ.ปวรา  วินัยโกศล</t>
  </si>
  <si>
    <t>จูน</t>
  </si>
  <si>
    <t>1509901148671</t>
  </si>
  <si>
    <t>088-252-3354</t>
  </si>
  <si>
    <t>500</t>
  </si>
  <si>
    <t>นายณัฐวุฒิ  ศรีศรกำพล</t>
  </si>
  <si>
    <t>1209700359731</t>
  </si>
  <si>
    <t>501</t>
  </si>
  <si>
    <t>นางสาววศินี  ศรีอินทร์</t>
  </si>
  <si>
    <t>1659901906281</t>
  </si>
  <si>
    <t>080-509-5742</t>
  </si>
  <si>
    <t>503</t>
  </si>
  <si>
    <t>นางสาวขวัญชนก  อินทจักร์</t>
  </si>
  <si>
    <t>1509900710111</t>
  </si>
  <si>
    <t>504</t>
  </si>
  <si>
    <t>นายวราพงษ์  เหมือนศิริ</t>
  </si>
  <si>
    <t>1509900648351</t>
  </si>
  <si>
    <t>096-691-5546</t>
  </si>
  <si>
    <t>505</t>
  </si>
  <si>
    <t>นางสาวณัฐชา  วิบูลรังสรรค์</t>
  </si>
  <si>
    <t>1509900577985</t>
  </si>
  <si>
    <t>091-067-8041</t>
  </si>
  <si>
    <t>506</t>
  </si>
  <si>
    <t>นางสาวพรทิพย์  สุทธิรัตน์ชัยชาญ</t>
  </si>
  <si>
    <t>30/9/2580</t>
  </si>
  <si>
    <t>3509900399951</t>
  </si>
  <si>
    <t>086-776-2429</t>
  </si>
  <si>
    <t>507</t>
  </si>
  <si>
    <t>นายบงการ  จำนงประสาทพร</t>
  </si>
  <si>
    <t>1100400237196</t>
  </si>
  <si>
    <t>088-266-8449</t>
  </si>
  <si>
    <t>509</t>
  </si>
  <si>
    <t>นายสุธี  เนติธนากูล</t>
  </si>
  <si>
    <t>1100700284688</t>
  </si>
  <si>
    <t>081-472-1348</t>
  </si>
  <si>
    <t>511</t>
  </si>
  <si>
    <t>นางสาวพัทธนันท์  แสนสุข</t>
  </si>
  <si>
    <t>แนน</t>
  </si>
  <si>
    <t>8500684019290</t>
  </si>
  <si>
    <t>089-482-0642</t>
  </si>
  <si>
    <t>519</t>
  </si>
  <si>
    <t>นางสาวจริยาภรณ์  วินันท์</t>
  </si>
  <si>
    <t>1509900967023</t>
  </si>
  <si>
    <t>082-615-0129</t>
  </si>
  <si>
    <t>520</t>
  </si>
  <si>
    <t>นางสาวกรรณิการ์  ชัยเลิศ</t>
  </si>
  <si>
    <t>1500701278939</t>
  </si>
  <si>
    <t>062-328-2048</t>
  </si>
  <si>
    <t>529</t>
  </si>
  <si>
    <t>นางสาวภาณุมาศ  คำเขื่อน</t>
  </si>
  <si>
    <t>089-852-0940</t>
  </si>
  <si>
    <t>ยิ้ม</t>
  </si>
  <si>
    <t>1500400059774</t>
  </si>
  <si>
    <t>083-575-0845</t>
  </si>
  <si>
    <t>530</t>
  </si>
  <si>
    <t>นางสาวศิริลักษณ์  โปธาแก้ว</t>
  </si>
  <si>
    <t>1500701277479</t>
  </si>
  <si>
    <t>093-051-2461</t>
  </si>
  <si>
    <t>531</t>
  </si>
  <si>
    <t>นางสาวเบญจมาศ  ดูลอย</t>
  </si>
  <si>
    <t>16/06/2526</t>
  </si>
  <si>
    <t>1509966062631</t>
  </si>
  <si>
    <t>082-472-8325</t>
  </si>
  <si>
    <t>534</t>
  </si>
  <si>
    <t>นางสาวนฤมล  ไทยใจอุ่น</t>
  </si>
  <si>
    <t>1509963061935</t>
  </si>
  <si>
    <t>094-613-9022</t>
  </si>
  <si>
    <t>535</t>
  </si>
  <si>
    <t>นางสาวกมลวรรณ  ใจย์วัง</t>
  </si>
  <si>
    <t>1501001106231</t>
  </si>
  <si>
    <t>095-861-6463</t>
  </si>
  <si>
    <t>536</t>
  </si>
  <si>
    <t>นางสาวณิชาภรณ์  เกี๋ยงคำ</t>
  </si>
  <si>
    <t>1500701285552</t>
  </si>
  <si>
    <t>086-683-9534</t>
  </si>
  <si>
    <t>537</t>
  </si>
  <si>
    <t>นางสาวดวงฤทัย  วงค์จันทร์</t>
  </si>
  <si>
    <t>1520101161682</t>
  </si>
  <si>
    <t>082-187-6026</t>
  </si>
  <si>
    <t>538</t>
  </si>
  <si>
    <t>นางสาวยุวดี  สินสายไทย</t>
  </si>
  <si>
    <t>5580700010480</t>
  </si>
  <si>
    <t>097-997-4207</t>
  </si>
  <si>
    <t>540</t>
  </si>
  <si>
    <t>นางสาวทิราภรณ์  ประกอบศิลป์</t>
  </si>
  <si>
    <t>1500601130751</t>
  </si>
  <si>
    <t>085-032-0189</t>
  </si>
  <si>
    <t>544</t>
  </si>
  <si>
    <t>นางสาวชญานันท์  บำรุงนอก</t>
  </si>
  <si>
    <t>1104300338555</t>
  </si>
  <si>
    <t>ณพิชญา</t>
  </si>
  <si>
    <t>091-851-6513</t>
  </si>
  <si>
    <t>545</t>
  </si>
  <si>
    <t>นายพงศ์พล  บุญวัฒนา</t>
  </si>
  <si>
    <t>1579900834091</t>
  </si>
  <si>
    <t>เต็ม</t>
  </si>
  <si>
    <t>099-274-0006</t>
  </si>
  <si>
    <t>546</t>
  </si>
  <si>
    <t>นางสาวธนิษฐ์นันท์  เทียมเมือง</t>
  </si>
  <si>
    <t>นิ</t>
  </si>
  <si>
    <t>1103702620394</t>
  </si>
  <si>
    <t>088-433-9143</t>
  </si>
  <si>
    <t>554</t>
  </si>
  <si>
    <t>นายปิยนันท์  จิ๋วเอื้อย</t>
  </si>
  <si>
    <t>ไมค์</t>
  </si>
  <si>
    <t>1509901299482</t>
  </si>
  <si>
    <t>086-671-4454</t>
  </si>
  <si>
    <t>555</t>
  </si>
  <si>
    <t>นางสาวศิริวรรณ  ซ่านุ</t>
  </si>
  <si>
    <t>ครีม</t>
  </si>
  <si>
    <t>1500801098215</t>
  </si>
  <si>
    <t>090-332-0222</t>
  </si>
  <si>
    <t>556</t>
  </si>
  <si>
    <t>นางสาวทิวาพร  ชาดาศักดิ์สมบัติ</t>
  </si>
  <si>
    <t>หนูเล็ก</t>
  </si>
  <si>
    <t>1500100073046</t>
  </si>
  <si>
    <t>092-248-3895</t>
  </si>
  <si>
    <t>558</t>
  </si>
  <si>
    <t>นายศิริมงคล  บัวแก้วเกิด</t>
  </si>
  <si>
    <t>คำแจ๊ค</t>
  </si>
  <si>
    <t>1509990002481</t>
  </si>
  <si>
    <t>061-580-4838</t>
  </si>
  <si>
    <t>559</t>
  </si>
  <si>
    <t>นางสาวสิรินทร์นิชา  กำแพงแก้วรัตน์</t>
  </si>
  <si>
    <t>1509900269351</t>
  </si>
  <si>
    <t>092-985-9115</t>
  </si>
  <si>
    <t>560</t>
  </si>
  <si>
    <t>นางสาวแพรววนิด  ธรรมมี</t>
  </si>
  <si>
    <t>1509901714978</t>
  </si>
  <si>
    <t>093-363-2087</t>
  </si>
  <si>
    <t>561</t>
  </si>
  <si>
    <t>นายฐณธรณ์  ตาลป่า</t>
  </si>
  <si>
    <t>1509901149332</t>
  </si>
  <si>
    <t>084-043-3414</t>
  </si>
  <si>
    <t>562</t>
  </si>
  <si>
    <t>นางสาวณัฏฐินี  ศิริสวัสดิ์</t>
  </si>
  <si>
    <t>1509900726646</t>
  </si>
  <si>
    <t>563</t>
  </si>
  <si>
    <t>นางอัมพร  ฟุ้งวิทยา</t>
  </si>
  <si>
    <t>1500200102480</t>
  </si>
  <si>
    <t>080-790-5096</t>
  </si>
  <si>
    <t>564</t>
  </si>
  <si>
    <t>นางสาววริศรา  จอมงาม</t>
  </si>
  <si>
    <t>1509901639127</t>
  </si>
  <si>
    <t>565</t>
  </si>
  <si>
    <t>นางสาววรพร  ตันติภาณุวิทย์</t>
  </si>
  <si>
    <t>3102200844429</t>
  </si>
  <si>
    <t>574</t>
  </si>
  <si>
    <t>นายธนนท์  ธนมิลินกุล</t>
  </si>
  <si>
    <t>มังกร</t>
  </si>
  <si>
    <t>1509966041285</t>
  </si>
  <si>
    <t>094-628-5029</t>
  </si>
  <si>
    <t>576</t>
  </si>
  <si>
    <t>นายสมชาย  ส่างเงิน</t>
  </si>
  <si>
    <t>8502076028383</t>
  </si>
  <si>
    <t>084-251-9731</t>
  </si>
  <si>
    <t>577</t>
  </si>
  <si>
    <t>นางสาวสุพรรณษา  ก่ำผัน</t>
  </si>
  <si>
    <t>จิ๊บ</t>
  </si>
  <si>
    <t>1529900533759</t>
  </si>
  <si>
    <t>094-837-6334</t>
  </si>
  <si>
    <t>579</t>
  </si>
  <si>
    <t>นางสาวอัจฉรา  เก่งกาจ</t>
  </si>
  <si>
    <t>1509901698476</t>
  </si>
  <si>
    <t>095-469-3797</t>
  </si>
  <si>
    <t>581</t>
  </si>
  <si>
    <t>นายภรัณยู  พรมเพ็ชร</t>
  </si>
  <si>
    <t>กาย</t>
  </si>
  <si>
    <t>1500700160438</t>
  </si>
  <si>
    <t>094-227-6023</t>
  </si>
  <si>
    <t>585</t>
  </si>
  <si>
    <t>นางสาววราภรณ์  ประกอบของ</t>
  </si>
  <si>
    <t>นุ๊ก</t>
  </si>
  <si>
    <t>1509900164559</t>
  </si>
  <si>
    <t>097-145-8024</t>
  </si>
  <si>
    <t>593</t>
  </si>
  <si>
    <t>นางสาวสุจีรา  ขันแก้ว</t>
  </si>
  <si>
    <t>นิชา</t>
  </si>
  <si>
    <t>1580300080453</t>
  </si>
  <si>
    <t>090-319-3807</t>
  </si>
  <si>
    <t>595</t>
  </si>
  <si>
    <t>นางสาวอริสา  กฤษฎิ์ฐากูร</t>
  </si>
  <si>
    <t>1510400171159</t>
  </si>
  <si>
    <t>596</t>
  </si>
  <si>
    <t>นางสาวมิ่งขวัญ  พิมพ์สา</t>
  </si>
  <si>
    <t>นุ่น</t>
  </si>
  <si>
    <t>1500300061963</t>
  </si>
  <si>
    <t>064-002-2205</t>
  </si>
  <si>
    <t>597</t>
  </si>
  <si>
    <t>นางสาวศุภรัตน์  เมืองอินทร์</t>
  </si>
  <si>
    <t>1500900156094</t>
  </si>
  <si>
    <t>087-545-3699</t>
  </si>
  <si>
    <t>598</t>
  </si>
  <si>
    <t>นางสาวเกศสุดา  ปันคำ</t>
  </si>
  <si>
    <t>3501200584457</t>
  </si>
  <si>
    <t>098-992-8922</t>
  </si>
  <si>
    <t>599</t>
  </si>
  <si>
    <t>นางสาวนวัชภรณ์  สุวรรณ์</t>
  </si>
  <si>
    <t>1500700173840</t>
  </si>
  <si>
    <t>602</t>
  </si>
  <si>
    <t>นางสาวขวัญจิต   ขยันจิตใฝ่ธรรม</t>
  </si>
  <si>
    <t>ขวัญ</t>
  </si>
  <si>
    <t>1580401247051</t>
  </si>
  <si>
    <t>092-980-9472</t>
  </si>
  <si>
    <t>605</t>
  </si>
  <si>
    <t>นางสาวณภาพร  คำปัญญา</t>
  </si>
  <si>
    <t>แบม</t>
  </si>
  <si>
    <t>1577900000571</t>
  </si>
  <si>
    <t>099-149-5212</t>
  </si>
  <si>
    <t>607</t>
  </si>
  <si>
    <t>นายนราวิชญ์  จุติไพรร่มใจจริง</t>
  </si>
  <si>
    <t>โตโลมี่</t>
  </si>
  <si>
    <t>1589700002661</t>
  </si>
  <si>
    <t>063-153-0495</t>
  </si>
  <si>
    <t>608</t>
  </si>
  <si>
    <t>นางสาวเพียรพิศ  ขันแก้ว</t>
  </si>
  <si>
    <t>ลี่</t>
  </si>
  <si>
    <t>1589700000773</t>
  </si>
  <si>
    <t>065-003-0808</t>
  </si>
  <si>
    <t>612</t>
  </si>
  <si>
    <t>นายฉัตรมงคล  คำแหง</t>
  </si>
  <si>
    <t>1500701268917</t>
  </si>
  <si>
    <t>093-179-3556</t>
  </si>
  <si>
    <t>614</t>
  </si>
  <si>
    <t>นางสาวมณทกาญจน์  ตรึกหากิจ</t>
  </si>
  <si>
    <t>1501100081911</t>
  </si>
  <si>
    <t>616</t>
  </si>
  <si>
    <t>นางสาวปิยะพร  สุวรรณราช</t>
  </si>
  <si>
    <t>1509900510465</t>
  </si>
  <si>
    <t>619</t>
  </si>
  <si>
    <t>นางสาวศรัณดา  ยะวา</t>
  </si>
  <si>
    <t>1509900633303</t>
  </si>
  <si>
    <t>062-309-3322</t>
  </si>
  <si>
    <t>620</t>
  </si>
  <si>
    <t>นางสาวจุฑามาศ  รังแก้ว</t>
  </si>
  <si>
    <t>1500700144254</t>
  </si>
  <si>
    <t>621</t>
  </si>
  <si>
    <t>นายมนูญ  ฟองนวล</t>
  </si>
  <si>
    <t>3501400481686</t>
  </si>
  <si>
    <t>086-183-8278</t>
  </si>
  <si>
    <t>622</t>
  </si>
  <si>
    <t>นายนที  เรืองทอง</t>
  </si>
  <si>
    <t>3670100191966</t>
  </si>
  <si>
    <t>083-259-0590</t>
  </si>
  <si>
    <t>624</t>
  </si>
  <si>
    <t>นางสาวจันทร์จิรา  เทพมงคล</t>
  </si>
  <si>
    <t>1510100142021</t>
  </si>
  <si>
    <t>626</t>
  </si>
  <si>
    <t>นางสาวศุภลักษณ์  วันเจ</t>
  </si>
  <si>
    <t>พีพี</t>
  </si>
  <si>
    <t>1501800096635</t>
  </si>
  <si>
    <t>087-181-1332</t>
  </si>
  <si>
    <t>628</t>
  </si>
  <si>
    <t>นางสาวรัชฎาพร  ปอโซโร</t>
  </si>
  <si>
    <t>ฝ้าย</t>
  </si>
  <si>
    <t>1500201225739</t>
  </si>
  <si>
    <t>061-331-9986</t>
  </si>
  <si>
    <t>633</t>
  </si>
  <si>
    <t>นางสาวรติมา  พันธ์ไชยศรี</t>
  </si>
  <si>
    <t>1509901141048</t>
  </si>
  <si>
    <t>089-632-7298</t>
  </si>
  <si>
    <t>638</t>
  </si>
  <si>
    <t>นางสาววิรงรอง  ทองต้น</t>
  </si>
  <si>
    <t>3501200588029</t>
  </si>
  <si>
    <t>089-262-1480</t>
  </si>
  <si>
    <t>639</t>
  </si>
  <si>
    <t>นางสาวปาลิตา  ค้าเจริญ</t>
  </si>
  <si>
    <t>1505300026607</t>
  </si>
  <si>
    <t>064-995-5701</t>
  </si>
  <si>
    <t>640</t>
  </si>
  <si>
    <t>นางสาวจุฬารัตน์  ศิริวัฒนศิลป์</t>
  </si>
  <si>
    <t>1509900996813</t>
  </si>
  <si>
    <t>642</t>
  </si>
  <si>
    <t>นางสาวนิอร  วิภาสวงศ์</t>
  </si>
  <si>
    <t>1509900374774</t>
  </si>
  <si>
    <t>084-950-9234</t>
  </si>
  <si>
    <t>643</t>
  </si>
  <si>
    <t>นางสาวธิติสุดา  เมืองแก้ว</t>
  </si>
  <si>
    <t>1500900203653</t>
  </si>
  <si>
    <t>094-172-6947</t>
  </si>
  <si>
    <t>644</t>
  </si>
  <si>
    <t>นางสาวอรวรรณ  วงศ์อุษาเสถียร</t>
  </si>
  <si>
    <t>เอิง</t>
  </si>
  <si>
    <t>1501601148384</t>
  </si>
  <si>
    <t>061-371-2683</t>
  </si>
  <si>
    <t>645</t>
  </si>
  <si>
    <t>นางสาวณภัทร  กันทะนันท์</t>
  </si>
  <si>
    <t>1500701266507</t>
  </si>
  <si>
    <t>098-748-5446</t>
  </si>
  <si>
    <t>647</t>
  </si>
  <si>
    <t>นางสาวศิริพร  คำสม</t>
  </si>
  <si>
    <t>1509966030917</t>
  </si>
  <si>
    <t>093-312-5408</t>
  </si>
  <si>
    <t>648</t>
  </si>
  <si>
    <t>นางสาวกิตติญา  ญารังษี</t>
  </si>
  <si>
    <t>1509963061854</t>
  </si>
  <si>
    <t>086-455-7973</t>
  </si>
  <si>
    <t>652</t>
  </si>
  <si>
    <t>นางสาวชฎาลักษณ์   เดอแฮ</t>
  </si>
  <si>
    <t>1500701256897</t>
  </si>
  <si>
    <t>080-850-8945</t>
  </si>
  <si>
    <t>653</t>
  </si>
  <si>
    <t>นางสาวอริชาภัสร์  บุญเหลา</t>
  </si>
  <si>
    <t>1509963048041</t>
  </si>
  <si>
    <t>093-289-6236</t>
  </si>
  <si>
    <t>657</t>
  </si>
  <si>
    <t>นางสาวกานต์ชนก  เวียงนาค</t>
  </si>
  <si>
    <t>1669900399555</t>
  </si>
  <si>
    <t>063-528-1561</t>
  </si>
  <si>
    <t>658</t>
  </si>
  <si>
    <t>นางสาวรัตติยากร  มะที</t>
  </si>
  <si>
    <t>แคร์</t>
  </si>
  <si>
    <t>1500700188936</t>
  </si>
  <si>
    <t>096-303-1658</t>
  </si>
  <si>
    <t>660</t>
  </si>
  <si>
    <t>นางสาวสุวรรณา  สุนันตา</t>
  </si>
  <si>
    <t>เฟรม</t>
  </si>
  <si>
    <t>1560400053121</t>
  </si>
  <si>
    <t>088-418-2722</t>
  </si>
  <si>
    <t>661</t>
  </si>
  <si>
    <t>นางดาริณี  คชโภคิน</t>
  </si>
  <si>
    <t>ติ่ง</t>
  </si>
  <si>
    <t>30/9/2583</t>
  </si>
  <si>
    <t>3350300532212</t>
  </si>
  <si>
    <t>088-263-0045</t>
  </si>
  <si>
    <t>662</t>
  </si>
  <si>
    <t>นางสาวธัญชนก  งอกชัยภูมิ</t>
  </si>
  <si>
    <t>1749900787198</t>
  </si>
  <si>
    <t>663</t>
  </si>
  <si>
    <t>นายภูมินทร์  อินทานุวัฒน์</t>
  </si>
  <si>
    <t>ตุ้ย</t>
  </si>
  <si>
    <t>1500101125091</t>
  </si>
  <si>
    <t>098-789-7041</t>
  </si>
  <si>
    <t>671</t>
  </si>
  <si>
    <t>นางณัฐฐา  อินทรโสภา</t>
  </si>
  <si>
    <t>3710100453200</t>
  </si>
  <si>
    <t>098-951-9244</t>
  </si>
  <si>
    <t>672</t>
  </si>
  <si>
    <t>นางสาวฐิติชญา  เวนวน</t>
  </si>
  <si>
    <t>แมแอ</t>
  </si>
  <si>
    <t>5580300042341</t>
  </si>
  <si>
    <t>093-320-8495</t>
  </si>
  <si>
    <t>673</t>
  </si>
  <si>
    <t>นางสาววรางคณา  วิชชจุฑากุล</t>
  </si>
  <si>
    <t>1509900413036</t>
  </si>
  <si>
    <t>086-190-8111</t>
  </si>
  <si>
    <t>675</t>
  </si>
  <si>
    <t>นางสาวปิยาพัชร  มีศักดิ์</t>
  </si>
  <si>
    <t>1549900294355</t>
  </si>
  <si>
    <t>095-451-0669</t>
  </si>
  <si>
    <t>679</t>
  </si>
  <si>
    <t>นางสาวสุธาสินี  สายามา</t>
  </si>
  <si>
    <t>1529900550963</t>
  </si>
  <si>
    <t>084-374-0659</t>
  </si>
  <si>
    <t>684</t>
  </si>
  <si>
    <t>นางสาวไอยณา  ปิดจ๊ะ</t>
  </si>
  <si>
    <t>1520500116877</t>
  </si>
  <si>
    <t>083-567-4377</t>
  </si>
  <si>
    <t>685</t>
  </si>
  <si>
    <t>นายคุณัช  อภิเดชากุล</t>
  </si>
  <si>
    <t>1103100008445</t>
  </si>
  <si>
    <t>691</t>
  </si>
  <si>
    <t>นางสาวกัลญาณี  สุทะ</t>
  </si>
  <si>
    <t>1509901533761</t>
  </si>
  <si>
    <t>088-223-2829</t>
  </si>
  <si>
    <t>692</t>
  </si>
  <si>
    <t>นายรักเกียรติ์  เต๋จ๊ะแยง</t>
  </si>
  <si>
    <t>1509901713980</t>
  </si>
  <si>
    <t>063-242-2091</t>
  </si>
  <si>
    <t>697</t>
  </si>
  <si>
    <t>นางสาววราพร  ถามัง</t>
  </si>
  <si>
    <t>1501701090221</t>
  </si>
  <si>
    <t>065-594-1782</t>
  </si>
  <si>
    <t>698</t>
  </si>
  <si>
    <t>นางสาววีร์รมิดา  ยงค์พัฒนสิน</t>
  </si>
  <si>
    <t>เบล</t>
  </si>
  <si>
    <t>1509900833906</t>
  </si>
  <si>
    <t>095-141-4595</t>
  </si>
  <si>
    <t>702</t>
  </si>
  <si>
    <t>นางสาวศศิวิมล   ทองวิลาศ</t>
  </si>
  <si>
    <t>1509901652212</t>
  </si>
  <si>
    <t>082-451-9339</t>
  </si>
  <si>
    <t>709</t>
  </si>
  <si>
    <t>นายกาญจนเศรษฐ์  มณีขัติ</t>
  </si>
  <si>
    <t>ไนซ์</t>
  </si>
  <si>
    <t>1505200030718</t>
  </si>
  <si>
    <t>084-213-0403</t>
  </si>
  <si>
    <t>712</t>
  </si>
  <si>
    <t>นายจิรายุ  ปัญญาฟู</t>
  </si>
  <si>
    <t>1505100002500</t>
  </si>
  <si>
    <t>713</t>
  </si>
  <si>
    <t>นายอภิวัฒน์  นิพิฐวัธนะผล</t>
  </si>
  <si>
    <t>2103600001499</t>
  </si>
  <si>
    <t>063-223-9535</t>
  </si>
  <si>
    <t>714</t>
  </si>
  <si>
    <t>นายกฤษณพล  บอกบุญ</t>
  </si>
  <si>
    <t>นอร์ท</t>
  </si>
  <si>
    <t>1501101117242</t>
  </si>
  <si>
    <t>097-945-1522</t>
  </si>
  <si>
    <t>716</t>
  </si>
  <si>
    <t>นายเฉลิมพล  เลาแก้ว</t>
  </si>
  <si>
    <t>1509900626951</t>
  </si>
  <si>
    <t>090-752-2278</t>
  </si>
  <si>
    <t>719</t>
  </si>
  <si>
    <t>นางสาวสิรีธร  หวังกีรติกุล</t>
  </si>
  <si>
    <t>บี</t>
  </si>
  <si>
    <t>1560100286201</t>
  </si>
  <si>
    <t>093-281-5099</t>
  </si>
  <si>
    <t>720</t>
  </si>
  <si>
    <t>นายกิตติพงษ์   พิพัฒน์โภชา</t>
  </si>
  <si>
    <t>ริว</t>
  </si>
  <si>
    <t>1580401264959</t>
  </si>
  <si>
    <t>061-631-1135</t>
  </si>
  <si>
    <t>730</t>
  </si>
  <si>
    <t>นางสาวกมลลักษณ์  ใจเย็น</t>
  </si>
  <si>
    <t>นุ้ย</t>
  </si>
  <si>
    <t>1501101124290</t>
  </si>
  <si>
    <t>061-260-5773</t>
  </si>
  <si>
    <t>732</t>
  </si>
  <si>
    <t>นางสาวกรวิภา  ธงสิบสอง</t>
  </si>
  <si>
    <t>ยิม</t>
  </si>
  <si>
    <t>1580400123154</t>
  </si>
  <si>
    <t>087-177-6664</t>
  </si>
  <si>
    <t>738</t>
  </si>
  <si>
    <t xml:space="preserve">ศรีพรรณ </t>
  </si>
  <si>
    <t>นางสาวรุ่งทิวา  ศรีคง</t>
  </si>
  <si>
    <t>1549500001091</t>
  </si>
  <si>
    <t>093-019-7148</t>
  </si>
  <si>
    <t>742</t>
  </si>
  <si>
    <t>นางสาวธัญรดา  หม่อซอ</t>
  </si>
  <si>
    <t>ปูเป้</t>
  </si>
  <si>
    <t>1500801096875</t>
  </si>
  <si>
    <t>097-975-3605</t>
  </si>
  <si>
    <t>สีธงคำ</t>
  </si>
  <si>
    <t>743</t>
  </si>
  <si>
    <t>นางสาวศิริยาภา  อัศววรการ</t>
  </si>
  <si>
    <t>ซูซู</t>
  </si>
  <si>
    <t>1508900002264</t>
  </si>
  <si>
    <t>753</t>
  </si>
  <si>
    <t>นางสาวพรชิตา  ฐิติอุดมศรี</t>
  </si>
  <si>
    <t>1580101117748</t>
  </si>
  <si>
    <t>065-487-7692</t>
  </si>
  <si>
    <t>755</t>
  </si>
  <si>
    <t>นางสาวอรุณรัตน์  อมรอรุณโรจน์</t>
  </si>
  <si>
    <t>รัตน์</t>
  </si>
  <si>
    <t>1500301222286</t>
  </si>
  <si>
    <t>095-580-5249</t>
  </si>
  <si>
    <t>756</t>
  </si>
  <si>
    <t>นายสุรชัย  กันทะ</t>
  </si>
  <si>
    <t>ป๋อม</t>
  </si>
  <si>
    <t>3500600136591</t>
  </si>
  <si>
    <t>085-723-1697</t>
  </si>
  <si>
    <t>759</t>
  </si>
  <si>
    <t>นางสาวเสาวลักษณ์  จอมงาม</t>
  </si>
  <si>
    <t>1505300018159</t>
  </si>
  <si>
    <t>095-681-0572</t>
  </si>
  <si>
    <t>764</t>
  </si>
  <si>
    <t>นพ.พณัฐ  เตอะอ้าย</t>
  </si>
  <si>
    <t>เปิ้ล</t>
  </si>
  <si>
    <t>1509901572341</t>
  </si>
  <si>
    <t>091-111-1111</t>
  </si>
  <si>
    <t>765</t>
  </si>
  <si>
    <t>นายอิศราวุฒิ  ทองเมฆ</t>
  </si>
  <si>
    <t>3501900336049</t>
  </si>
  <si>
    <t>064-974-9499</t>
  </si>
  <si>
    <t>766</t>
  </si>
  <si>
    <t>นางสาวณัฎฐณิชา  นพรัตน์</t>
  </si>
  <si>
    <t>572</t>
  </si>
  <si>
    <t>30/9/3141</t>
  </si>
  <si>
    <t>1509901590080</t>
  </si>
  <si>
    <t>080-125-7549</t>
  </si>
  <si>
    <t>768</t>
  </si>
  <si>
    <t>นางสาวจริยา  บุญเกษม</t>
  </si>
  <si>
    <t>3501400386896</t>
  </si>
  <si>
    <t>769</t>
  </si>
  <si>
    <t>นางสาวตรีวรา  เจษฎากานต์</t>
  </si>
  <si>
    <t>30/9/2573</t>
  </si>
  <si>
    <t>3700800408436</t>
  </si>
  <si>
    <t>094-624-8080</t>
  </si>
  <si>
    <t>770</t>
  </si>
  <si>
    <t>นางสาววราพันธ์  ปัญญาวงค์</t>
  </si>
  <si>
    <t>1560101501572</t>
  </si>
  <si>
    <t>065-420-7591</t>
  </si>
  <si>
    <t>771</t>
  </si>
  <si>
    <t>นางสาวนภัสวันต์  สีเชียงสา</t>
  </si>
  <si>
    <t>ขิง</t>
  </si>
  <si>
    <t>1570400237753</t>
  </si>
  <si>
    <t>095-179-9644</t>
  </si>
  <si>
    <t>772</t>
  </si>
  <si>
    <t>นางสาวนิศรา  วัฒนานิวัต</t>
  </si>
  <si>
    <t>คูน</t>
  </si>
  <si>
    <t>3509900262123</t>
  </si>
  <si>
    <t>081-021-0215</t>
  </si>
  <si>
    <t>774</t>
  </si>
  <si>
    <t>นางสาวพัชรพร  ทิวงษา</t>
  </si>
  <si>
    <t>1540301177175</t>
  </si>
  <si>
    <t>093-034-4745</t>
  </si>
  <si>
    <t>775</t>
  </si>
  <si>
    <t>นางสาวกัญญาวีร์  ตาปู</t>
  </si>
  <si>
    <t>เอิน</t>
  </si>
  <si>
    <t>1500401133048</t>
  </si>
  <si>
    <t>080-790-2637</t>
  </si>
  <si>
    <t>779</t>
  </si>
  <si>
    <t>นางสาวสุภัค  คำยอดใจ</t>
  </si>
  <si>
    <t>1509970056330</t>
  </si>
  <si>
    <t>781</t>
  </si>
  <si>
    <t>นางสาววิไลพร  ฝูงทอง</t>
  </si>
  <si>
    <t>1505200013694</t>
  </si>
  <si>
    <t>091-079-9422</t>
  </si>
  <si>
    <t>782</t>
  </si>
  <si>
    <t>นางสาววิลาสินี  วงศ์ใหญ่</t>
  </si>
  <si>
    <t>1420500119613</t>
  </si>
  <si>
    <t>082-162-0112</t>
  </si>
  <si>
    <t>783</t>
  </si>
  <si>
    <t>นางสาวสุมินตรา  สายแปง</t>
  </si>
  <si>
    <t>1520500115447</t>
  </si>
  <si>
    <t>785</t>
  </si>
  <si>
    <t>นางสาวภัคคมลทิพย์  สุภัคกาญจน์กุล</t>
  </si>
  <si>
    <t>5500601064832</t>
  </si>
  <si>
    <t>063-962-9384</t>
  </si>
  <si>
    <t>786</t>
  </si>
  <si>
    <t>นางสาวพันธ์วิรา  อนันคำ</t>
  </si>
  <si>
    <t>1509970086107</t>
  </si>
  <si>
    <t>787</t>
  </si>
  <si>
    <t>นางสาวพรยุพรรณ  ข้างจะงาม</t>
  </si>
  <si>
    <t>1509970104571</t>
  </si>
  <si>
    <t>062-410-3432</t>
  </si>
  <si>
    <t>788</t>
  </si>
  <si>
    <t>นางสาวปัทมา  อ่อนหวาน</t>
  </si>
  <si>
    <t>1529900944198</t>
  </si>
  <si>
    <t>795</t>
  </si>
  <si>
    <t>นางสาวทิพย์ประภา  วุฒิอินทร์</t>
  </si>
  <si>
    <t>1509970049864</t>
  </si>
  <si>
    <t>094-620-3962</t>
  </si>
  <si>
    <t>796</t>
  </si>
  <si>
    <t>นางสาวณิชกานต์  โท๊ะยะ</t>
  </si>
  <si>
    <t>1509970149290</t>
  </si>
  <si>
    <t>086-374-4079</t>
  </si>
  <si>
    <t>797</t>
  </si>
  <si>
    <t>นางสาวณัฐธิดา  แก้ววงศ์วาล</t>
  </si>
  <si>
    <t>1500201202518</t>
  </si>
  <si>
    <t>088-407-4510</t>
  </si>
  <si>
    <t>799</t>
  </si>
  <si>
    <t>นางสาวจารุมน  โสภณภูมิปัญญา</t>
  </si>
  <si>
    <t>1500401128567</t>
  </si>
  <si>
    <t>095-686-7365</t>
  </si>
  <si>
    <t>800</t>
  </si>
  <si>
    <t>นางสาวกุลธิดา  เป้งทอง</t>
  </si>
  <si>
    <t>1501101114499</t>
  </si>
  <si>
    <t>097-946-8756</t>
  </si>
  <si>
    <t>801</t>
  </si>
  <si>
    <t>นางสาวกัลยา  ใสจริง</t>
  </si>
  <si>
    <t>1509970032686</t>
  </si>
  <si>
    <t>084-115-9657</t>
  </si>
  <si>
    <t>803</t>
  </si>
  <si>
    <t>นางสาวกมลพรรณ  ทาคำ</t>
  </si>
  <si>
    <t>1509970083761</t>
  </si>
  <si>
    <t>096-739-2769</t>
  </si>
  <si>
    <t>804</t>
  </si>
  <si>
    <t>นางสาวรุจิรา  ดกพฤกษ์</t>
  </si>
  <si>
    <t>1509970107635</t>
  </si>
  <si>
    <t>090-318-6284</t>
  </si>
  <si>
    <t>805</t>
  </si>
  <si>
    <t>นางสาวสุชัญญา  เมธาทัศน์</t>
  </si>
  <si>
    <t>1500201205525</t>
  </si>
  <si>
    <t>082-039-8256</t>
  </si>
  <si>
    <t>806</t>
  </si>
  <si>
    <t>นางสาวจุฑามาศ  วียะศรี</t>
  </si>
  <si>
    <t>1509970069237</t>
  </si>
  <si>
    <t>090-931-9667</t>
  </si>
  <si>
    <t>807</t>
  </si>
  <si>
    <t>นางสาวณัฐณิชา  พิมภิรัตน์</t>
  </si>
  <si>
    <t>1505200029400</t>
  </si>
  <si>
    <t>097-954-9931</t>
  </si>
  <si>
    <t>810</t>
  </si>
  <si>
    <t>นางสาววรินรัตน์  ไชยแก้ว</t>
  </si>
  <si>
    <t>บลู</t>
  </si>
  <si>
    <t>1500901237764</t>
  </si>
  <si>
    <t>082-892-5457</t>
  </si>
  <si>
    <t>811</t>
  </si>
  <si>
    <t>นางสาวพชร  ลี้รัตนาวลี</t>
  </si>
  <si>
    <t>1509900788862</t>
  </si>
  <si>
    <t>087-193-1407</t>
  </si>
  <si>
    <t>812</t>
  </si>
  <si>
    <t>นางนฤมล  กาวิละ</t>
  </si>
  <si>
    <t>1509900833400</t>
  </si>
  <si>
    <t>084-740-0813</t>
  </si>
  <si>
    <t>813</t>
  </si>
  <si>
    <t>นางสาวอาจารี  วิทยผดุง</t>
  </si>
  <si>
    <t>บิว</t>
  </si>
  <si>
    <t>3969900127168</t>
  </si>
  <si>
    <t>088-894-1997</t>
  </si>
  <si>
    <t>814</t>
  </si>
  <si>
    <t>นางสาวธิดารัตน์  ขัติวงศ์</t>
  </si>
  <si>
    <t>1560100307926</t>
  </si>
  <si>
    <t>090-247-0428</t>
  </si>
  <si>
    <t>818</t>
  </si>
  <si>
    <t>นายพนักงานขับรถ(ทั่วไป-จ้างเหมา)  รพ.สันทราย</t>
  </si>
  <si>
    <t>จ้างเหมา</t>
  </si>
  <si>
    <t>30/9/2623</t>
  </si>
  <si>
    <t>888-888-8888</t>
  </si>
  <si>
    <t>819</t>
  </si>
  <si>
    <t>นายพนักงานขับรถ(Refer)  รพ.สันทราย</t>
  </si>
  <si>
    <t>ประจำ</t>
  </si>
  <si>
    <t>30/9/2620</t>
  </si>
  <si>
    <t>9999999999999</t>
  </si>
  <si>
    <t>820</t>
  </si>
  <si>
    <t>นางสาวณัฐภาวี  ปันโชค</t>
  </si>
  <si>
    <t>1729900210982</t>
  </si>
  <si>
    <t>080-656-1937</t>
  </si>
  <si>
    <t>821</t>
  </si>
  <si>
    <t>นางสาวเนตรชนก  เหลืองงาม</t>
  </si>
  <si>
    <t>กระแต</t>
  </si>
  <si>
    <t>1509901200826</t>
  </si>
  <si>
    <t>083-761-3401</t>
  </si>
  <si>
    <t>822</t>
  </si>
  <si>
    <t>นางสาวชุติมา  จันทร์ฟอง</t>
  </si>
  <si>
    <t>1580200087197</t>
  </si>
  <si>
    <t>823</t>
  </si>
  <si>
    <t>นางสาวพจมาน  เก่งผสานคุณ</t>
  </si>
  <si>
    <t>1501801140158</t>
  </si>
  <si>
    <t>098-417-5541</t>
  </si>
  <si>
    <t>828</t>
  </si>
  <si>
    <t>นางจันทร์จิรา  ทองวิลาศ</t>
  </si>
  <si>
    <t>1509900529859</t>
  </si>
  <si>
    <t>088-143-3235</t>
  </si>
  <si>
    <t>830</t>
  </si>
  <si>
    <t>นายพชร  จิตโรภาส</t>
  </si>
  <si>
    <t>ติ๊ง</t>
  </si>
  <si>
    <t>1509901370799</t>
  </si>
  <si>
    <t>084-501-9085</t>
  </si>
  <si>
    <t>831</t>
  </si>
  <si>
    <t>นางสาวทักษิณา  หาญจักรคำ</t>
  </si>
  <si>
    <t>1509900470153</t>
  </si>
  <si>
    <t>095-745-5651</t>
  </si>
  <si>
    <t>833</t>
  </si>
  <si>
    <t>นางสาวพิชามญชุ์  วรรณวงศ์</t>
  </si>
  <si>
    <t>ช่า</t>
  </si>
  <si>
    <t>1509901353479</t>
  </si>
  <si>
    <t>094-830-7427</t>
  </si>
  <si>
    <t>834</t>
  </si>
  <si>
    <t>นางสาวสกาวรัตน์   ไชยสาร</t>
  </si>
  <si>
    <t>1500700187603</t>
  </si>
  <si>
    <t>837</t>
  </si>
  <si>
    <t>นางสาวผกามาศ  ดวงทิพย์</t>
  </si>
  <si>
    <t>กะตอย</t>
  </si>
  <si>
    <t>1500700098490</t>
  </si>
  <si>
    <t>096-685-7858</t>
  </si>
  <si>
    <t>838</t>
  </si>
  <si>
    <t>นายเก้า  พิจิตร</t>
  </si>
  <si>
    <t>1500700114746</t>
  </si>
  <si>
    <t>086-916-8036</t>
  </si>
  <si>
    <t>840</t>
  </si>
  <si>
    <t>นายภาณุพงศ์    กางสำโรง</t>
  </si>
  <si>
    <t>1509900994551</t>
  </si>
  <si>
    <t>841</t>
  </si>
  <si>
    <t>นางสาวอภิญญา  ยาวิลาศ</t>
  </si>
  <si>
    <t>1509901616020</t>
  </si>
  <si>
    <t>095-823-6412</t>
  </si>
  <si>
    <t>842</t>
  </si>
  <si>
    <t>นางสาวอุบลวรรณ  สายเขื่อนสี</t>
  </si>
  <si>
    <t>1580300045461</t>
  </si>
  <si>
    <t>098-503-4330</t>
  </si>
  <si>
    <t>843</t>
  </si>
  <si>
    <t>นางสาวเบญญารัตน์  อุทร</t>
  </si>
  <si>
    <t>1509901575650</t>
  </si>
  <si>
    <t>844</t>
  </si>
  <si>
    <t>นางสาววาสนา  บงกชผ่องอำไพ</t>
  </si>
  <si>
    <t>ดาด้า</t>
  </si>
  <si>
    <t>1501600073941</t>
  </si>
  <si>
    <t>095-727-9355</t>
  </si>
  <si>
    <t>860</t>
  </si>
  <si>
    <t>นายเอกพล  ว่องการไถ</t>
  </si>
  <si>
    <t>ต้น</t>
  </si>
  <si>
    <t>3600200213791</t>
  </si>
  <si>
    <t>094-612-1454</t>
  </si>
  <si>
    <t>863</t>
  </si>
  <si>
    <t>นางสาวศิริวรรณ  วงสา</t>
  </si>
  <si>
    <t>1500701247880</t>
  </si>
  <si>
    <t>062-430-4071</t>
  </si>
  <si>
    <t>865</t>
  </si>
  <si>
    <t>นายนพดล  คำปินคำ</t>
  </si>
  <si>
    <t>1509901424180</t>
  </si>
  <si>
    <t>063-135-7150</t>
  </si>
  <si>
    <t>867</t>
  </si>
  <si>
    <t>085-442-7340</t>
  </si>
  <si>
    <t>นายดนุสรณ์  บริบูรณ์</t>
  </si>
  <si>
    <t>โต๋</t>
  </si>
  <si>
    <t>กลุ่มงานพัฒนาทรัพยากรบุคคล</t>
  </si>
  <si>
    <t>1509901325858</t>
  </si>
  <si>
    <t>094-601-3407</t>
  </si>
  <si>
    <t>869</t>
  </si>
  <si>
    <t>นายปรเมษฐ์  จันทร์มา</t>
  </si>
  <si>
    <t>ปอนด์</t>
  </si>
  <si>
    <t>1199600120614</t>
  </si>
  <si>
    <t>083-677-6059</t>
  </si>
  <si>
    <t>870</t>
  </si>
  <si>
    <t>นายธนกฤต  มาปัญญาเลิศ</t>
  </si>
  <si>
    <t>-แชมป์</t>
  </si>
  <si>
    <t>1509901439152</t>
  </si>
  <si>
    <t>088-026-1833</t>
  </si>
  <si>
    <t>877</t>
  </si>
  <si>
    <t>นางชลทิชา  ศรีทองเกิด</t>
  </si>
  <si>
    <t>โก</t>
  </si>
  <si>
    <t>3500500128812</t>
  </si>
  <si>
    <t>083-169-7778</t>
  </si>
  <si>
    <t>879</t>
  </si>
  <si>
    <t>นางสาววรรณกานต์  อุทร</t>
  </si>
  <si>
    <t>1509901402500</t>
  </si>
  <si>
    <t>881</t>
  </si>
  <si>
    <t>นายกนกฑวัส  กรมแขวง</t>
  </si>
  <si>
    <t>กร</t>
  </si>
  <si>
    <t>2560101039591</t>
  </si>
  <si>
    <t>883</t>
  </si>
  <si>
    <t>นางสาวศิริพร  แสงศรีจันทร์</t>
  </si>
  <si>
    <t>จุ๋ม</t>
  </si>
  <si>
    <t>1560300136041</t>
  </si>
  <si>
    <t>098-669-4606</t>
  </si>
  <si>
    <t>885</t>
  </si>
  <si>
    <t>นางสาวพิมพาภรณ์  จันทร์เย็น</t>
  </si>
  <si>
    <t>เฟริน์</t>
  </si>
  <si>
    <t>1500701222305</t>
  </si>
  <si>
    <t>082-624-6545</t>
  </si>
  <si>
    <t>887</t>
  </si>
  <si>
    <t>นางสาวอนัญญา  รัตนกระจ่าง</t>
  </si>
  <si>
    <t>3500700333771</t>
  </si>
  <si>
    <t>888</t>
  </si>
  <si>
    <t>นางสาวพัชรา  ขวัญใจไพเราะ</t>
  </si>
  <si>
    <t>1500300127603</t>
  </si>
  <si>
    <t>890</t>
  </si>
  <si>
    <t>นางพวงเพชร  นันติแก้ว</t>
  </si>
  <si>
    <t>เพชร</t>
  </si>
  <si>
    <t>30/9/2574</t>
  </si>
  <si>
    <t>3501400297150</t>
  </si>
  <si>
    <t>085-614-0861</t>
  </si>
  <si>
    <t>896</t>
  </si>
  <si>
    <t>นายสุรศักดิ์  ไชยเครื่อง</t>
  </si>
  <si>
    <t>ก้อง</t>
  </si>
  <si>
    <t>1520100131313</t>
  </si>
  <si>
    <t>061-280-3922</t>
  </si>
  <si>
    <t xml:space="preserve">นิราวรรณ์ </t>
  </si>
  <si>
    <t>899</t>
  </si>
  <si>
    <t>นางธมล  แสนเมือง</t>
  </si>
  <si>
    <t>fail_recaptcha</t>
  </si>
  <si>
    <t>ปอย</t>
  </si>
  <si>
    <t>1659900451352</t>
  </si>
  <si>
    <t>091-843-0074</t>
  </si>
  <si>
    <t>ชัยยารัตน์</t>
  </si>
  <si>
    <t>902</t>
  </si>
  <si>
    <t>นางสาวฤทัยรัตน์  ปวนปัน</t>
  </si>
  <si>
    <t>คุณไม่ได้รับอนุญาตให้เรียกใช้ UrlFetchApp.fetch สิทธิ์ที่จำเป็นคือ https://www.googleapis.com/auth/script.external_request ดูข้อมูลเพิ่มเติมได้ที่ https://developers.google.com/apps-script/guides/support/troubleshooting#authorization-is</t>
  </si>
  <si>
    <t>1509901425356</t>
  </si>
  <si>
    <t>082-930-4913</t>
  </si>
  <si>
    <t>904</t>
  </si>
  <si>
    <t>นายประพัฒน์  จันตาคำ</t>
  </si>
  <si>
    <t>1501100098597</t>
  </si>
  <si>
    <t>906</t>
  </si>
  <si>
    <t>นางสาวนลิน  แซ่ย่าง</t>
  </si>
  <si>
    <t>ริน</t>
  </si>
  <si>
    <t>1570400219933</t>
  </si>
  <si>
    <t>093-162-3874</t>
  </si>
  <si>
    <t>907</t>
  </si>
  <si>
    <t>นางสาวนิตยา  ดวงวิโรจน์</t>
  </si>
  <si>
    <t>นิ้ง</t>
  </si>
  <si>
    <t>1509901608728</t>
  </si>
  <si>
    <t>062-271-2585</t>
  </si>
  <si>
    <t>908</t>
  </si>
  <si>
    <t>นางสาวเยาวดี  ตานุ</t>
  </si>
  <si>
    <t>1580300048827</t>
  </si>
  <si>
    <t>061-790-5445</t>
  </si>
  <si>
    <t>909</t>
  </si>
  <si>
    <t>นางสาวลลิตา  วิชัย</t>
  </si>
  <si>
    <t>1509901495761</t>
  </si>
  <si>
    <t>085-524-4532</t>
  </si>
  <si>
    <t>910</t>
  </si>
  <si>
    <t>นางสาวพรธนัฐ  มุสิกพงศ์</t>
  </si>
  <si>
    <t>1919900094981</t>
  </si>
  <si>
    <t>912</t>
  </si>
  <si>
    <t>นางสาวสุปรีญา  สำราญชื่น</t>
  </si>
  <si>
    <t>ชมพู่</t>
  </si>
  <si>
    <t>1560100391617</t>
  </si>
  <si>
    <t>096-356-1102</t>
  </si>
  <si>
    <t>913</t>
  </si>
  <si>
    <t>นางสาวอณัฏฐปิติตา  อะทะสี</t>
  </si>
  <si>
    <t>หมิว</t>
  </si>
  <si>
    <t>1560100339232</t>
  </si>
  <si>
    <t>094-710-6598</t>
  </si>
  <si>
    <t>915</t>
  </si>
  <si>
    <t>นางสาวภาณุมาศ  หอมนวล</t>
  </si>
  <si>
    <t>1500700183535</t>
  </si>
  <si>
    <t>916</t>
  </si>
  <si>
    <t>นายพีระพล  พรหมฤทธิ์</t>
  </si>
  <si>
    <t>1509901688446</t>
  </si>
  <si>
    <t>917</t>
  </si>
  <si>
    <t>นางสาวปรียา  ยืนมาก</t>
  </si>
  <si>
    <t>1500900222208</t>
  </si>
  <si>
    <t>090-467-6824</t>
  </si>
  <si>
    <t>920</t>
  </si>
  <si>
    <t>นายสุรพล  คำตรี</t>
  </si>
  <si>
    <t>พล</t>
  </si>
  <si>
    <t>3500700289810</t>
  </si>
  <si>
    <t>080-587-0037</t>
  </si>
  <si>
    <t>925</t>
  </si>
  <si>
    <t>นางสาวกมลทิพย์  นันทะปารียอง</t>
  </si>
  <si>
    <t>นิ่ม</t>
  </si>
  <si>
    <t>30/9/2622</t>
  </si>
  <si>
    <t>1510100261292</t>
  </si>
  <si>
    <t>092-104-7539</t>
  </si>
  <si>
    <t>926</t>
  </si>
  <si>
    <t>นายนนตระการณ์  ทิวงษา</t>
  </si>
  <si>
    <t>อาม</t>
  </si>
  <si>
    <t>1529902058233</t>
  </si>
  <si>
    <t>087-746-7957</t>
  </si>
  <si>
    <t>927</t>
  </si>
  <si>
    <t>นางสาวมิ่งกมล  วงค์ไชย</t>
  </si>
  <si>
    <t>ใหม่</t>
  </si>
  <si>
    <t>1580400194531</t>
  </si>
  <si>
    <t>089-997-4151</t>
  </si>
  <si>
    <t>932</t>
  </si>
  <si>
    <t>นางสาวภัคสิริ  อิฐประสงค์</t>
  </si>
  <si>
    <t>1509901512631</t>
  </si>
  <si>
    <t>089-956-8904</t>
  </si>
  <si>
    <t>933</t>
  </si>
  <si>
    <t>นางสาวจิรนันท์   แสนแสน</t>
  </si>
  <si>
    <t>ฟาง</t>
  </si>
  <si>
    <t>1571000042883</t>
  </si>
  <si>
    <t>086-239-4472</t>
  </si>
  <si>
    <t>934</t>
  </si>
  <si>
    <t>นางหทัยภัทร  สุปัญญา</t>
  </si>
  <si>
    <t>ฟองเบียร์</t>
  </si>
  <si>
    <t>1509901446396</t>
  </si>
  <si>
    <t>082-026-5783</t>
  </si>
  <si>
    <t>936</t>
  </si>
  <si>
    <t>นางสาวจิราพรรณ  ปันธิมา</t>
  </si>
  <si>
    <t>บอม</t>
  </si>
  <si>
    <t>1509901675018</t>
  </si>
  <si>
    <t>093-039-6736</t>
  </si>
  <si>
    <t>937</t>
  </si>
  <si>
    <t>นางสาวจันทรา  สุขวสันต์สร้าง</t>
  </si>
  <si>
    <t>1500301249818</t>
  </si>
  <si>
    <t>942</t>
  </si>
  <si>
    <t>นางสาวปทิชชา  ดวงดีวงศ์</t>
  </si>
  <si>
    <t>เอิร์น</t>
  </si>
  <si>
    <t>1509960006437</t>
  </si>
  <si>
    <t>064-907-0232</t>
  </si>
  <si>
    <t>944</t>
  </si>
  <si>
    <t>นางสาวอรพินท์  จันทร์ฟอง</t>
  </si>
  <si>
    <t>พิน</t>
  </si>
  <si>
    <t>1580200084058</t>
  </si>
  <si>
    <t>092-997-9174</t>
  </si>
  <si>
    <t>949</t>
  </si>
  <si>
    <t>นางสาวพิมพ์วดี  นานาวรรณาคาร</t>
  </si>
  <si>
    <t>1589900113938</t>
  </si>
  <si>
    <t>097-956-1689</t>
  </si>
  <si>
    <t>951</t>
  </si>
  <si>
    <t>นางสาวภิรมย์ทอง  อุดร</t>
  </si>
  <si>
    <t>เป็กซ์</t>
  </si>
  <si>
    <t>1501100082143</t>
  </si>
  <si>
    <t>086-656-6878</t>
  </si>
  <si>
    <t>955</t>
  </si>
  <si>
    <t>นายศุภชัย  ตันสงวน</t>
  </si>
  <si>
    <t>1749800105427</t>
  </si>
  <si>
    <t>065-006-6536</t>
  </si>
  <si>
    <t>961</t>
  </si>
  <si>
    <t>นางจุฑามาศ  ถนอมกิจกุล</t>
  </si>
  <si>
    <t>1509901402631</t>
  </si>
  <si>
    <t>081-287-9519</t>
  </si>
  <si>
    <t>963</t>
  </si>
  <si>
    <t>นายฐิติกร   ตาน้อย</t>
  </si>
  <si>
    <t>แจ็ค</t>
  </si>
  <si>
    <t>1500700184469</t>
  </si>
  <si>
    <t>082-938-3765</t>
  </si>
  <si>
    <t>964</t>
  </si>
  <si>
    <t>นายเฉลิมชนม์  นันติแก้ว</t>
  </si>
  <si>
    <t>ตุ๊</t>
  </si>
  <si>
    <t>3501400298652</t>
  </si>
  <si>
    <t>063-107-5748</t>
  </si>
  <si>
    <t>965</t>
  </si>
  <si>
    <t>นางสาวเกศวลี  วงค์สุน</t>
  </si>
  <si>
    <t>1840300075023</t>
  </si>
  <si>
    <t>095-348-2015</t>
  </si>
  <si>
    <t>969</t>
  </si>
  <si>
    <t>นางสาวพรพิมล  โถยะโล</t>
  </si>
  <si>
    <t>t</t>
  </si>
  <si>
    <t>1560100385161</t>
  </si>
  <si>
    <t>972</t>
  </si>
  <si>
    <t>นางสาวรังษิณัฏฐ  พลเยี่ยม</t>
  </si>
  <si>
    <t>โก้</t>
  </si>
  <si>
    <t>3410400108616</t>
  </si>
  <si>
    <t>095-452-4574</t>
  </si>
  <si>
    <t>976</t>
  </si>
  <si>
    <t>นายผู้ดูแลระบบ  admin</t>
  </si>
  <si>
    <t>1234567890123</t>
  </si>
  <si>
    <t>222-222-2222</t>
  </si>
  <si>
    <t>977</t>
  </si>
  <si>
    <t>นายผู้ดูแลระบบ  admin2</t>
  </si>
  <si>
    <t>978</t>
  </si>
  <si>
    <t>นางสาวสุทธิดาภรณ์    สุทธิเมธีสกุล</t>
  </si>
  <si>
    <t>บีม</t>
  </si>
  <si>
    <t>1509901688365</t>
  </si>
  <si>
    <t>098-979-6773</t>
  </si>
  <si>
    <t>979</t>
  </si>
  <si>
    <t>นางสาววิภาวรรณ    วงศ์ใหญ่</t>
  </si>
  <si>
    <t>ดาว</t>
  </si>
  <si>
    <t>1560300275238</t>
  </si>
  <si>
    <t>061-268-4655</t>
  </si>
  <si>
    <t>980</t>
  </si>
  <si>
    <t>นางสาวปรรณธร    ศรีกันชัย</t>
  </si>
  <si>
    <t>เกรท</t>
  </si>
  <si>
    <t>1560600102185</t>
  </si>
  <si>
    <t>061-792-8765</t>
  </si>
  <si>
    <t>981</t>
  </si>
  <si>
    <t>นางสาวกัญญารัตน์     ใหม่จันทร์แดง</t>
  </si>
  <si>
    <t>ใบเตย</t>
  </si>
  <si>
    <t>1501100106778</t>
  </si>
  <si>
    <t>097-982-5317</t>
  </si>
  <si>
    <t>982</t>
  </si>
  <si>
    <t>นางสาวจุฑามาศ    หาญรัศมีวงศ์</t>
  </si>
  <si>
    <t>จี้</t>
  </si>
  <si>
    <t>1500700153121</t>
  </si>
  <si>
    <t>086-497-0670</t>
  </si>
  <si>
    <t>983</t>
  </si>
  <si>
    <t>นางสาวพิมพ์ชนก    สุริยะ</t>
  </si>
  <si>
    <t>ใบเฟิร์น</t>
  </si>
  <si>
    <t>1505100013641</t>
  </si>
  <si>
    <t>085-529-9935</t>
  </si>
  <si>
    <t>984</t>
  </si>
  <si>
    <t>นางสาวเมธินี   ไชยวงค์ษา</t>
  </si>
  <si>
    <t>นิว</t>
  </si>
  <si>
    <t>1509901713696</t>
  </si>
  <si>
    <t>080-315-0292</t>
  </si>
  <si>
    <t>985</t>
  </si>
  <si>
    <t>นางสาวบุษบา    ยั่งยืนกุล</t>
  </si>
  <si>
    <t>เดย์</t>
  </si>
  <si>
    <t>1500100074085</t>
  </si>
  <si>
    <t>061-492-2954</t>
  </si>
  <si>
    <t>986</t>
  </si>
  <si>
    <t>นางสาวดวงดาว    อุดมโยธิน</t>
  </si>
  <si>
    <t>1500700175249</t>
  </si>
  <si>
    <t>084-489-1164</t>
  </si>
  <si>
    <t>987</t>
  </si>
  <si>
    <t>นางสาวกษมพร    ปัญญาเป็ง</t>
  </si>
  <si>
    <t>1500700204711</t>
  </si>
  <si>
    <t>085-870-9499</t>
  </si>
  <si>
    <t>988</t>
  </si>
  <si>
    <t>นางสาวณิชานันท์    จันทร์แก้ว</t>
  </si>
  <si>
    <t>แคท</t>
  </si>
  <si>
    <t>1509901689795</t>
  </si>
  <si>
    <t>082-758-9378</t>
  </si>
  <si>
    <t>989</t>
  </si>
  <si>
    <t>นางสาวรัตนา    พีระวัฒน์คงทน</t>
  </si>
  <si>
    <t>แตง</t>
  </si>
  <si>
    <t>1500300182256</t>
  </si>
  <si>
    <t>093-301-7867</t>
  </si>
  <si>
    <t>990</t>
  </si>
  <si>
    <t>นางสาวศิรภัสสร   คำแสน</t>
  </si>
  <si>
    <t>วุ้นใส</t>
  </si>
  <si>
    <t>1505300014650</t>
  </si>
  <si>
    <t>085-716-7211</t>
  </si>
  <si>
    <t>991</t>
  </si>
  <si>
    <t>นางสาวศิริมาส    ปาละมี</t>
  </si>
  <si>
    <t>กิ๊ฟ</t>
  </si>
  <si>
    <t>1509970031604</t>
  </si>
  <si>
    <t>082-183-4480</t>
  </si>
  <si>
    <t>992</t>
  </si>
  <si>
    <t>นางสาวพุธิตา    ทองหลอม</t>
  </si>
  <si>
    <t>ไก่</t>
  </si>
  <si>
    <t>1509970012081</t>
  </si>
  <si>
    <t>063-894-2217</t>
  </si>
  <si>
    <t>993</t>
  </si>
  <si>
    <t>นางสาวณัฐชยา    แก้วเมืองไชย</t>
  </si>
  <si>
    <t>1549900463335</t>
  </si>
  <si>
    <t>094-601-0483</t>
  </si>
  <si>
    <t>994</t>
  </si>
  <si>
    <t>นางสาวพิชญา    บุญเกิด</t>
  </si>
  <si>
    <t>1500400101941</t>
  </si>
  <si>
    <t>098-752-3829</t>
  </si>
  <si>
    <t>995</t>
  </si>
  <si>
    <t>นางสาวพิมพ์พิสุทธิ์    ชวนชัย</t>
  </si>
  <si>
    <t>1505100001252</t>
  </si>
  <si>
    <t>097-924-2804</t>
  </si>
  <si>
    <t>996</t>
  </si>
  <si>
    <t>นางสาวอมลณัฐ    ไชยสวัสดิ์</t>
  </si>
  <si>
    <t>มะนาว</t>
  </si>
  <si>
    <t>2560200012802</t>
  </si>
  <si>
    <t>063-525-0231</t>
  </si>
  <si>
    <t>997</t>
  </si>
  <si>
    <t>นางสาวพัชรี    ปัญญา</t>
  </si>
  <si>
    <t>ชิเก๋</t>
  </si>
  <si>
    <t>1501900075796</t>
  </si>
  <si>
    <t>095-238-9157</t>
  </si>
  <si>
    <t>998</t>
  </si>
  <si>
    <t>นางสาวเบญญาพร    จมภู</t>
  </si>
  <si>
    <t>1505200035981</t>
  </si>
  <si>
    <t>064-227-5415</t>
  </si>
  <si>
    <t>999</t>
  </si>
  <si>
    <t>นางสาวสุทธิดา   ขัตตะละ</t>
  </si>
  <si>
    <t>1500700203480</t>
  </si>
  <si>
    <t>095-452-2057</t>
  </si>
  <si>
    <t>1,001</t>
  </si>
  <si>
    <t>นางสาวเพ็ญพิชชา  ศิลปเสริฐ</t>
  </si>
  <si>
    <t>1500700195410</t>
  </si>
  <si>
    <t>088-406-1225</t>
  </si>
  <si>
    <t>1,002</t>
  </si>
  <si>
    <t>นางสาวทิพวัลย์    ดวงรัตน์</t>
  </si>
  <si>
    <t>1500701224014</t>
  </si>
  <si>
    <t>094-704-7896</t>
  </si>
  <si>
    <t>1,003</t>
  </si>
  <si>
    <t>นางสาวปริยาภัทร   แก้วสกุล</t>
  </si>
  <si>
    <t>1102170009920</t>
  </si>
  <si>
    <t>083-154-9127</t>
  </si>
  <si>
    <t>1,004</t>
  </si>
  <si>
    <t>นางสาวสุดารัตน์     เลข่า</t>
  </si>
  <si>
    <t>โอ</t>
  </si>
  <si>
    <t>1500800081181</t>
  </si>
  <si>
    <t>093-145-9906</t>
  </si>
  <si>
    <t>1,005</t>
  </si>
  <si>
    <t>นางสาวนาถอนงค์   ไชยขัน</t>
  </si>
  <si>
    <t>1505200003087</t>
  </si>
  <si>
    <t>083-580-2958</t>
  </si>
  <si>
    <t>1,006</t>
  </si>
  <si>
    <t>นางสาวนฤพร    อินธิยะ</t>
  </si>
  <si>
    <t>1505200038565</t>
  </si>
  <si>
    <t>084-485-4862</t>
  </si>
  <si>
    <t>1,007</t>
  </si>
  <si>
    <t>นางสาวณัฐนิช  อ่ำแก้ว</t>
  </si>
  <si>
    <t>ณัฐ</t>
  </si>
  <si>
    <t>1509901659357</t>
  </si>
  <si>
    <t>085-106-7805</t>
  </si>
  <si>
    <t>1,008</t>
  </si>
  <si>
    <t>นางสาวปรัชญา    เจริญดี</t>
  </si>
  <si>
    <t>กวาง</t>
  </si>
  <si>
    <t>1500900220612</t>
  </si>
  <si>
    <t>095-237-2228</t>
  </si>
  <si>
    <t>1,009</t>
  </si>
  <si>
    <t>นางสาวเรณุมาศ     ชุ่มใจ</t>
  </si>
  <si>
    <t>นาย</t>
  </si>
  <si>
    <t>1501100107936</t>
  </si>
  <si>
    <t>099-858-1175</t>
  </si>
  <si>
    <t>1,010</t>
  </si>
  <si>
    <t>นางสาวอรยา    จริยา</t>
  </si>
  <si>
    <t xml:space="preserve">เอิน </t>
  </si>
  <si>
    <t>1500300174334</t>
  </si>
  <si>
    <t>080-146-0627</t>
  </si>
  <si>
    <t>1,011</t>
  </si>
  <si>
    <t>นางสาวสุวนันท์    ยศเรือนคำ</t>
  </si>
  <si>
    <t>1505200004962</t>
  </si>
  <si>
    <t>080-146-2290</t>
  </si>
  <si>
    <t>1,012</t>
  </si>
  <si>
    <t>นางสาวอดิศา    เป็งไชยวงค์</t>
  </si>
  <si>
    <t>1505200010547</t>
  </si>
  <si>
    <t>084-614-0964</t>
  </si>
  <si>
    <t>1,013</t>
  </si>
  <si>
    <t>นางสาวกชนิภา   แก้วหน้อย</t>
  </si>
  <si>
    <t>มีน</t>
  </si>
  <si>
    <t>1505200045448</t>
  </si>
  <si>
    <t>061-961-4154</t>
  </si>
  <si>
    <t>1,014</t>
  </si>
  <si>
    <t>นางสาวธัณยพร   อินตาลา</t>
  </si>
  <si>
    <t>ปุ๋ย</t>
  </si>
  <si>
    <t>1500200182513</t>
  </si>
  <si>
    <t>061-561-6371</t>
  </si>
  <si>
    <t>1,015</t>
  </si>
  <si>
    <t>นางสาวจิราภรณ์   พุททา</t>
  </si>
  <si>
    <t>1500300183821</t>
  </si>
  <si>
    <t>097-047-2784</t>
  </si>
  <si>
    <t>1,016</t>
  </si>
  <si>
    <t>นางสาวพลินทราพัชร์  ประภาพรรณ</t>
  </si>
  <si>
    <t>2501600026810</t>
  </si>
  <si>
    <t>063-775-1900</t>
  </si>
  <si>
    <t>1,018</t>
  </si>
  <si>
    <t>นายสุรพิชญ์  เทพนรินทร์</t>
  </si>
  <si>
    <t>1505200011039</t>
  </si>
  <si>
    <t>093-329-9007</t>
  </si>
  <si>
    <t>1,019</t>
  </si>
  <si>
    <t>นางสาวรมมณีย์    ภิรมย์</t>
  </si>
  <si>
    <t>หวาน</t>
  </si>
  <si>
    <t>1509901636519</t>
  </si>
  <si>
    <t>082-382-0173</t>
  </si>
  <si>
    <t>1,020</t>
  </si>
  <si>
    <t>fail_password</t>
  </si>
  <si>
    <t>นางสาวจินดาภรณ์     สุพรรณ์</t>
  </si>
  <si>
    <t>แอนนา</t>
  </si>
  <si>
    <t>1505200047173</t>
  </si>
  <si>
    <t>061-370-8214</t>
  </si>
  <si>
    <t>1,021</t>
  </si>
  <si>
    <t>นางสาวธัญญพัทธ์    จันทา</t>
  </si>
  <si>
    <t>Eye</t>
  </si>
  <si>
    <t>1505200016120</t>
  </si>
  <si>
    <t>088-407-0544</t>
  </si>
  <si>
    <t>1,022</t>
  </si>
  <si>
    <t>นางสาววิรากานต์    คุ้มวิเศษ</t>
  </si>
  <si>
    <t>1500400103536</t>
  </si>
  <si>
    <t>084-576-2575</t>
  </si>
  <si>
    <t>1,023</t>
  </si>
  <si>
    <t>นางสาวเพ็ญพิชา    ปัญญาแก้ว</t>
  </si>
  <si>
    <t>มิว</t>
  </si>
  <si>
    <t>1505200040578</t>
  </si>
  <si>
    <t>082-952-9496</t>
  </si>
  <si>
    <t>1,024</t>
  </si>
  <si>
    <t>นางสาวจรรยาภรณ์    ปันธิมา</t>
  </si>
  <si>
    <t>1509901675026</t>
  </si>
  <si>
    <t>080-672-0441</t>
  </si>
  <si>
    <t>1,026</t>
  </si>
  <si>
    <t>นางสาวกรรณิการ์   ศรีวิจา</t>
  </si>
  <si>
    <t>ยิว</t>
  </si>
  <si>
    <t>1501800077860</t>
  </si>
  <si>
    <t>093-303-5801</t>
  </si>
  <si>
    <t>1,027</t>
  </si>
  <si>
    <t>นางสาวสุภนิดา  ติ๊บปะละ</t>
  </si>
  <si>
    <t>ปุ๊กกี้</t>
  </si>
  <si>
    <t>1540700083328</t>
  </si>
  <si>
    <t>093-282-3111</t>
  </si>
  <si>
    <t>1,028</t>
  </si>
  <si>
    <t>นางสาวสิริยากร    วังมูล</t>
  </si>
  <si>
    <t>1500700184019</t>
  </si>
  <si>
    <t>090-319-0383</t>
  </si>
  <si>
    <t>1,029</t>
  </si>
  <si>
    <t>นายศุภกิจ    เฟื่องฟูธนกิจ</t>
  </si>
  <si>
    <t>กิจ</t>
  </si>
  <si>
    <t xml:space="preserve">นวัชภรณ์ </t>
  </si>
  <si>
    <t>1341300069363</t>
  </si>
  <si>
    <t>083-320-4626</t>
  </si>
  <si>
    <t>1,030</t>
  </si>
  <si>
    <t>นางสาววัชรี    คำคง</t>
  </si>
  <si>
    <t>วุ้นเส้น</t>
  </si>
  <si>
    <t>1509900615780</t>
  </si>
  <si>
    <t>080-134-9051</t>
  </si>
  <si>
    <t>1,033</t>
  </si>
  <si>
    <t>นางสาวภักดิ์กมล    สีตาวัน</t>
  </si>
  <si>
    <t>1539900600031</t>
  </si>
  <si>
    <t>095-414-3507</t>
  </si>
  <si>
    <t>1,034</t>
  </si>
  <si>
    <t>นายกรีธากร     แข็งแรง</t>
  </si>
  <si>
    <t>กั้ง</t>
  </si>
  <si>
    <t>1500700118083</t>
  </si>
  <si>
    <t>096-697-4681</t>
  </si>
  <si>
    <t>1,035</t>
  </si>
  <si>
    <t>สุวรรณ์</t>
  </si>
  <si>
    <t>นายทรงกรด    รัตนมาณ</t>
  </si>
  <si>
    <t>อ้วน</t>
  </si>
  <si>
    <t>3540100258808</t>
  </si>
  <si>
    <t>1,036</t>
  </si>
  <si>
    <t>นางแววดาว   เสนางาม</t>
  </si>
  <si>
    <t>แอด</t>
  </si>
  <si>
    <t>3501400126428</t>
  </si>
  <si>
    <t>096-604-9223</t>
  </si>
  <si>
    <t>1,038</t>
  </si>
  <si>
    <t>นายทวีศักดิ์    สายเขียว</t>
  </si>
  <si>
    <t>A</t>
  </si>
  <si>
    <t>5501490002207</t>
  </si>
  <si>
    <t>062-258-2636</t>
  </si>
  <si>
    <t>1,041</t>
  </si>
  <si>
    <t>นางสาวชญานี   สมบูรณ์</t>
  </si>
  <si>
    <t>1509901184197</t>
  </si>
  <si>
    <t>089-851-7624</t>
  </si>
  <si>
    <t>1,043</t>
  </si>
  <si>
    <t>นางสาวอภิญญา    บุญธรรม</t>
  </si>
  <si>
    <t>1509901436731</t>
  </si>
  <si>
    <t>092-946-1076</t>
  </si>
  <si>
    <t>1,044</t>
  </si>
  <si>
    <t>นางดิษยา    กิตติธรสกุล</t>
  </si>
  <si>
    <t>1560100031360</t>
  </si>
  <si>
    <t>091-859-5301</t>
  </si>
  <si>
    <t>1,045</t>
  </si>
  <si>
    <t>นางสาววัชรีพร  มอรอยอ</t>
  </si>
  <si>
    <t>ลูกไม้</t>
  </si>
  <si>
    <t>1580300064954</t>
  </si>
  <si>
    <t>083-763-8799</t>
  </si>
  <si>
    <t>1,047</t>
  </si>
  <si>
    <t>นางสาวสุภาภรณ์    สวนมะนิล</t>
  </si>
  <si>
    <t>1509901447406</t>
  </si>
  <si>
    <t>093-140-3465</t>
  </si>
  <si>
    <t>1,048</t>
  </si>
  <si>
    <t>นางสาวมลฤดี    จันทร์ศิริ</t>
  </si>
  <si>
    <t>1509901536191</t>
  </si>
  <si>
    <t>080-133-6014</t>
  </si>
  <si>
    <t>1,050</t>
  </si>
  <si>
    <t>นางสาวสยุมพรรณ    โกฎิคำ</t>
  </si>
  <si>
    <t>1500300137501</t>
  </si>
  <si>
    <t>088-254-6403</t>
  </si>
  <si>
    <t>1,051</t>
  </si>
  <si>
    <t>นางสาวพรพรรณ  เป็งใจ</t>
  </si>
  <si>
    <t>มด</t>
  </si>
  <si>
    <t>1501700073226</t>
  </si>
  <si>
    <t>094-761-0066</t>
  </si>
  <si>
    <t>1,052</t>
  </si>
  <si>
    <t>นางสาวปัทมาภรณ์   แดงบุญ</t>
  </si>
  <si>
    <t>1501600101848</t>
  </si>
  <si>
    <t>091-870-6878</t>
  </si>
  <si>
    <t>1,053</t>
  </si>
  <si>
    <t>นางสาวจิรนันท์    จันทร์วัฒนะ</t>
  </si>
  <si>
    <t>อีฟ</t>
  </si>
  <si>
    <t>1509901508120</t>
  </si>
  <si>
    <t>093-149-0978</t>
  </si>
  <si>
    <t>1,055</t>
  </si>
  <si>
    <t>นางสาวศุภกานต์    ณีตระกุล</t>
  </si>
  <si>
    <t>จ๊อบ</t>
  </si>
  <si>
    <t>1589900082285</t>
  </si>
  <si>
    <t>085-551-2778</t>
  </si>
  <si>
    <t>1,056</t>
  </si>
  <si>
    <t>นางสาวรัมภา    ศรีพวงใจ</t>
  </si>
  <si>
    <t>กิ่ง</t>
  </si>
  <si>
    <t>1509901427995</t>
  </si>
  <si>
    <t>081-179-9290</t>
  </si>
  <si>
    <t>1,058</t>
  </si>
  <si>
    <t>นางสาวภัสราภรณ์    จิ่งต่า</t>
  </si>
  <si>
    <t>1500800065305</t>
  </si>
  <si>
    <t>096-169-5404</t>
  </si>
  <si>
    <t>1,060</t>
  </si>
  <si>
    <t>นางสาวรัชฏาวรรณ   รัตนะ</t>
  </si>
  <si>
    <t>1509901446973</t>
  </si>
  <si>
    <t>098-356-6509</t>
  </si>
  <si>
    <t>1,061</t>
  </si>
  <si>
    <t>นางสาวหรินรัญชนา   เตชะสา</t>
  </si>
  <si>
    <t>เมย์เม่</t>
  </si>
  <si>
    <t>1500400090906</t>
  </si>
  <si>
    <t>097-937-5703</t>
  </si>
  <si>
    <t>1,062</t>
  </si>
  <si>
    <t>นางสาวธนพร   กำเนิดนที</t>
  </si>
  <si>
    <t>แตงกวา</t>
  </si>
  <si>
    <t>1500700167734</t>
  </si>
  <si>
    <t>094-635-9764</t>
  </si>
  <si>
    <t>1,063</t>
  </si>
  <si>
    <t>นางสาวพัทธนันท์    หาญศึก</t>
  </si>
  <si>
    <t>1500400091201</t>
  </si>
  <si>
    <t>094-628-5682</t>
  </si>
  <si>
    <t>1,064</t>
  </si>
  <si>
    <t>นางสาวจิราภา    ไชยธงยศ</t>
  </si>
  <si>
    <t>1489900215472</t>
  </si>
  <si>
    <t>086-923-6622</t>
  </si>
  <si>
    <t>1,065</t>
  </si>
  <si>
    <t>นางสาวรัชดาภรณ์    ไคร้มูล</t>
  </si>
  <si>
    <t>สนุ๊ก</t>
  </si>
  <si>
    <t>1509901345492</t>
  </si>
  <si>
    <t>088-139-5075</t>
  </si>
  <si>
    <t>1,066</t>
  </si>
  <si>
    <t>นางพิมผกา    แบส</t>
  </si>
  <si>
    <t>1500700169036</t>
  </si>
  <si>
    <t>096-872-8386</t>
  </si>
  <si>
    <t>1,067</t>
  </si>
  <si>
    <t>นางสาวฐนิกา    เมืองวงค์</t>
  </si>
  <si>
    <t>แพม</t>
  </si>
  <si>
    <t>1579900614791</t>
  </si>
  <si>
    <t>095-695-1245</t>
  </si>
  <si>
    <t>1,068</t>
  </si>
  <si>
    <t>นางสาวศุภรดา    คีรีแก้ว</t>
  </si>
  <si>
    <t>จิ๊ด</t>
  </si>
  <si>
    <t>1500700166622</t>
  </si>
  <si>
    <t>062-946-9461</t>
  </si>
  <si>
    <t>1,069</t>
  </si>
  <si>
    <t>นางสาวกรกนก      คีรีแก้ว</t>
  </si>
  <si>
    <t>จอย</t>
  </si>
  <si>
    <t>1500700166631</t>
  </si>
  <si>
    <t>096-946-1450</t>
  </si>
  <si>
    <t>1,071</t>
  </si>
  <si>
    <t>นางสุทธิณี    รัตนมาณ</t>
  </si>
  <si>
    <t>1509900674255</t>
  </si>
  <si>
    <t>099-141-9673</t>
  </si>
  <si>
    <t>1,073</t>
  </si>
  <si>
    <t>นายสาริน   สายคำฟู</t>
  </si>
  <si>
    <t>พี</t>
  </si>
  <si>
    <t>1529900668506</t>
  </si>
  <si>
    <t>090-317-0145</t>
  </si>
  <si>
    <t>1,074</t>
  </si>
  <si>
    <t>นางนฤมล     เมธา</t>
  </si>
  <si>
    <t>มล</t>
  </si>
  <si>
    <t>1509900979480</t>
  </si>
  <si>
    <t>096-745-1612</t>
  </si>
  <si>
    <t>1,075</t>
  </si>
  <si>
    <t>นางสาวสิริกานต์   ทิพยะ</t>
  </si>
  <si>
    <t>1500200161052</t>
  </si>
  <si>
    <t>080-122-6255</t>
  </si>
  <si>
    <t>1,076</t>
  </si>
  <si>
    <t>นางสาวปนัฎฐา  ปัญญายอง</t>
  </si>
  <si>
    <t>1510300072787</t>
  </si>
  <si>
    <t>063-970-3836</t>
  </si>
  <si>
    <t>1,077</t>
  </si>
  <si>
    <t>นายประทีม   ไฝคำ</t>
  </si>
  <si>
    <t>ทีม</t>
  </si>
  <si>
    <t>30/9/2575</t>
  </si>
  <si>
    <t>3500900060701</t>
  </si>
  <si>
    <t>1,078</t>
  </si>
  <si>
    <t>นางสาวอัจฉรา   วรรณไสย</t>
  </si>
  <si>
    <t>กิ๊บ</t>
  </si>
  <si>
    <t>1500700124873</t>
  </si>
  <si>
    <t>064-668-6305</t>
  </si>
  <si>
    <t>1,079</t>
  </si>
  <si>
    <t>นางสาวชลลดา  บรรเรียนกิจ</t>
  </si>
  <si>
    <t>ดรีม</t>
  </si>
  <si>
    <t>1509901338640</t>
  </si>
  <si>
    <t>089-435-5960</t>
  </si>
  <si>
    <t>1,080</t>
  </si>
  <si>
    <t>นายณัฐวุฒิ  อารามแก้ว</t>
  </si>
  <si>
    <t>นัด</t>
  </si>
  <si>
    <t>1501100081694</t>
  </si>
  <si>
    <t>064-757-1954</t>
  </si>
  <si>
    <t>1,081</t>
  </si>
  <si>
    <t>นางชลธิชา    จิตต์สุนทร</t>
  </si>
  <si>
    <t>แป้ง</t>
  </si>
  <si>
    <t>1539900494184</t>
  </si>
  <si>
    <t>095-676-9282</t>
  </si>
  <si>
    <t>1,082</t>
  </si>
  <si>
    <t>นางสาวสุทธิวรรณ    ติ๊บใหม่</t>
  </si>
  <si>
    <t>1509901396844</t>
  </si>
  <si>
    <t>092-785-3992</t>
  </si>
  <si>
    <t>1,084</t>
  </si>
  <si>
    <t>นางสาวนภัทรธมณฑ์    ไฝชมภู</t>
  </si>
  <si>
    <t>nan</t>
  </si>
  <si>
    <t>1509901356681</t>
  </si>
  <si>
    <t>099-965-7598</t>
  </si>
  <si>
    <t>กลุ่มงานยุทธศาสตร์และแผนงานโครงการ</t>
  </si>
  <si>
    <t>1,086</t>
  </si>
  <si>
    <t>นางสาวอังคณา    อายุยืน</t>
  </si>
  <si>
    <t>1500700130253</t>
  </si>
  <si>
    <t>1,087</t>
  </si>
  <si>
    <t>ว่าที่ร้อยตรีหญิงวิชุตา    จันทร์ขาว</t>
  </si>
  <si>
    <t>ปิ่น</t>
  </si>
  <si>
    <t>1579900283795</t>
  </si>
  <si>
    <t>095-235-8358</t>
  </si>
  <si>
    <t>1,088</t>
  </si>
  <si>
    <t>นางสาวรัชดาภรณ์    เที่ยงจันตา</t>
  </si>
  <si>
    <t>1509901322573</t>
  </si>
  <si>
    <t>091-255-5626</t>
  </si>
  <si>
    <t>1,089</t>
  </si>
  <si>
    <t>นางสาวอรุโณทัย   อย่างอิ่น</t>
  </si>
  <si>
    <t>กุ๊ก</t>
  </si>
  <si>
    <t>1509901304516</t>
  </si>
  <si>
    <t>087-727-9714</t>
  </si>
  <si>
    <t>1,091</t>
  </si>
  <si>
    <t>นายกานต์นิธิ  ทองอร</t>
  </si>
  <si>
    <t>โบ๊ท</t>
  </si>
  <si>
    <t>1500700143797</t>
  </si>
  <si>
    <t>086-100-4536</t>
  </si>
  <si>
    <t>1,092</t>
  </si>
  <si>
    <t>นางสาวพัชรีรัตน์  แกนุ</t>
  </si>
  <si>
    <t>1500300170487</t>
  </si>
  <si>
    <t>084-595-1199</t>
  </si>
  <si>
    <t>1,093</t>
  </si>
  <si>
    <t>นางสาวศศิชา    ศิริลักษณ์</t>
  </si>
  <si>
    <t>ณัชชา</t>
  </si>
  <si>
    <t>2160100023440</t>
  </si>
  <si>
    <t>088-252-6739</t>
  </si>
  <si>
    <t>1,094</t>
  </si>
  <si>
    <t>นางเกตุวลี  วงค์เทพ</t>
  </si>
  <si>
    <t>เกตุ</t>
  </si>
  <si>
    <t>3520100930999</t>
  </si>
  <si>
    <t>093-131-0658</t>
  </si>
  <si>
    <t>1,095</t>
  </si>
  <si>
    <t>นางสาวอัจฉรา     แถวถาทำ</t>
  </si>
  <si>
    <t>กิฟท์</t>
  </si>
  <si>
    <t>1509901440983</t>
  </si>
  <si>
    <t>088-269-2804</t>
  </si>
  <si>
    <t>1,096</t>
  </si>
  <si>
    <t>นายกิตติศักดิ์    เป็งทา</t>
  </si>
  <si>
    <t>ไวท์</t>
  </si>
  <si>
    <t>1509901283403</t>
  </si>
  <si>
    <t>093-137-9591</t>
  </si>
  <si>
    <t>1,098</t>
  </si>
  <si>
    <t>นางสาวนัทธ์หทัย  ชัยสุรินทร์</t>
  </si>
  <si>
    <t>น้ำหวาน</t>
  </si>
  <si>
    <t>1509901242626</t>
  </si>
  <si>
    <t>098-746-8600</t>
  </si>
  <si>
    <t>1,099</t>
  </si>
  <si>
    <t>นางสาวกัญญาณัฐ     นามวงศ์พรหม</t>
  </si>
  <si>
    <t>bow</t>
  </si>
  <si>
    <t>1509901420435</t>
  </si>
  <si>
    <t>088-260-6063</t>
  </si>
  <si>
    <t>1,101</t>
  </si>
  <si>
    <t>นางสาวพัชริดา    อังสนานันท์</t>
  </si>
  <si>
    <t>1509901405959</t>
  </si>
  <si>
    <t>063-519-9525</t>
  </si>
  <si>
    <t>1,102</t>
  </si>
  <si>
    <t>นายสถิตย์  ขันแก้ว</t>
  </si>
  <si>
    <t>เบริด</t>
  </si>
  <si>
    <t>1509900436478</t>
  </si>
  <si>
    <t>064-225-9749</t>
  </si>
  <si>
    <t>1,104</t>
  </si>
  <si>
    <t>นางสาวยุพิน   ฤดีเหมันต์</t>
  </si>
  <si>
    <t>ยุยุ</t>
  </si>
  <si>
    <t>1500300122725</t>
  </si>
  <si>
    <t>082-881-1299</t>
  </si>
  <si>
    <t>1,105</t>
  </si>
  <si>
    <t>นางสาวไพลิน     โพธิ</t>
  </si>
  <si>
    <t>1500400089428</t>
  </si>
  <si>
    <t>096-698-8937</t>
  </si>
  <si>
    <t>1,107</t>
  </si>
  <si>
    <t>นางสาววทัญญุตา      วาทกกานต์</t>
  </si>
  <si>
    <t>อัง</t>
  </si>
  <si>
    <t>8502084010676</t>
  </si>
  <si>
    <t>064-495-5955</t>
  </si>
  <si>
    <t>1,108</t>
  </si>
  <si>
    <t>นางสาวธีราดา   สุขสบาย</t>
  </si>
  <si>
    <t>1500700118911</t>
  </si>
  <si>
    <t>094-298-8196</t>
  </si>
  <si>
    <t>1,109</t>
  </si>
  <si>
    <t>นางสาวพัทธวนัช    หล่ออริยวัฒน์</t>
  </si>
  <si>
    <t>ฟง</t>
  </si>
  <si>
    <t>1580300063818</t>
  </si>
  <si>
    <t>090-054-3602</t>
  </si>
  <si>
    <t>1,110</t>
  </si>
  <si>
    <t>นางสาวจุฑาพิน    สมณะ</t>
  </si>
  <si>
    <t>ปู</t>
  </si>
  <si>
    <t>1499900102724</t>
  </si>
  <si>
    <t>084-612-1316</t>
  </si>
  <si>
    <t>1,111</t>
  </si>
  <si>
    <t>นางสาวจิรภา    คำตุ่น</t>
  </si>
  <si>
    <t>แต้ม</t>
  </si>
  <si>
    <t>1509900558841</t>
  </si>
  <si>
    <t>088-264-7147</t>
  </si>
  <si>
    <t>1,112</t>
  </si>
  <si>
    <t>นายวีรยุทธ    แซ่เท้า</t>
  </si>
  <si>
    <t>1501100106093</t>
  </si>
  <si>
    <t>097-240-0241</t>
  </si>
  <si>
    <t>1,113</t>
  </si>
  <si>
    <t>นางสาวนันท์ลภัส  ธรีกรณ์พัฒน์</t>
  </si>
  <si>
    <t>1509900554241</t>
  </si>
  <si>
    <t>085-620-4746</t>
  </si>
  <si>
    <t>1,114</t>
  </si>
  <si>
    <t>นางสาวทิพพาวดี   จันทร์ใส</t>
  </si>
  <si>
    <t>1509901283411</t>
  </si>
  <si>
    <t>094-636-0110</t>
  </si>
  <si>
    <t>1,115</t>
  </si>
  <si>
    <t>นายฐกร  จิตติกานนท์</t>
  </si>
  <si>
    <t>1509901130763</t>
  </si>
  <si>
    <t>084-740-8130</t>
  </si>
  <si>
    <t>1,116</t>
  </si>
  <si>
    <t>นางสาวฉัตรกนก    อภิบาล</t>
  </si>
  <si>
    <t>1509900426669</t>
  </si>
  <si>
    <t>064-479-2235</t>
  </si>
  <si>
    <t>1,118</t>
  </si>
  <si>
    <t>นายวรายุทธ  ยอดดี</t>
  </si>
  <si>
    <t>1500700135581</t>
  </si>
  <si>
    <t>063-731-6147</t>
  </si>
  <si>
    <t>1,120</t>
  </si>
  <si>
    <t>นายเฉลิม    บุญเรือง</t>
  </si>
  <si>
    <t>เฉลิม</t>
  </si>
  <si>
    <t>1509900674646</t>
  </si>
  <si>
    <t>082-400-1240</t>
  </si>
  <si>
    <t>1,121</t>
  </si>
  <si>
    <t>22/04/2538</t>
  </si>
  <si>
    <t>นางสาวกิตตินันต์    วงศ์ปันยอง</t>
  </si>
  <si>
    <t>หวานจ๋อย</t>
  </si>
  <si>
    <t>1509900420032</t>
  </si>
  <si>
    <t>092-460-4122</t>
  </si>
  <si>
    <t>1,122</t>
  </si>
  <si>
    <t>นางสาวพิมพ์   ศรีสกุล</t>
  </si>
  <si>
    <t>ปานวาด</t>
  </si>
  <si>
    <t>1500700143525</t>
  </si>
  <si>
    <t>090-891-9998</t>
  </si>
  <si>
    <t>1,123</t>
  </si>
  <si>
    <t>นางแคทรียา   เลาแก้ว</t>
  </si>
  <si>
    <t>1509900593107</t>
  </si>
  <si>
    <t>093-138-2278</t>
  </si>
  <si>
    <t>1,124</t>
  </si>
  <si>
    <t>นางสาวกรกมล    ไชยนุรักษ์</t>
  </si>
  <si>
    <t>เบลล์</t>
  </si>
  <si>
    <t>1501100099739</t>
  </si>
  <si>
    <t>061-795-7444</t>
  </si>
  <si>
    <t>1,128</t>
  </si>
  <si>
    <t>นางสาวมะเสละ    จะแล</t>
  </si>
  <si>
    <t>8501184004901</t>
  </si>
  <si>
    <t>065-221-0325</t>
  </si>
  <si>
    <t>1,130</t>
  </si>
  <si>
    <t>นางพัสตราภรณ์    ปินตาเสน</t>
  </si>
  <si>
    <t>1509901026664</t>
  </si>
  <si>
    <t>082-761-7852</t>
  </si>
  <si>
    <t>1,131</t>
  </si>
  <si>
    <t>นางสาวธารีรัตน์    บุญทวี</t>
  </si>
  <si>
    <t xml:space="preserve">สุวิมล </t>
  </si>
  <si>
    <t>เปีย</t>
  </si>
  <si>
    <t>1509900692440</t>
  </si>
  <si>
    <t>086-921-6900</t>
  </si>
  <si>
    <t>1,133</t>
  </si>
  <si>
    <t>นางสาวอัจฉรา    ชัยมูล</t>
  </si>
  <si>
    <t>ยาบัว</t>
  </si>
  <si>
    <t>เอ๋</t>
  </si>
  <si>
    <t>3501400666856</t>
  </si>
  <si>
    <t>090-474-6994</t>
  </si>
  <si>
    <t>1,134</t>
  </si>
  <si>
    <t>นางสาวปัทมา     ปู่จันทร์</t>
  </si>
  <si>
    <t>1501700072432</t>
  </si>
  <si>
    <t>093-721-6405</t>
  </si>
  <si>
    <t>1,135</t>
  </si>
  <si>
    <t>นางสาวพรทิพา    ปัญจันทร์</t>
  </si>
  <si>
    <t>1500800062241</t>
  </si>
  <si>
    <t>080-124-3683</t>
  </si>
  <si>
    <t>1,136</t>
  </si>
  <si>
    <t>นางสาวมยุรา   ยงวีรบุรุษ</t>
  </si>
  <si>
    <t>เล็ก</t>
  </si>
  <si>
    <t>1580400161706</t>
  </si>
  <si>
    <t>097-927-7901</t>
  </si>
  <si>
    <t>1,137</t>
  </si>
  <si>
    <t>นางสาวเดือนเพ็ญ    เมืองมูล</t>
  </si>
  <si>
    <t>แต้ว</t>
  </si>
  <si>
    <t>1509900798078</t>
  </si>
  <si>
    <t>095-143-8764</t>
  </si>
  <si>
    <t>1,139</t>
  </si>
  <si>
    <t>นางสาวภานุมาศ   สิทธิ</t>
  </si>
  <si>
    <t>ปอ</t>
  </si>
  <si>
    <t>1509901390587</t>
  </si>
  <si>
    <t>087-177-2897</t>
  </si>
  <si>
    <t>1,140</t>
  </si>
  <si>
    <t>นายคมสันต์    กองวิ</t>
  </si>
  <si>
    <t>เค</t>
  </si>
  <si>
    <t>1509900534593</t>
  </si>
  <si>
    <t>083-207-6895</t>
  </si>
  <si>
    <t>1,141</t>
  </si>
  <si>
    <t>นางสาวปณัฐดา    เทพจันทร์ดา</t>
  </si>
  <si>
    <t>1500700121742</t>
  </si>
  <si>
    <t>1,142</t>
  </si>
  <si>
    <t>นายจิระพันธ์      ประทุม</t>
  </si>
  <si>
    <t>ต๊อก</t>
  </si>
  <si>
    <t>1500700073535</t>
  </si>
  <si>
    <t>082-029-1577</t>
  </si>
  <si>
    <t>1,144</t>
  </si>
  <si>
    <t>นายพิเชษฐ  อาจใจ</t>
  </si>
  <si>
    <t>เชษฐ</t>
  </si>
  <si>
    <t>3500600282414</t>
  </si>
  <si>
    <t>081-164-3875</t>
  </si>
  <si>
    <t>1,145</t>
  </si>
  <si>
    <t>นายอุเบกข์    ประพฤติ</t>
  </si>
  <si>
    <t>เบกข์</t>
  </si>
  <si>
    <t>3501400358680</t>
  </si>
  <si>
    <t>084-170-0681</t>
  </si>
  <si>
    <t>1,146</t>
  </si>
  <si>
    <t>นายยุทธพงษ์  หล้ากาศ</t>
  </si>
  <si>
    <t>ต๋อย</t>
  </si>
  <si>
    <t>3510200154389</t>
  </si>
  <si>
    <t>081-746-3559</t>
  </si>
  <si>
    <t>1,147</t>
  </si>
  <si>
    <t>นายณัฐพล   พันทอง</t>
  </si>
  <si>
    <t>กอล์ฟ</t>
  </si>
  <si>
    <t>1509900212529</t>
  </si>
  <si>
    <t>080-503-8707</t>
  </si>
  <si>
    <t>1,149</t>
  </si>
  <si>
    <t>นางกัลย์สุดา   ภูผาอารักษ์</t>
  </si>
  <si>
    <t>1500300056005</t>
  </si>
  <si>
    <t>080-072-5576</t>
  </si>
  <si>
    <t>1,150</t>
  </si>
  <si>
    <t>นางไพรินทร์  จันทร์อินทร์</t>
  </si>
  <si>
    <t>เจี๊ยบ</t>
  </si>
  <si>
    <t>3500700352392</t>
  </si>
  <si>
    <t>086-196-1594</t>
  </si>
  <si>
    <t>1,151</t>
  </si>
  <si>
    <t>นางสาวศิริรัตน์   โยนยิ่ง</t>
  </si>
  <si>
    <t>ส้ม</t>
  </si>
  <si>
    <t>3509901090431</t>
  </si>
  <si>
    <t>064-848-0271</t>
  </si>
  <si>
    <t>1,152</t>
  </si>
  <si>
    <t>นางสาวพัชรี   พิบูลย์</t>
  </si>
  <si>
    <t>3501400520002</t>
  </si>
  <si>
    <t>1,153</t>
  </si>
  <si>
    <t>นางสาวจุฑามาศ  ปัญญาวงค์</t>
  </si>
  <si>
    <t>1509900956081</t>
  </si>
  <si>
    <t>061-684-8355</t>
  </si>
  <si>
    <t>1,154</t>
  </si>
  <si>
    <t>นางสาวจุฑารัตน์  ป่วนเทียน</t>
  </si>
  <si>
    <t>ตุ๊กตา</t>
  </si>
  <si>
    <t>3530300174802</t>
  </si>
  <si>
    <t>086-918-7447</t>
  </si>
  <si>
    <t>1,155</t>
  </si>
  <si>
    <t>นายวรุตม์    ปินตาเสน</t>
  </si>
  <si>
    <t>1510100157461</t>
  </si>
  <si>
    <t>089-261-1606</t>
  </si>
  <si>
    <t>1,156</t>
  </si>
  <si>
    <t>นางสาวสิริกัญญา  เก่งกาจ</t>
  </si>
  <si>
    <t>1509901035248</t>
  </si>
  <si>
    <t>086-732-4490</t>
  </si>
  <si>
    <t>1,157</t>
  </si>
  <si>
    <t>นางสาวธินิชา    บุญเจ็น</t>
  </si>
  <si>
    <t>1509900749433</t>
  </si>
  <si>
    <t>061-327-2132</t>
  </si>
  <si>
    <t>1,158</t>
  </si>
  <si>
    <t>นายสมบูรณ์    จอมแสง</t>
  </si>
  <si>
    <t>มั่น</t>
  </si>
  <si>
    <t>3501400234883</t>
  </si>
  <si>
    <t>087-305-2296</t>
  </si>
  <si>
    <t>1,159</t>
  </si>
  <si>
    <t>นางสาวอารีย์    ศุจิพัฒน์</t>
  </si>
  <si>
    <t>อารีย์</t>
  </si>
  <si>
    <t>1501800057982</t>
  </si>
  <si>
    <t>093-135-2154</t>
  </si>
  <si>
    <t>1,160</t>
  </si>
  <si>
    <t>นางสาวสุวิมล   ยาบัว</t>
  </si>
  <si>
    <t>3530700328726</t>
  </si>
  <si>
    <t>กลุ่มงานการแพทย์แผนไทยและการแพทย์ทางเลือก</t>
  </si>
  <si>
    <t>098-784-2743</t>
  </si>
  <si>
    <t>1,161</t>
  </si>
  <si>
    <t>นางสาวนันทรัตน์ภรณ์   แสงเขียว</t>
  </si>
  <si>
    <t>อุ๋มอิ๋ม</t>
  </si>
  <si>
    <t>3500700261010</t>
  </si>
  <si>
    <t>089-555-1232</t>
  </si>
  <si>
    <t>1,162</t>
  </si>
  <si>
    <t>นายกิตติพงศ์    เขื่อนแก้ว</t>
  </si>
  <si>
    <t>หนุ่ย</t>
  </si>
  <si>
    <t>30/9/2578</t>
  </si>
  <si>
    <t>3500700264698</t>
  </si>
  <si>
    <t>088-266-5403</t>
  </si>
  <si>
    <t>1,164</t>
  </si>
  <si>
    <t>นางสาวอุไรวรรณ    วัฒนวงค์</t>
  </si>
  <si>
    <t>1509900633010</t>
  </si>
  <si>
    <t>087-533-3580</t>
  </si>
  <si>
    <t>1,165</t>
  </si>
  <si>
    <t>นางสุพัตรา   จงแจ่ม</t>
  </si>
  <si>
    <t>พัต</t>
  </si>
  <si>
    <t>3102100379261</t>
  </si>
  <si>
    <t>085-737-6156</t>
  </si>
  <si>
    <t>1,166</t>
  </si>
  <si>
    <t>นางสาวศรีพรรณ   สีธงคำ</t>
  </si>
  <si>
    <t>พรรณ</t>
  </si>
  <si>
    <t>3501400472482</t>
  </si>
  <si>
    <t>1,167</t>
  </si>
  <si>
    <t>นางสาวศิริรัตน์     ไคร้คำ</t>
  </si>
  <si>
    <t>3501400560896</t>
  </si>
  <si>
    <t>080-743-2636</t>
  </si>
  <si>
    <t>1,168</t>
  </si>
  <si>
    <t>นางสาวจินดา  อิ่นแก้ว</t>
  </si>
  <si>
    <t>อี๊ด</t>
  </si>
  <si>
    <t>4500600005117</t>
  </si>
  <si>
    <t>061-901-1444</t>
  </si>
  <si>
    <t>1,169</t>
  </si>
  <si>
    <t>นางสาวอุมาพร  ศิริสุภา</t>
  </si>
  <si>
    <t>อุ๊</t>
  </si>
  <si>
    <t>5510600024322</t>
  </si>
  <si>
    <t>080-684-4968</t>
  </si>
  <si>
    <t>1,170</t>
  </si>
  <si>
    <t>นางน้ำเพชร  ที่นับถือ</t>
  </si>
  <si>
    <t>3500700340149</t>
  </si>
  <si>
    <t>099-415-1787</t>
  </si>
  <si>
    <t>1,172</t>
  </si>
  <si>
    <t>นายชัยพร   มอญแสง</t>
  </si>
  <si>
    <t>CHAI</t>
  </si>
  <si>
    <t>3501400197198</t>
  </si>
  <si>
    <t>084-948-4577</t>
  </si>
  <si>
    <t>1,173</t>
  </si>
  <si>
    <t>นางจุฬาลักษณ์  แสนสุวรรณ์</t>
  </si>
  <si>
    <t>3580400396025</t>
  </si>
  <si>
    <t>083-305-7450</t>
  </si>
  <si>
    <t>1,174</t>
  </si>
  <si>
    <t>นางสาวภัณฑิลา     วิภาษา</t>
  </si>
  <si>
    <t>อ้อ</t>
  </si>
  <si>
    <t>3501400290139</t>
  </si>
  <si>
    <t>093-285-9872</t>
  </si>
  <si>
    <t>1,175</t>
  </si>
  <si>
    <t>นางรุ่งนภา    มณีเจริญ</t>
  </si>
  <si>
    <t>ภา</t>
  </si>
  <si>
    <t>3501200641272</t>
  </si>
  <si>
    <t>094-619-2393</t>
  </si>
  <si>
    <t>1,176</t>
  </si>
  <si>
    <t>นางกาญจนา   รัตนัง</t>
  </si>
  <si>
    <t>3500700341013</t>
  </si>
  <si>
    <t>083-577-4884</t>
  </si>
  <si>
    <t>1,177</t>
  </si>
  <si>
    <t>นางพัชราภรณ์   ดวงรัตน์</t>
  </si>
  <si>
    <t>3500700353216</t>
  </si>
  <si>
    <t>087-305-5844</t>
  </si>
  <si>
    <t>1,178</t>
  </si>
  <si>
    <t>นายมงคล    คำตุ่น</t>
  </si>
  <si>
    <t>อิ๊ด</t>
  </si>
  <si>
    <t>30/9/2572</t>
  </si>
  <si>
    <t>3501400471834</t>
  </si>
  <si>
    <t>092-389-3740</t>
  </si>
  <si>
    <t>1,179</t>
  </si>
  <si>
    <t>นายสุเรศณ์    ก๋องคำ</t>
  </si>
  <si>
    <t>แมว</t>
  </si>
  <si>
    <t>3501400601631</t>
  </si>
  <si>
    <t>089-952-6527</t>
  </si>
  <si>
    <t>1,180</t>
  </si>
  <si>
    <t>นางวันเพ็ญ  มณีวร</t>
  </si>
  <si>
    <t>30/9/2571</t>
  </si>
  <si>
    <t>3501400433916</t>
  </si>
  <si>
    <t>083-564-5769</t>
  </si>
  <si>
    <t>1,181</t>
  </si>
  <si>
    <t>นางแสงหล้า    ดวงรัตน์</t>
  </si>
  <si>
    <t>3501400552885</t>
  </si>
  <si>
    <t>061-745-8346</t>
  </si>
  <si>
    <t>1,182</t>
  </si>
  <si>
    <t>นายสุชาติ   เรือนแก้ว</t>
  </si>
  <si>
    <t>เบ๋</t>
  </si>
  <si>
    <t>30/9/2570</t>
  </si>
  <si>
    <t>5501490000221</t>
  </si>
  <si>
    <t>089-555-1881</t>
  </si>
  <si>
    <t>1,183</t>
  </si>
  <si>
    <t>นางพรพิมล     แซ่ลิ้ม</t>
  </si>
  <si>
    <t>3501400124310</t>
  </si>
  <si>
    <t>089-555-9567</t>
  </si>
  <si>
    <t>1,185</t>
  </si>
  <si>
    <t>นางสาวเชาวรา   แสงคำ</t>
  </si>
  <si>
    <t>กบ</t>
  </si>
  <si>
    <t>3500700076719</t>
  </si>
  <si>
    <t>081-706-0509</t>
  </si>
  <si>
    <t>1,186</t>
  </si>
  <si>
    <t>นางสาวสุกัลยา    ศิริวรรณ</t>
  </si>
  <si>
    <t>เลขาส้ม</t>
  </si>
  <si>
    <t>3509900844521</t>
  </si>
  <si>
    <t>062-424-5635</t>
  </si>
  <si>
    <t>1,187</t>
  </si>
  <si>
    <t>นางสาวกาญจนา  สมสุข</t>
  </si>
  <si>
    <t>3501400434203</t>
  </si>
  <si>
    <t>095-191-4409</t>
  </si>
  <si>
    <t>1,189</t>
  </si>
  <si>
    <t>นายประจวบ    จอมนงค์</t>
  </si>
  <si>
    <t xml:space="preserve">จวบ  </t>
  </si>
  <si>
    <t>0</t>
  </si>
  <si>
    <t>30/9/2569</t>
  </si>
  <si>
    <t>3501400226601</t>
  </si>
  <si>
    <t>089-265-6961</t>
  </si>
  <si>
    <t>1,190</t>
  </si>
  <si>
    <t>นางสาวขันธ์แก้ว  ดวงรัตน์</t>
  </si>
  <si>
    <t>แก้ว</t>
  </si>
  <si>
    <t>3501400149321</t>
  </si>
  <si>
    <t>089-558-7295</t>
  </si>
  <si>
    <t>1,194</t>
  </si>
  <si>
    <t>นางไพรสุดา    ผิววรรณ์</t>
  </si>
  <si>
    <t>ไพร</t>
  </si>
  <si>
    <t>3501400623855</t>
  </si>
  <si>
    <t>084-040-4367</t>
  </si>
  <si>
    <t>1,196</t>
  </si>
  <si>
    <t>นายวัชระ  ค้ำกูล</t>
  </si>
  <si>
    <t>ตุ๋ย</t>
  </si>
  <si>
    <t>3540200030485</t>
  </si>
  <si>
    <t>082-160-6135</t>
  </si>
  <si>
    <t>1,199</t>
  </si>
  <si>
    <t>นางมลวิภา    กันทะเรือน</t>
  </si>
  <si>
    <t>3501100166165</t>
  </si>
  <si>
    <t>081-783-8739</t>
  </si>
  <si>
    <t>1,200</t>
  </si>
  <si>
    <t>นางศิริวรรณ  พิมาสน</t>
  </si>
  <si>
    <t>อ้อย</t>
  </si>
  <si>
    <t>3501200581458</t>
  </si>
  <si>
    <t>086-420-9693</t>
  </si>
  <si>
    <t>1,202</t>
  </si>
  <si>
    <t>นายจตุวุฒิ   ทองบุญเรือง</t>
  </si>
  <si>
    <t>3960200120260</t>
  </si>
  <si>
    <t>093-290-2039</t>
  </si>
  <si>
    <t>1,203</t>
  </si>
  <si>
    <t>นางสาวกฤษณา     เมืองมูล</t>
  </si>
  <si>
    <t>3501400352657</t>
  </si>
  <si>
    <t>089-435-7827</t>
  </si>
  <si>
    <t>1,205</t>
  </si>
  <si>
    <t>นางสุนีย์   จินะจันตา</t>
  </si>
  <si>
    <t>ต้อย</t>
  </si>
  <si>
    <t>3501400433681</t>
  </si>
  <si>
    <t>089-850-7128</t>
  </si>
  <si>
    <t>1,206</t>
  </si>
  <si>
    <t>นางสาวณัฐิณี    พิทักษ์ศิริอนันต์</t>
  </si>
  <si>
    <t>3100800876516</t>
  </si>
  <si>
    <t>064-249-6456</t>
  </si>
  <si>
    <t>1,207</t>
  </si>
  <si>
    <t>นายพฤทธิพงศ์   ภักดี</t>
  </si>
  <si>
    <t>เบ็ด</t>
  </si>
  <si>
    <t>3549900187156</t>
  </si>
  <si>
    <t>089-999-3602</t>
  </si>
  <si>
    <t>1,208</t>
  </si>
  <si>
    <t>นางมัณฑนา    รัชฎาพร</t>
  </si>
  <si>
    <t>3580400133296</t>
  </si>
  <si>
    <t>085-708-0411</t>
  </si>
  <si>
    <t>1,209</t>
  </si>
  <si>
    <t>นางสาววิธูวรรณ      สุชาตานนท์</t>
  </si>
  <si>
    <t>3809700189993</t>
  </si>
  <si>
    <t>085-576-2303</t>
  </si>
  <si>
    <t>1,210</t>
  </si>
  <si>
    <t>นางวิริยา     หลิดชิววงศ์</t>
  </si>
  <si>
    <t>3540400081768</t>
  </si>
  <si>
    <t>086-918-7272</t>
  </si>
  <si>
    <t>1,211</t>
  </si>
  <si>
    <t>นางสาวจุฑามาศ    อนุวงศ์เจริญ</t>
  </si>
  <si>
    <t>หมอจุก</t>
  </si>
  <si>
    <t>3509900291671</t>
  </si>
  <si>
    <t>081-681-2375</t>
  </si>
  <si>
    <t>1,213</t>
  </si>
  <si>
    <t>นายธเนศ  ชัชวาลชัยทรัพย์</t>
  </si>
  <si>
    <t>1100100052123</t>
  </si>
  <si>
    <t>095-845-8959</t>
  </si>
  <si>
    <t>1,214</t>
  </si>
  <si>
    <t>นางสาวณัชชา   ปลอดภัย</t>
  </si>
  <si>
    <t>1509900413281</t>
  </si>
  <si>
    <t>089-560-4988</t>
  </si>
  <si>
    <t>1,215</t>
  </si>
  <si>
    <t>นางสาวสินีนาฏ    วงค์วิบูลย์</t>
  </si>
  <si>
    <t>1509900277477</t>
  </si>
  <si>
    <t>086-924-4029</t>
  </si>
  <si>
    <t>1,216</t>
  </si>
  <si>
    <t>นางสาวญาณนันท์  พันธ์ปัญญา</t>
  </si>
  <si>
    <t>1509900383072</t>
  </si>
  <si>
    <t>086-728-1081</t>
  </si>
  <si>
    <t>1,217</t>
  </si>
  <si>
    <t>นายอาทิตย์    ร่มโพธิ์</t>
  </si>
  <si>
    <t>หนึ่ง</t>
  </si>
  <si>
    <t>1510600002890</t>
  </si>
  <si>
    <t>086-586-5424</t>
  </si>
  <si>
    <t>1,218</t>
  </si>
  <si>
    <t>นางสาวบุษราคัม   คาบเพ็ชร</t>
  </si>
  <si>
    <t>3500700159771</t>
  </si>
  <si>
    <t>083-567-1431</t>
  </si>
  <si>
    <t>1,219</t>
  </si>
  <si>
    <t>นายสราวุธ  ทมโยธา</t>
  </si>
  <si>
    <t>3451000911706</t>
  </si>
  <si>
    <t>084-169-8699</t>
  </si>
  <si>
    <t>1,220</t>
  </si>
  <si>
    <t>นางสาวศรินดา  ไชยวงศ์</t>
  </si>
  <si>
    <t>5501490008299</t>
  </si>
  <si>
    <t>083-572-6200</t>
  </si>
  <si>
    <t>1,221</t>
  </si>
  <si>
    <t>นางสาวหนึ่งฤทัย   เมืองทรัพย์</t>
  </si>
  <si>
    <t xml:space="preserve">นิตยา </t>
  </si>
  <si>
    <t>1509900757258</t>
  </si>
  <si>
    <t>094-707-9194</t>
  </si>
  <si>
    <t>1,224</t>
  </si>
  <si>
    <t>นางนภัสรพี  แสนสอาด</t>
  </si>
  <si>
    <t>ติ๊ก</t>
  </si>
  <si>
    <t>5550500457138</t>
  </si>
  <si>
    <t>093-134-7770</t>
  </si>
  <si>
    <t>1,228</t>
  </si>
  <si>
    <t>นายศราวุฒิ    โพธารินทร์</t>
  </si>
  <si>
    <t>1670500113478</t>
  </si>
  <si>
    <t>086-213-6534</t>
  </si>
  <si>
    <t>1,230</t>
  </si>
  <si>
    <t>นางสุพรรณิกาท์   วงค์เสือ</t>
  </si>
  <si>
    <t>1501700058910</t>
  </si>
  <si>
    <t>083-624-9636</t>
  </si>
  <si>
    <t>1,231</t>
  </si>
  <si>
    <t>นายอภิพล   ทะโป</t>
  </si>
  <si>
    <t>ดวงวิโรจน์</t>
  </si>
  <si>
    <t>kinsung</t>
  </si>
  <si>
    <t>3500100060536</t>
  </si>
  <si>
    <t>086-917-9699</t>
  </si>
  <si>
    <t>1,232</t>
  </si>
  <si>
    <t>นางสาวนลินี    แก้วทอง</t>
  </si>
  <si>
    <t>1659900255243</t>
  </si>
  <si>
    <t>088-282-7036</t>
  </si>
  <si>
    <t>1,233</t>
  </si>
  <si>
    <t>นางโชติมณี    คูณรังษีสมบูรณ์</t>
  </si>
  <si>
    <t>ซินเตีย</t>
  </si>
  <si>
    <t>5540300032397</t>
  </si>
  <si>
    <t>089-432-3023</t>
  </si>
  <si>
    <t>1,234</t>
  </si>
  <si>
    <t>นางณัฏฐกานต์  พละภิญโญ</t>
  </si>
  <si>
    <t>3501400135401</t>
  </si>
  <si>
    <t>081-883-4047</t>
  </si>
  <si>
    <t>1,235</t>
  </si>
  <si>
    <t>นางชรินทร์รัตน์   ทานศิลา</t>
  </si>
  <si>
    <t>อาย</t>
  </si>
  <si>
    <t>1509900852901</t>
  </si>
  <si>
    <t>088-894-1917</t>
  </si>
  <si>
    <t>1,237</t>
  </si>
  <si>
    <t>นางสาวฑัณฑิกา   ศรสูงเนิน</t>
  </si>
  <si>
    <t>ฑัณ</t>
  </si>
  <si>
    <t>3501400584426</t>
  </si>
  <si>
    <t>081-783-1152</t>
  </si>
  <si>
    <t>1,238</t>
  </si>
  <si>
    <t>นางสาวชโนรัช  สุวรรณเวทิน</t>
  </si>
  <si>
    <t>3819900132952</t>
  </si>
  <si>
    <t>081-539-4409</t>
  </si>
  <si>
    <t>1,239</t>
  </si>
  <si>
    <t>นางวิลาสินี    เกิดผลวัฒนา</t>
  </si>
  <si>
    <t>แอน2</t>
  </si>
  <si>
    <t>3501200060521</t>
  </si>
  <si>
    <t>089-755-0073</t>
  </si>
  <si>
    <t>1,240</t>
  </si>
  <si>
    <t>นางสมจินตนา   เปี่ยมอนันต์</t>
  </si>
  <si>
    <t>HAPPY</t>
  </si>
  <si>
    <t>5501400018338</t>
  </si>
  <si>
    <t>091-067-0559</t>
  </si>
  <si>
    <t>1,241</t>
  </si>
  <si>
    <t>นางสาวทิพย์สุดา    เปรมภูติ</t>
  </si>
  <si>
    <t>3509901357144</t>
  </si>
  <si>
    <t>085-517-8791</t>
  </si>
  <si>
    <t>1,242</t>
  </si>
  <si>
    <t>นางสาวทัณฑิกา  คณะนัย</t>
  </si>
  <si>
    <t>3549900102509</t>
  </si>
  <si>
    <t>086-428-7106</t>
  </si>
  <si>
    <t>1,243</t>
  </si>
  <si>
    <t>นางสาวณภัทร  อินทจักร์</t>
  </si>
  <si>
    <t>3560300258429</t>
  </si>
  <si>
    <t>065-478-2959</t>
  </si>
  <si>
    <t>1,244</t>
  </si>
  <si>
    <t>นางสาวสุภาภรณ์   ดาววี</t>
  </si>
  <si>
    <t>muffinmom</t>
  </si>
  <si>
    <t>3500500357749</t>
  </si>
  <si>
    <t>089-632-4055</t>
  </si>
  <si>
    <t>1,245</t>
  </si>
  <si>
    <t>นางพรรณนา    ดวงสุวรรณ์</t>
  </si>
  <si>
    <t>ติ๋ง</t>
  </si>
  <si>
    <t>3501300616768</t>
  </si>
  <si>
    <t>084-610-1148</t>
  </si>
  <si>
    <t>1,246</t>
  </si>
  <si>
    <t>นางสร้อยเพชร     วงศ์วาลย์</t>
  </si>
  <si>
    <t>3430600355757</t>
  </si>
  <si>
    <t>084-614-6141</t>
  </si>
  <si>
    <t>1,248</t>
  </si>
  <si>
    <t>นางสาวพิมภิลา   สุพรรณ</t>
  </si>
  <si>
    <t>แวว</t>
  </si>
  <si>
    <t>1580300045631</t>
  </si>
  <si>
    <t>080-676-2307</t>
  </si>
  <si>
    <t>1,249</t>
  </si>
  <si>
    <t>นางจิรานุช    วงศ์อุทัย</t>
  </si>
  <si>
    <t>3500700162623</t>
  </si>
  <si>
    <t>089-634-8755</t>
  </si>
  <si>
    <t>1,251</t>
  </si>
  <si>
    <t>นายนพดล  ริยะสาร</t>
  </si>
  <si>
    <t>บอย</t>
  </si>
  <si>
    <t>3570800244290</t>
  </si>
  <si>
    <t>081-888-4561</t>
  </si>
  <si>
    <t>1,255</t>
  </si>
  <si>
    <t>นางสาวจุฑามาศ  อุ่นจะนำ</t>
  </si>
  <si>
    <t>มินท์</t>
  </si>
  <si>
    <t>1501600071698</t>
  </si>
  <si>
    <t>063-786-9933</t>
  </si>
  <si>
    <t>1,260</t>
  </si>
  <si>
    <t>นางประสพพร   วิสิฐอุดรการ</t>
  </si>
  <si>
    <t>3509900347731</t>
  </si>
  <si>
    <t>081-568-7430</t>
  </si>
  <si>
    <t>1,264</t>
  </si>
  <si>
    <t>นางกมลวรรณ  เตชะฟอง</t>
  </si>
  <si>
    <t>3509900788184</t>
  </si>
  <si>
    <t>089-757-8427</t>
  </si>
  <si>
    <t>1,268</t>
  </si>
  <si>
    <t>นางสาวสุพรรณี    ธุระแสง</t>
  </si>
  <si>
    <t>3500500300437</t>
  </si>
  <si>
    <t>082-890-9259</t>
  </si>
  <si>
    <t>1,269</t>
  </si>
  <si>
    <t>นางมยุเรศ   ใจโพธิ์</t>
  </si>
  <si>
    <t>3501100248919</t>
  </si>
  <si>
    <t>089-850-1478</t>
  </si>
  <si>
    <t>1,272</t>
  </si>
  <si>
    <t>นางพรทิวา    สุภาใจ</t>
  </si>
  <si>
    <t>1501100081007</t>
  </si>
  <si>
    <t>089-028-2164</t>
  </si>
  <si>
    <t>1,273</t>
  </si>
  <si>
    <t>นางสาวรัตนา    คำวัง</t>
  </si>
  <si>
    <t>1570300091030</t>
  </si>
  <si>
    <t>064-628-8278</t>
  </si>
  <si>
    <t>1,275</t>
  </si>
  <si>
    <t>นางศิริวรรณ      คุณยศยิ่ง</t>
  </si>
  <si>
    <t>บุษ</t>
  </si>
  <si>
    <t>3560700318488</t>
  </si>
  <si>
    <t>089-856-1991</t>
  </si>
  <si>
    <t>1,276</t>
  </si>
  <si>
    <t>นางสาวเมวิกา  จันทคำ</t>
  </si>
  <si>
    <t>เมเปิ้ล</t>
  </si>
  <si>
    <t>1500700111291</t>
  </si>
  <si>
    <t>088-402-9151</t>
  </si>
  <si>
    <t>1,277</t>
  </si>
  <si>
    <t>นางสาวสุภาพร  ศรีนวล</t>
  </si>
  <si>
    <t>บิวตี้</t>
  </si>
  <si>
    <t>1509900806585</t>
  </si>
  <si>
    <t>089-922-7759</t>
  </si>
  <si>
    <t>1,278</t>
  </si>
  <si>
    <t>นางวิลาสินี    รักษากิจ</t>
  </si>
  <si>
    <t>ยุ้ย</t>
  </si>
  <si>
    <t>1509900763142</t>
  </si>
  <si>
    <t>098-823-0862</t>
  </si>
  <si>
    <t>1,279</t>
  </si>
  <si>
    <t>นางนันท์นภัส   มางิ้ว</t>
  </si>
  <si>
    <t>รวย</t>
  </si>
  <si>
    <t>3500800071387</t>
  </si>
  <si>
    <t>065-474-2466</t>
  </si>
  <si>
    <t>1,280</t>
  </si>
  <si>
    <t>นางศิริรัตน์    วรรธกจตุรพร</t>
  </si>
  <si>
    <t>ติ๋ว</t>
  </si>
  <si>
    <t>3509900585950</t>
  </si>
  <si>
    <t>080-499-5129</t>
  </si>
  <si>
    <t>1,281</t>
  </si>
  <si>
    <t>นางสาววีรชา    นันทิวิริยะชัย</t>
  </si>
  <si>
    <t>อ่อน</t>
  </si>
  <si>
    <t>1589900003717</t>
  </si>
  <si>
    <t>086-179-2033</t>
  </si>
  <si>
    <t>1,282</t>
  </si>
  <si>
    <t>นางสาวขวัญลดา  สานทรายคำ</t>
  </si>
  <si>
    <t>1510600010876</t>
  </si>
  <si>
    <t>062-462-8787</t>
  </si>
  <si>
    <t>1,283</t>
  </si>
  <si>
    <t>นางสาววิภาวรรณ   ปินทะนา</t>
  </si>
  <si>
    <t>เก๊กฮวย</t>
  </si>
  <si>
    <t>1500800067189</t>
  </si>
  <si>
    <t>084-986-4261</t>
  </si>
  <si>
    <t>1,284</t>
  </si>
  <si>
    <t>นางสาวปานฤทัย   บาลเย็น</t>
  </si>
  <si>
    <t>1509900701759</t>
  </si>
  <si>
    <t>083-318-2247</t>
  </si>
  <si>
    <t>1,285</t>
  </si>
  <si>
    <t>นางพรพรรณ    วรวงศ์</t>
  </si>
  <si>
    <t>ปิ๊ก</t>
  </si>
  <si>
    <t>3100502725099</t>
  </si>
  <si>
    <t>081-695-4777</t>
  </si>
  <si>
    <t>1,286</t>
  </si>
  <si>
    <t>นางนวพร   สินสกลวัฒน์</t>
  </si>
  <si>
    <t>1500700077115</t>
  </si>
  <si>
    <t>080-123-2437</t>
  </si>
  <si>
    <t>1,287</t>
  </si>
  <si>
    <t>นางประภาพร  พันธุ์ศิริ</t>
  </si>
  <si>
    <t>โอ๋</t>
  </si>
  <si>
    <t>3570800066979</t>
  </si>
  <si>
    <t>083-568-3355</t>
  </si>
  <si>
    <t>1,288</t>
  </si>
  <si>
    <t>นางนันทวัน    คำตา</t>
  </si>
  <si>
    <t>ตู่</t>
  </si>
  <si>
    <t>1580300003726</t>
  </si>
  <si>
    <t>089-558-7551</t>
  </si>
  <si>
    <t>1,290</t>
  </si>
  <si>
    <t>นางอรพินท์   ศิริโชติตระการ</t>
  </si>
  <si>
    <t>3501400370248</t>
  </si>
  <si>
    <t>091-143-6866</t>
  </si>
  <si>
    <t>1,291</t>
  </si>
  <si>
    <t>นางปิ่นทอง   หมายดี</t>
  </si>
  <si>
    <t>3501000312836</t>
  </si>
  <si>
    <t>097-918-1728</t>
  </si>
  <si>
    <t>1,292</t>
  </si>
  <si>
    <t>นางสาววลัยพร   มโนวร</t>
  </si>
  <si>
    <t>1509900268851</t>
  </si>
  <si>
    <t>096-645-0424</t>
  </si>
  <si>
    <t>1,293</t>
  </si>
  <si>
    <t>นางอรธีรา   สิทธิผล</t>
  </si>
  <si>
    <t>จุ๋ย</t>
  </si>
  <si>
    <t>1500300091331</t>
  </si>
  <si>
    <t>090-049-2379</t>
  </si>
  <si>
    <t>1,294</t>
  </si>
  <si>
    <t>นางสาวศรัญญา    เศวตเศรนี</t>
  </si>
  <si>
    <t>3501100108092</t>
  </si>
  <si>
    <t>081-869-7615</t>
  </si>
  <si>
    <t>1,295</t>
  </si>
  <si>
    <t>นางสายพิณ     คำไฝ</t>
  </si>
  <si>
    <t>พิณ</t>
  </si>
  <si>
    <t>3501400214301</t>
  </si>
  <si>
    <t>092-351-2015</t>
  </si>
  <si>
    <t>1,297</t>
  </si>
  <si>
    <t>นางมะลิวัลย์    คำใหญ่</t>
  </si>
  <si>
    <t>เก๋</t>
  </si>
  <si>
    <t>1509900440327</t>
  </si>
  <si>
    <t>087-190-4662</t>
  </si>
  <si>
    <t>1,299</t>
  </si>
  <si>
    <t>นางสาวพัชรินทร์    จันตาทะ</t>
  </si>
  <si>
    <t>1510400083306</t>
  </si>
  <si>
    <t>064-915-4187</t>
  </si>
  <si>
    <t>1,300</t>
  </si>
  <si>
    <t>นางสาวพรปวีณ์    สังฆบุญ</t>
  </si>
  <si>
    <t>แจ้งจัย</t>
  </si>
  <si>
    <t>1509900651263</t>
  </si>
  <si>
    <t>086-920-5029</t>
  </si>
  <si>
    <t>1,301</t>
  </si>
  <si>
    <t>นางจิรัฐยา     จุลมนต์</t>
  </si>
  <si>
    <t>3501000008045</t>
  </si>
  <si>
    <t>089-553-5361</t>
  </si>
  <si>
    <t>1,303</t>
  </si>
  <si>
    <t>นางพัชรินทร์    อินต๊ะมูล</t>
  </si>
  <si>
    <t>3560700013075</t>
  </si>
  <si>
    <t>1,304</t>
  </si>
  <si>
    <t>นางพนารัตน์    สมฤทธิ์</t>
  </si>
  <si>
    <t>นิดหน่อย</t>
  </si>
  <si>
    <t>3500700080376</t>
  </si>
  <si>
    <t>081-020-3797</t>
  </si>
  <si>
    <t>1,305</t>
  </si>
  <si>
    <t>นางปานพิกุล      สกุลคู</t>
  </si>
  <si>
    <t>ปาน</t>
  </si>
  <si>
    <t>5500900001719</t>
  </si>
  <si>
    <t>081-881-4047</t>
  </si>
  <si>
    <t>1,307</t>
  </si>
  <si>
    <t>นางรติณัฎฐ์    แสงประสิทธิ์</t>
  </si>
  <si>
    <t>jam</t>
  </si>
  <si>
    <t>3500600318699</t>
  </si>
  <si>
    <t>096-982-8645</t>
  </si>
  <si>
    <t>1,308</t>
  </si>
  <si>
    <t>นางสาวนารีรัตน์   พรหมสุวรรณ</t>
  </si>
  <si>
    <t>หน่อย</t>
  </si>
  <si>
    <t>1430500081357</t>
  </si>
  <si>
    <t>087-215-8880</t>
  </si>
  <si>
    <t>1,311</t>
  </si>
  <si>
    <t>นางสาวอรวรรณ     ไชยสวัสดิ์</t>
  </si>
  <si>
    <t>1549900249163</t>
  </si>
  <si>
    <t>097-921-8320</t>
  </si>
  <si>
    <t>1,313</t>
  </si>
  <si>
    <t>นางสาวอัมพวันต์    มานะสุคนธ์</t>
  </si>
  <si>
    <t>3340100461699</t>
  </si>
  <si>
    <t>086-920-0141</t>
  </si>
  <si>
    <t>1,314</t>
  </si>
  <si>
    <t>นางสาวสุวิมล      ธงนาค</t>
  </si>
  <si>
    <t>1509900048311</t>
  </si>
  <si>
    <t>086-557-5669</t>
  </si>
  <si>
    <t>1,316</t>
  </si>
  <si>
    <t>นางจันทร์จิรา   สุดใจ</t>
  </si>
  <si>
    <t>แอ๊ว</t>
  </si>
  <si>
    <t>3500700459162</t>
  </si>
  <si>
    <t>081-992-2073</t>
  </si>
  <si>
    <t>1,317</t>
  </si>
  <si>
    <t>นางจันทนา    อินยา</t>
  </si>
  <si>
    <t>ลำไย</t>
  </si>
  <si>
    <t>3589900003292</t>
  </si>
  <si>
    <t>089-266-3404</t>
  </si>
  <si>
    <t>1,321</t>
  </si>
  <si>
    <t>นางสมพร     กวงแหวน</t>
  </si>
  <si>
    <t>ปุ้ย</t>
  </si>
  <si>
    <t xml:space="preserve">ปภิณวิช </t>
  </si>
  <si>
    <t>3500300178107</t>
  </si>
  <si>
    <t>081-024-8225</t>
  </si>
  <si>
    <t>1,322</t>
  </si>
  <si>
    <t>นางสาวทิพาพรรณ  กางสำโรง</t>
  </si>
  <si>
    <t>พา</t>
  </si>
  <si>
    <t>3520700269436</t>
  </si>
  <si>
    <t>098-956-1465</t>
  </si>
  <si>
    <t>1,323</t>
  </si>
  <si>
    <t>นางสาวดาราณี    แซ่เอี่ยม</t>
  </si>
  <si>
    <t>กังไพบูลย์</t>
  </si>
  <si>
    <t>หลิน</t>
  </si>
  <si>
    <t>3509900511719</t>
  </si>
  <si>
    <t>088-261-4197</t>
  </si>
  <si>
    <t>1,324</t>
  </si>
  <si>
    <t>นางสาวกณิการ์  เวชพร</t>
  </si>
  <si>
    <t>1540600056817</t>
  </si>
  <si>
    <t>096-052-2911</t>
  </si>
  <si>
    <t>1,325</t>
  </si>
  <si>
    <t>นางสาวพัชรี    กุศล</t>
  </si>
  <si>
    <t>3501400144884</t>
  </si>
  <si>
    <t>086-186-7824</t>
  </si>
  <si>
    <t>1,326</t>
  </si>
  <si>
    <t>นางสาวพิมพ์วิมล  ปันจันทร์คำ</t>
  </si>
  <si>
    <t>3501200294246</t>
  </si>
  <si>
    <t>081-950-0422</t>
  </si>
  <si>
    <t>1,328</t>
  </si>
  <si>
    <t>นางปนัดดา   ธีระเชื้อ</t>
  </si>
  <si>
    <t>แป๋ว</t>
  </si>
  <si>
    <t>3520101541848</t>
  </si>
  <si>
    <t>081-746-5753</t>
  </si>
  <si>
    <t>1,329</t>
  </si>
  <si>
    <t>นางสุพร  มอรอยอ</t>
  </si>
  <si>
    <t>ต่าย</t>
  </si>
  <si>
    <t>3580300021194</t>
  </si>
  <si>
    <t>089-632-2711</t>
  </si>
  <si>
    <t>1,334</t>
  </si>
  <si>
    <t>นางพรทิพย์    อุสาหะ</t>
  </si>
  <si>
    <t>น้อง</t>
  </si>
  <si>
    <t>3501600014526</t>
  </si>
  <si>
    <t>091-515-6269</t>
  </si>
  <si>
    <t>1,335</t>
  </si>
  <si>
    <t>นางสาวธนัตชนก   ไชยเป็ง</t>
  </si>
  <si>
    <t>3501400698766</t>
  </si>
  <si>
    <t>063-079-9555</t>
  </si>
  <si>
    <t>1,336</t>
  </si>
  <si>
    <t>นางราตรี    ทานะขันธ์</t>
  </si>
  <si>
    <t>เงาะ</t>
  </si>
  <si>
    <t>3500700647104</t>
  </si>
  <si>
    <t>089-852-5197</t>
  </si>
  <si>
    <t>1,337</t>
  </si>
  <si>
    <t>นางดาวเรือง  อิ่มเอิบ</t>
  </si>
  <si>
    <t>แอ็ด</t>
  </si>
  <si>
    <t>3501400138957</t>
  </si>
  <si>
    <t>081-706-7543</t>
  </si>
  <si>
    <t>1,339</t>
  </si>
  <si>
    <t>นางอัญชลี  แก้วสกุล</t>
  </si>
  <si>
    <t>3501200058313</t>
  </si>
  <si>
    <t>065-753-9898</t>
  </si>
  <si>
    <t>1,343</t>
  </si>
  <si>
    <t>นางสาวปิยะนาถ      จันทรศัพท์</t>
  </si>
  <si>
    <t>1509900703565</t>
  </si>
  <si>
    <t>083-942-9555</t>
  </si>
  <si>
    <t>1,345</t>
  </si>
  <si>
    <t>นายวรวิทย์   ศรีธาราธิคุณ</t>
  </si>
  <si>
    <t>1579900180881</t>
  </si>
  <si>
    <t>083-203-3900</t>
  </si>
  <si>
    <t>1,349</t>
  </si>
  <si>
    <t>นางสาวกฤติกา    หวงสุวรรณากร</t>
  </si>
  <si>
    <t>1509900489393</t>
  </si>
  <si>
    <t>089-431-0869</t>
  </si>
  <si>
    <t>1,351</t>
  </si>
  <si>
    <t>นายวิชาน  แก้วเขียว</t>
  </si>
  <si>
    <t>ชาน</t>
  </si>
  <si>
    <t>3180600630947</t>
  </si>
  <si>
    <t>086-631-9921</t>
  </si>
  <si>
    <t>1,352</t>
  </si>
  <si>
    <t>นางสาวชนกพร   บัวชุม</t>
  </si>
  <si>
    <t>1509901309976</t>
  </si>
  <si>
    <t>094-751-7235</t>
  </si>
  <si>
    <t>1,354</t>
  </si>
  <si>
    <t>นายปิยะ    โตสุโขวงศ์</t>
  </si>
  <si>
    <t>หน่อง</t>
  </si>
  <si>
    <t>3620101302915</t>
  </si>
  <si>
    <t>1,355</t>
  </si>
  <si>
    <t>นางสาวนวพร    คำแจ่ม</t>
  </si>
  <si>
    <t>หยก</t>
  </si>
  <si>
    <t>1130399000558</t>
  </si>
  <si>
    <t>089-458-5380</t>
  </si>
  <si>
    <t>1,356</t>
  </si>
  <si>
    <t>นายจิระพงษ์    กอเทพวัลย์</t>
  </si>
  <si>
    <t>3709800205258</t>
  </si>
  <si>
    <t>081-736-4436</t>
  </si>
  <si>
    <t>1,357</t>
  </si>
  <si>
    <t>นายนันทวัฒน์   ยาวุฒิ</t>
  </si>
  <si>
    <t>โอม</t>
  </si>
  <si>
    <t>1570700022701</t>
  </si>
  <si>
    <t>081-993-9717</t>
  </si>
  <si>
    <t>1,358</t>
  </si>
  <si>
    <t>นางสาวชิตาภา    พงศ์ศุภสมิทธิ์</t>
  </si>
  <si>
    <t>5501400017528</t>
  </si>
  <si>
    <t>089-634-0071</t>
  </si>
  <si>
    <t>1,360</t>
  </si>
  <si>
    <t>นางกิตติภา    อาทิตย์</t>
  </si>
  <si>
    <t>3509901439507</t>
  </si>
  <si>
    <t>081-952-3048</t>
  </si>
  <si>
    <t>1,361</t>
  </si>
  <si>
    <t>นายชัชวาล   พละภิญโญ</t>
  </si>
  <si>
    <t>ชัช</t>
  </si>
  <si>
    <t>3269900041375</t>
  </si>
  <si>
    <t>081-881-2301</t>
  </si>
  <si>
    <t>1,363</t>
  </si>
  <si>
    <t>นางสาวปิ่นนภา    เตอะอ้าย</t>
  </si>
  <si>
    <t>1509900886619</t>
  </si>
  <si>
    <t>086-342-3664</t>
  </si>
  <si>
    <t>1,364</t>
  </si>
  <si>
    <t>นางสาวชลาทิพย์   ซึ่อวัฒนะ</t>
  </si>
  <si>
    <t>3520800157915</t>
  </si>
  <si>
    <t>087-673-2052</t>
  </si>
  <si>
    <t>1,365</t>
  </si>
  <si>
    <t>นางขนิษฐา    พงษ์ศิริ</t>
  </si>
  <si>
    <t>แจง</t>
  </si>
  <si>
    <t>3550100076076</t>
  </si>
  <si>
    <t>085-622-2606</t>
  </si>
  <si>
    <t>1,367</t>
  </si>
  <si>
    <t>นางสาวกมลวรรณ   เจริญพันธ์</t>
  </si>
  <si>
    <t>1509900844053</t>
  </si>
  <si>
    <t>088-260-6206</t>
  </si>
  <si>
    <t>1,368</t>
  </si>
  <si>
    <t>นพ.ปกป้อง     เชื้อสุวรรณ</t>
  </si>
  <si>
    <t>ท้อป</t>
  </si>
  <si>
    <t>-525</t>
  </si>
  <si>
    <t>30/9/2044</t>
  </si>
  <si>
    <t>3529900071395</t>
  </si>
  <si>
    <t>089-433-0043</t>
  </si>
  <si>
    <t>12/8/1440</t>
  </si>
  <si>
    <t>1,369</t>
  </si>
  <si>
    <t>นางเพชรรัตน์    วงศ์วิไล</t>
  </si>
  <si>
    <t>แหม่ม</t>
  </si>
  <si>
    <t>5520390008636</t>
  </si>
  <si>
    <t>058-987-7536</t>
  </si>
  <si>
    <t>1,373</t>
  </si>
  <si>
    <t>นพ.นพรัตน์  รัชฎาพร</t>
  </si>
  <si>
    <t>เต้</t>
  </si>
  <si>
    <t>3500700530312</t>
  </si>
  <si>
    <t>081-883-2682</t>
  </si>
  <si>
    <t>1,374</t>
  </si>
  <si>
    <t>พญ.งามพิศ    จันทร์ทิพย์</t>
  </si>
  <si>
    <t>แอร์</t>
  </si>
  <si>
    <t>3501300147610</t>
  </si>
  <si>
    <t>091-852-0115</t>
  </si>
  <si>
    <t>1,375</t>
  </si>
  <si>
    <t>นพ.ยุทธศาสตร์    จันทร์ทิพย์</t>
  </si>
  <si>
    <t>3501900265265</t>
  </si>
  <si>
    <t>090-891-1449</t>
  </si>
  <si>
    <t>1,376</t>
  </si>
  <si>
    <t>นายสุรัตน์  ปทุมบาล</t>
  </si>
  <si>
    <t>โจ้</t>
  </si>
  <si>
    <t>3349900698365</t>
  </si>
  <si>
    <t>081-883-4876</t>
  </si>
  <si>
    <t>1,377</t>
  </si>
  <si>
    <t>นางรอยพิมพ์   เลิศวิริยานันท์</t>
  </si>
  <si>
    <t>5501400001427</t>
  </si>
  <si>
    <t>087-970-8069</t>
  </si>
  <si>
    <t>1,378</t>
  </si>
  <si>
    <t>นางพิมภิมุข   กลั่นเรืองแสง</t>
  </si>
  <si>
    <t>มุข</t>
  </si>
  <si>
    <t>3509900788966</t>
  </si>
  <si>
    <t>081-883-3432</t>
  </si>
  <si>
    <t>1,379</t>
  </si>
  <si>
    <t>นางอารักขา  ปทุมบาล</t>
  </si>
  <si>
    <t>อารัก</t>
  </si>
  <si>
    <t>3540400617595</t>
  </si>
  <si>
    <t>081-881-6023</t>
  </si>
  <si>
    <t>1,380</t>
  </si>
  <si>
    <t>นายสุรศักดิ์   เหล่าพาณิชย์กุล</t>
  </si>
  <si>
    <t>BOY</t>
  </si>
  <si>
    <t>3101800258236</t>
  </si>
  <si>
    <t>084-611-4811</t>
  </si>
  <si>
    <t>1,381</t>
  </si>
  <si>
    <t>นางนุชนาถ  พบประเสริฐ</t>
  </si>
  <si>
    <t>3180200037947</t>
  </si>
  <si>
    <t>083-949-4884</t>
  </si>
  <si>
    <t>1,366</t>
  </si>
  <si>
    <t>นางสาวดาราวรรณ    วงศ์พรหมเมศร์</t>
  </si>
  <si>
    <t>ลาศึกษาต่อ</t>
  </si>
  <si>
    <t>02</t>
  </si>
  <si>
    <t>1100500369191</t>
  </si>
  <si>
    <t>1,370</t>
  </si>
  <si>
    <t>นายธีรพัฒน์   ตันพิริยะกุล</t>
  </si>
  <si>
    <t>1509900703735</t>
  </si>
  <si>
    <t>งานบัญชี</t>
  </si>
  <si>
    <t>รหัสแถวหน่วยงาน (rowIndex)</t>
  </si>
  <si>
    <t>หน่วยงาน</t>
  </si>
  <si>
    <t>ชื่อ-สกุล</t>
  </si>
  <si>
    <t>กลุ่มงานบัญชี</t>
  </si>
  <si>
    <t>06</t>
  </si>
  <si>
    <t xml:space="preserve">สิรินทร์นิชา </t>
  </si>
  <si>
    <t>กำแพงแก้วรัตน์</t>
  </si>
  <si>
    <t>0110001</t>
  </si>
  <si>
    <t>รายเดือน</t>
  </si>
  <si>
    <t>ณภษร</t>
  </si>
  <si>
    <t>วงค์นวล</t>
  </si>
  <si>
    <t>0110000</t>
  </si>
  <si>
    <t>15/11/2536</t>
  </si>
  <si>
    <t xml:space="preserve">เกศวลี </t>
  </si>
  <si>
    <t>วงค์สุน</t>
  </si>
  <si>
    <t>0109999</t>
  </si>
  <si>
    <t xml:space="preserve">สุพัตรา </t>
  </si>
  <si>
    <t>สักลอ</t>
  </si>
  <si>
    <t>0110004</t>
  </si>
  <si>
    <t>บุญสิตา</t>
  </si>
  <si>
    <t>คำอ้าย</t>
  </si>
  <si>
    <t>สท10501</t>
  </si>
  <si>
    <t>รายวัน</t>
  </si>
  <si>
    <t>ปรารถนา</t>
  </si>
  <si>
    <t>บุญทวี</t>
  </si>
  <si>
    <t>สท10502</t>
  </si>
  <si>
    <t>29/06/2529</t>
  </si>
  <si>
    <t>ดนุสรณ์</t>
  </si>
  <si>
    <t>บริบูรณ์</t>
  </si>
  <si>
    <t>เจ้าพนักงานเครื่องคอมพิวเตอร์</t>
  </si>
  <si>
    <t>เจ้าพนักงานคอมพิวเตอร์</t>
  </si>
  <si>
    <t>ภารกิจสุขภาพดิจิทัล</t>
  </si>
  <si>
    <t>กลุ่มงานเทคโนโลยีสารสนเทศ</t>
  </si>
  <si>
    <t xml:space="preserve">ไพรินทร์ </t>
  </si>
  <si>
    <t>จันทร์อินทร์</t>
  </si>
  <si>
    <t>เจ้าพนักงานธุรการ</t>
  </si>
  <si>
    <t xml:space="preserve">ธารีรัตน์ </t>
  </si>
  <si>
    <t>04</t>
  </si>
  <si>
    <t xml:space="preserve">เดือนเพ็ญ </t>
  </si>
  <si>
    <t>เมืองมูล</t>
  </si>
  <si>
    <t>ไม่ตรง</t>
  </si>
  <si>
    <t>เลขา รองแพทย์</t>
  </si>
  <si>
    <t xml:space="preserve">กิตตินันต์ </t>
  </si>
  <si>
    <t>วงค์ปันยอง</t>
  </si>
  <si>
    <t>HR</t>
  </si>
  <si>
    <t>20/10/2529</t>
  </si>
  <si>
    <t xml:space="preserve">นันท์ลภัส </t>
  </si>
  <si>
    <t>ธรีกรณ์พัฒน์</t>
  </si>
  <si>
    <t>เลขา กลุ่มการพยาบาล</t>
  </si>
  <si>
    <t>ภารกิจกลุ่มการพยาบาล</t>
  </si>
  <si>
    <t>ภารกิจด้านการพยาบาล</t>
  </si>
  <si>
    <t>กลุ่มงานบริหารทั่วไป</t>
  </si>
  <si>
    <t>23/11/2530</t>
  </si>
  <si>
    <t xml:space="preserve">อัจฉรา </t>
  </si>
  <si>
    <t>ชัยมูล</t>
  </si>
  <si>
    <t>งานธุรการ-สารบรรณ</t>
  </si>
  <si>
    <t xml:space="preserve">จิรายุ </t>
  </si>
  <si>
    <t>ปัญญาฟู</t>
  </si>
  <si>
    <t>0109924</t>
  </si>
  <si>
    <t>30/08/2539</t>
  </si>
  <si>
    <t xml:space="preserve">ณัฐภาวี </t>
  </si>
  <si>
    <t>ปันโชค</t>
  </si>
  <si>
    <t>0109926</t>
  </si>
  <si>
    <t>19/12/2534</t>
  </si>
  <si>
    <t xml:space="preserve">สุวรรณา </t>
  </si>
  <si>
    <t>ผิวเหลือง</t>
  </si>
  <si>
    <t>0109925</t>
  </si>
  <si>
    <t xml:space="preserve">รัตติยากร </t>
  </si>
  <si>
    <t>มะที</t>
  </si>
  <si>
    <t>0109939</t>
  </si>
  <si>
    <t>เลขา รองพรส.</t>
  </si>
  <si>
    <t xml:space="preserve">พรธนัฐ </t>
  </si>
  <si>
    <t>มุกสิกพงศ์</t>
  </si>
  <si>
    <t>0109927</t>
  </si>
  <si>
    <t>26/03/2533</t>
  </si>
  <si>
    <t xml:space="preserve">ลลิตา </t>
  </si>
  <si>
    <t>วิชัย</t>
  </si>
  <si>
    <t>0109928</t>
  </si>
  <si>
    <t>20/09/2537</t>
  </si>
  <si>
    <t xml:space="preserve">เนตรชนก </t>
  </si>
  <si>
    <t>เหลืองงาม</t>
  </si>
  <si>
    <t>0109923</t>
  </si>
  <si>
    <t>17/08/2535</t>
  </si>
  <si>
    <t xml:space="preserve">เบญญารัตน์ </t>
  </si>
  <si>
    <t>อุทร</t>
  </si>
  <si>
    <t>0109975</t>
  </si>
  <si>
    <t>ไตเทียม</t>
  </si>
  <si>
    <t>กลุ่มงานการพยาบาลตรวจรักษาพิเศษ</t>
  </si>
  <si>
    <t>29/04/2538</t>
  </si>
  <si>
    <t xml:space="preserve">กฤติน  </t>
  </si>
  <si>
    <t>ไชยรังสี</t>
  </si>
  <si>
    <t>สท10403</t>
  </si>
  <si>
    <t>กานต์รวี</t>
  </si>
  <si>
    <t>แก้วมา</t>
  </si>
  <si>
    <t>สท10404</t>
  </si>
  <si>
    <t>24/02/2545</t>
  </si>
  <si>
    <t xml:space="preserve">จักรกฤษณ์ </t>
  </si>
  <si>
    <t>คงสิบ</t>
  </si>
  <si>
    <t>สท10401</t>
  </si>
  <si>
    <t>18/01/2546</t>
  </si>
  <si>
    <t xml:space="preserve">จุฑามาศ </t>
  </si>
  <si>
    <t>คาวาซากิ</t>
  </si>
  <si>
    <t>สท30103</t>
  </si>
  <si>
    <t xml:space="preserve">ณัฎฐณิชา </t>
  </si>
  <si>
    <t>ไชยกันทา</t>
  </si>
  <si>
    <t>สท30102</t>
  </si>
  <si>
    <t xml:space="preserve">ณัฎฐ์ลิตา </t>
  </si>
  <si>
    <t>พวงมาลัย</t>
  </si>
  <si>
    <t>สท30101</t>
  </si>
  <si>
    <t xml:space="preserve">พรสุดา  </t>
  </si>
  <si>
    <t>แสนสุวรรณ์</t>
  </si>
  <si>
    <t>สท40501</t>
  </si>
  <si>
    <t>เลขา องค์กรแพทย์</t>
  </si>
  <si>
    <t>ภารกิจด้านบริการทุติยภูมิและตติยภูมิ</t>
  </si>
  <si>
    <t xml:space="preserve">พัทธนันท์ </t>
  </si>
  <si>
    <t>แสนสุข</t>
  </si>
  <si>
    <t>สท10102</t>
  </si>
  <si>
    <t>30/07/2539</t>
  </si>
  <si>
    <t xml:space="preserve">เฟื่องฟ้า </t>
  </si>
  <si>
    <t>กิติกา</t>
  </si>
  <si>
    <t>สท51501</t>
  </si>
  <si>
    <t>เลขา รองปฐมภูมิ</t>
  </si>
  <si>
    <t>กลุ่มงานเวชกรรมสังคม</t>
  </si>
  <si>
    <t>ภารกิจด้านบริการปฐมภูมิ</t>
  </si>
  <si>
    <t>17/12/2534</t>
  </si>
  <si>
    <t xml:space="preserve">มลนิกา </t>
  </si>
  <si>
    <t>เปียงวัน</t>
  </si>
  <si>
    <t>สท10101</t>
  </si>
  <si>
    <t>เลขา รองอำนวยการ</t>
  </si>
  <si>
    <t>19/08/2544</t>
  </si>
  <si>
    <t xml:space="preserve">วิจิตรา </t>
  </si>
  <si>
    <t>วาฤทธิ์</t>
  </si>
  <si>
    <t>สท10402</t>
  </si>
  <si>
    <t>13/04/2542</t>
  </si>
  <si>
    <t xml:space="preserve">สุรีรัตน์ </t>
  </si>
  <si>
    <t>อุ่นวิเศษ</t>
  </si>
  <si>
    <t>สท60101</t>
  </si>
  <si>
    <t xml:space="preserve">อชิรญา </t>
  </si>
  <si>
    <t>คำวัง</t>
  </si>
  <si>
    <t>สท30501</t>
  </si>
  <si>
    <t>เลขา หมอแจ็ค</t>
  </si>
  <si>
    <t>QMR</t>
  </si>
  <si>
    <t>28/10/2542</t>
  </si>
  <si>
    <t>สท10103</t>
  </si>
  <si>
    <t>29/12/2537</t>
  </si>
  <si>
    <t xml:space="preserve">วนัชพร </t>
  </si>
  <si>
    <t>สอนจันแดง</t>
  </si>
  <si>
    <t xml:space="preserve">เจ้าพนักงานธุรการ </t>
  </si>
  <si>
    <t>สท10301</t>
  </si>
  <si>
    <t>งานช่าง</t>
  </si>
  <si>
    <t>กลุ่มงานโครงสร้างพื้นฐานและวิศวกรรมทางการแพทย์</t>
  </si>
  <si>
    <t>23/04/2544</t>
  </si>
  <si>
    <t>เก่งกาจ</t>
  </si>
  <si>
    <t>0109929</t>
  </si>
  <si>
    <t>กลุ่มงานทันตกรรม</t>
  </si>
  <si>
    <t>26/03/2539</t>
  </si>
  <si>
    <t>ว่าที่ร้อยตรีหญิง</t>
  </si>
  <si>
    <t xml:space="preserve">วิชุดา </t>
  </si>
  <si>
    <t>จันทร์ขาว</t>
  </si>
  <si>
    <t>เจ้าพนักงานเผยแพร่ประชาสัมพันธ์</t>
  </si>
  <si>
    <t>งานประชาสัมพันธ์ ชั้น 1</t>
  </si>
  <si>
    <t>งานประชาสัมพันธ์ ชั้น 2</t>
  </si>
  <si>
    <t>28/01/2533</t>
  </si>
  <si>
    <t xml:space="preserve">รังษิณัฎฐ์ </t>
  </si>
  <si>
    <t>พลเยี่ยม</t>
  </si>
  <si>
    <t>เจ้าพนักงานพัสดุ</t>
  </si>
  <si>
    <t>กลุ่มงานพัสดุ</t>
  </si>
  <si>
    <t>พัสดุ</t>
  </si>
  <si>
    <t>17/09/2520</t>
  </si>
  <si>
    <t xml:space="preserve">นภัทรธมนต์ </t>
  </si>
  <si>
    <t>ไฝชมภู</t>
  </si>
  <si>
    <t>20/09/2536</t>
  </si>
  <si>
    <t xml:space="preserve">นันทรัตน์ภรณ์ </t>
  </si>
  <si>
    <t>แสงเขียว</t>
  </si>
  <si>
    <t>23/01/2521</t>
  </si>
  <si>
    <t>จุฑารัตน์</t>
  </si>
  <si>
    <t>ป่วนเทียน</t>
  </si>
  <si>
    <t>23/05/2520</t>
  </si>
  <si>
    <t xml:space="preserve">กรองทอง </t>
  </si>
  <si>
    <t>ทองคำ</t>
  </si>
  <si>
    <t>สท10206</t>
  </si>
  <si>
    <t xml:space="preserve">กาญจนเศรษฐ์ </t>
  </si>
  <si>
    <t>มณีขัติ</t>
  </si>
  <si>
    <t>สท10202</t>
  </si>
  <si>
    <t>21/12/2539</t>
  </si>
  <si>
    <t xml:space="preserve">ชนาธินาถ </t>
  </si>
  <si>
    <t>ศรีมลยา</t>
  </si>
  <si>
    <t>สท10204</t>
  </si>
  <si>
    <t>15/07/2531</t>
  </si>
  <si>
    <t xml:space="preserve">ธนกฤต </t>
  </si>
  <si>
    <t>มาปัญญาเลิศ</t>
  </si>
  <si>
    <t>สท10203</t>
  </si>
  <si>
    <t xml:space="preserve">ธนวัฒน์ </t>
  </si>
  <si>
    <t>มัณฑนศรีสกุล</t>
  </si>
  <si>
    <t>สท10210</t>
  </si>
  <si>
    <t>15/07/2537</t>
  </si>
  <si>
    <t>บุษบากร</t>
  </si>
  <si>
    <t>สร้อยสังวาลย์</t>
  </si>
  <si>
    <t>สท10208</t>
  </si>
  <si>
    <t xml:space="preserve">ปิยรัตน์ </t>
  </si>
  <si>
    <t>วรรณแก้ว</t>
  </si>
  <si>
    <t>สท10211</t>
  </si>
  <si>
    <t>23/10/2537</t>
  </si>
  <si>
    <t xml:space="preserve">พชร </t>
  </si>
  <si>
    <t>จิตรโรภาส</t>
  </si>
  <si>
    <t>สท10205</t>
  </si>
  <si>
    <t xml:space="preserve">อภิญญา  </t>
  </si>
  <si>
    <t>แสนโคตร</t>
  </si>
  <si>
    <t>สท10207</t>
  </si>
  <si>
    <t xml:space="preserve">อัณณ์ณิชา </t>
  </si>
  <si>
    <t>โทพิลา</t>
  </si>
  <si>
    <t>สท10209</t>
  </si>
  <si>
    <t>19/09/2539</t>
  </si>
  <si>
    <t>สท10201</t>
  </si>
  <si>
    <t>ไม่มีคนครอง</t>
  </si>
  <si>
    <t>อภิพล</t>
  </si>
  <si>
    <t>ทะโป</t>
  </si>
  <si>
    <t>เจ้าพนักงานเภสัชกรรม</t>
  </si>
  <si>
    <t>ชำนาญงาน</t>
  </si>
  <si>
    <t>เภสัชกรรม</t>
  </si>
  <si>
    <t>กลุ่มงานเภสัชกรรม</t>
  </si>
  <si>
    <t>สุพรรณิกาท์</t>
  </si>
  <si>
    <t>วงค์เสือ</t>
  </si>
  <si>
    <t>นภัสวันต์</t>
  </si>
  <si>
    <t>สีเขียงสา</t>
  </si>
  <si>
    <t>กรกมล</t>
  </si>
  <si>
    <t>ไชยนุรักษ์</t>
  </si>
  <si>
    <t>ศราวุฒิ</t>
  </si>
  <si>
    <t>โพธารินทร์</t>
  </si>
  <si>
    <t>26/05/2529</t>
  </si>
  <si>
    <t>อริสา</t>
  </si>
  <si>
    <t>กฤษฎิ์ฐากูร</t>
  </si>
  <si>
    <t>วราพันธ์</t>
  </si>
  <si>
    <t>ปัญญาวงศ์</t>
  </si>
  <si>
    <t>ลาศึกษา1/7/69-30/6/75</t>
  </si>
  <si>
    <t>วราพร</t>
  </si>
  <si>
    <t>ถามัง</t>
  </si>
  <si>
    <t>24/05/2543</t>
  </si>
  <si>
    <t>อัมพร</t>
  </si>
  <si>
    <t>ฟุ้งวิทยา</t>
  </si>
  <si>
    <t>25/05/2529</t>
  </si>
  <si>
    <t>ธีรภัทร</t>
  </si>
  <si>
    <t>สิงห์ตัน</t>
  </si>
  <si>
    <t>13/03/2543</t>
  </si>
  <si>
    <t>ฐิติรัตน์</t>
  </si>
  <si>
    <t>รามพัด</t>
  </si>
  <si>
    <t>16/01/2543</t>
  </si>
  <si>
    <t>วิชญาพร</t>
  </si>
  <si>
    <t>สท41906</t>
  </si>
  <si>
    <t>ศรีสาวรรณ</t>
  </si>
  <si>
    <t>มูทา</t>
  </si>
  <si>
    <t>สท41903</t>
  </si>
  <si>
    <t>อรปวีณา</t>
  </si>
  <si>
    <t>ว่างป่อ</t>
  </si>
  <si>
    <t>สท41904</t>
  </si>
  <si>
    <t>ฐิติกร</t>
  </si>
  <si>
    <t>ตาน้อย</t>
  </si>
  <si>
    <t>ช่างกายอุปกรณ์</t>
  </si>
  <si>
    <t>กายภาพ</t>
  </si>
  <si>
    <t>กลุ่มงานเวชกรรมฟื้นฟู</t>
  </si>
  <si>
    <t>15/01/2539</t>
  </si>
  <si>
    <t>พัชรพล</t>
  </si>
  <si>
    <t>หมุดปัน</t>
  </si>
  <si>
    <t>0111024</t>
  </si>
  <si>
    <t>17/05/2542</t>
  </si>
  <si>
    <t>ขจรเกียรติ</t>
  </si>
  <si>
    <t>แซ่ว่าง</t>
  </si>
  <si>
    <t>สท41704</t>
  </si>
  <si>
    <t>26/07/2545</t>
  </si>
  <si>
    <t>สท41705</t>
  </si>
  <si>
    <t>เอกพล</t>
  </si>
  <si>
    <t>ว่องการไถ</t>
  </si>
  <si>
    <t>ช่างฝึมือทั่วไป</t>
  </si>
  <si>
    <t>สนับสนุน</t>
  </si>
  <si>
    <t>Back office</t>
  </si>
  <si>
    <t>อยู่ระหว่างเปลี่ยนตำแหน่ง เป็นนายช่างเทคนิค</t>
  </si>
  <si>
    <t>ณัฐินี</t>
  </si>
  <si>
    <t>พิทักษ์ศิริอนันต์</t>
  </si>
  <si>
    <t>ทันตแพทย์</t>
  </si>
  <si>
    <t>ชำนาญการ</t>
  </si>
  <si>
    <t>ด้านทันตกรรม</t>
  </si>
  <si>
    <t>พฤทธิพงศ์</t>
  </si>
  <si>
    <t>ภักดี</t>
  </si>
  <si>
    <t>วิริยา</t>
  </si>
  <si>
    <t>หลิดชิววงศ์</t>
  </si>
  <si>
    <t>ชำนาญการพิเศษ</t>
  </si>
  <si>
    <t>21/05/2517</t>
  </si>
  <si>
    <t>มัณฑนา</t>
  </si>
  <si>
    <t>รัชฎาพร</t>
  </si>
  <si>
    <t>วิธูวรรณ</t>
  </si>
  <si>
    <t>สุชาตานนท์</t>
  </si>
  <si>
    <t>นิศรา</t>
  </si>
  <si>
    <t>วัฒนานิวัต</t>
  </si>
  <si>
    <t>14/09/2524</t>
  </si>
  <si>
    <t>อนันตญา</t>
  </si>
  <si>
    <t>เอกปณิธานพงศ์</t>
  </si>
  <si>
    <t>นิอร</t>
  </si>
  <si>
    <t>วิภาสวงศ์</t>
  </si>
  <si>
    <t>16/06/2529</t>
  </si>
  <si>
    <t>วรพร</t>
  </si>
  <si>
    <t>ตันติภาณุวิทย์</t>
  </si>
  <si>
    <t>วิไลพร</t>
  </si>
  <si>
    <t>มูลเมือง</t>
  </si>
  <si>
    <t>28/01/2528</t>
  </si>
  <si>
    <t>ธเนศ</t>
  </si>
  <si>
    <t>ชัชวาลชัยทรัพย์</t>
  </si>
  <si>
    <t>นักกายภาพบำบัด</t>
  </si>
  <si>
    <t>นักกายภาพบำบัด/เจ้าพนักงานเวชกรรมฟื้นฟู</t>
  </si>
  <si>
    <t>ปฏิบัติการ</t>
  </si>
  <si>
    <t>15/12/2530</t>
  </si>
  <si>
    <t>ศรินดา</t>
  </si>
  <si>
    <t>ไชยวงศ์</t>
  </si>
  <si>
    <t>ด้านบริการทางวิชาการ</t>
  </si>
  <si>
    <t>21/06/2522</t>
  </si>
  <si>
    <t>สราวุธ</t>
  </si>
  <si>
    <t>ทมโยธา</t>
  </si>
  <si>
    <t>27/01/2526</t>
  </si>
  <si>
    <t>สินีนาฎ</t>
  </si>
  <si>
    <t>วงค์วิบูลย์</t>
  </si>
  <si>
    <t>31/12/2528</t>
  </si>
  <si>
    <t>ปลอดภัย</t>
  </si>
  <si>
    <t>ญาณนันท์</t>
  </si>
  <si>
    <t>พันธ์ปัญญา</t>
  </si>
  <si>
    <t>ศรีสกุล</t>
  </si>
  <si>
    <t>18/11/2535</t>
  </si>
  <si>
    <t>ธีราดา</t>
  </si>
  <si>
    <t>สุขสบาย</t>
  </si>
  <si>
    <t>16/01/2534</t>
  </si>
  <si>
    <t>รัชดาภรณ์</t>
  </si>
  <si>
    <t>เที่ยงจันตา</t>
  </si>
  <si>
    <t>17/07/2536</t>
  </si>
  <si>
    <t>ณัฐเศรษฐ</t>
  </si>
  <si>
    <t>โปธายะ</t>
  </si>
  <si>
    <t>0109133</t>
  </si>
  <si>
    <t>13/06/2543</t>
  </si>
  <si>
    <t>จุฑาลักษณ์</t>
  </si>
  <si>
    <t>นามกร</t>
  </si>
  <si>
    <t>รพช.ดอยสะเก็ด</t>
  </si>
  <si>
    <t>ณิชารัตน์</t>
  </si>
  <si>
    <t>เทพวงค์</t>
  </si>
  <si>
    <t>นักกิจกรรมบำบัด</t>
  </si>
  <si>
    <t>สท41701</t>
  </si>
  <si>
    <t>13/10/2542</t>
  </si>
  <si>
    <t>ธนนท์</t>
  </si>
  <si>
    <t>ธนมิลินกุล</t>
  </si>
  <si>
    <t>สท41702</t>
  </si>
  <si>
    <t>22/02/2543</t>
  </si>
  <si>
    <t>บุษราคัม</t>
  </si>
  <si>
    <t>คาบเพ็ชร</t>
  </si>
  <si>
    <t>อาทิตย์</t>
  </si>
  <si>
    <t>ร่มโพธิ์</t>
  </si>
  <si>
    <t>20/01/2528</t>
  </si>
  <si>
    <t>ณัฎฐินี</t>
  </si>
  <si>
    <t>ศิริสวัสดิ์</t>
  </si>
  <si>
    <t xml:space="preserve">จตุวุฒิ </t>
  </si>
  <si>
    <t>ทองบุญเรือง</t>
  </si>
  <si>
    <t>นักจัดการงานทั่วไป</t>
  </si>
  <si>
    <t>งานสนาม</t>
  </si>
  <si>
    <t xml:space="preserve">สุกัลยา </t>
  </si>
  <si>
    <t>ศิริวรรณ</t>
  </si>
  <si>
    <t>พรก.</t>
  </si>
  <si>
    <t>เลขา ผอ</t>
  </si>
  <si>
    <t xml:space="preserve">สุกัญญา </t>
  </si>
  <si>
    <t>สุทะ</t>
  </si>
  <si>
    <t>0110002</t>
  </si>
  <si>
    <t>อำนวยการ</t>
  </si>
  <si>
    <t>จุฑามาศ</t>
  </si>
  <si>
    <t>ถนอมกิจกุล</t>
  </si>
  <si>
    <t>นักจิตวิทยา</t>
  </si>
  <si>
    <t>นักจิตวิทยา/นักจิตวิทยาคลินิค</t>
  </si>
  <si>
    <t>กลุ่มงานจิตเวชและยาเสพติด</t>
  </si>
  <si>
    <t xml:space="preserve">จมรพรรณ </t>
  </si>
  <si>
    <t>นักทรัพยากรบุคคล</t>
  </si>
  <si>
    <t>หัวหน้ากลุ่มงานทรัพยากรบุคคล</t>
  </si>
  <si>
    <t xml:space="preserve">พินพิไล </t>
  </si>
  <si>
    <t>สุคันธวณิช</t>
  </si>
  <si>
    <t xml:space="preserve">บุญสิตา </t>
  </si>
  <si>
    <t>พัฒนะศิลป์</t>
  </si>
  <si>
    <t>0109921</t>
  </si>
  <si>
    <t>17/07/2544</t>
  </si>
  <si>
    <t xml:space="preserve">ธัญญาลักษณ์ </t>
  </si>
  <si>
    <t>บุญเทียม</t>
  </si>
  <si>
    <t>0109922</t>
  </si>
  <si>
    <t>25/03/2543</t>
  </si>
  <si>
    <t>เจ้าพนักงานวิทยาศาสตร์การแพทย์</t>
  </si>
  <si>
    <t>นักเทคนิคการแพทย์/นักวิทยาศาสตร์การแพทย์/จพ.วิทยาศาสตร์การแพทย์</t>
  </si>
  <si>
    <t>เทคนิคการแพทยย์</t>
  </si>
  <si>
    <t>ห้องLab</t>
  </si>
  <si>
    <t>กลุ่มงานเทคนิคการแพทย์และพยาธิวิทยาคลินิก</t>
  </si>
  <si>
    <t>ยุบรวมกับ106678 เป็น นักเทคนิคการแพทย์</t>
  </si>
  <si>
    <t>ยุบรวมกับ107112 เป็น นักเทคนิคการแพทย์</t>
  </si>
  <si>
    <t>นภัสรพี</t>
  </si>
  <si>
    <t>แสนสอาด</t>
  </si>
  <si>
    <t>นักเทคนิคการแพทย์</t>
  </si>
  <si>
    <t>หัวหน้ากลุ่มงานเทคนิคการแพทย์และพยาธิวิทยาคลินิก</t>
  </si>
  <si>
    <t>31/07/2519</t>
  </si>
  <si>
    <t>ณัฐฐา</t>
  </si>
  <si>
    <t>อินทรโสภา</t>
  </si>
  <si>
    <t>15/03/2522</t>
  </si>
  <si>
    <t>หนึ่งฤทัย</t>
  </si>
  <si>
    <t>เมืองทรัพย์</t>
  </si>
  <si>
    <t>21/07/2532</t>
  </si>
  <si>
    <t>สิริกานต์</t>
  </si>
  <si>
    <t>ทิพยะ</t>
  </si>
  <si>
    <t>18/12/2536</t>
  </si>
  <si>
    <t>สาริน</t>
  </si>
  <si>
    <t>สายคำฟู</t>
  </si>
  <si>
    <t>สุทธิวรรณ</t>
  </si>
  <si>
    <t>ติ๊บใหม่</t>
  </si>
  <si>
    <t>ฐกร</t>
  </si>
  <si>
    <t>จิตติกานต์</t>
  </si>
  <si>
    <t>ทิพพาวดี</t>
  </si>
  <si>
    <t>จันทร์ใส</t>
  </si>
  <si>
    <t>14/03/2536</t>
  </si>
  <si>
    <t>ทักษิณา</t>
  </si>
  <si>
    <t>หาญจักรคำ</t>
  </si>
  <si>
    <t>พิชามญชุ์</t>
  </si>
  <si>
    <t>วรรณวงค์</t>
  </si>
  <si>
    <t>26/10/2536</t>
  </si>
  <si>
    <t>จิดาภา</t>
  </si>
  <si>
    <t>เพลิดเพลิน</t>
  </si>
  <si>
    <t>22/05/2541</t>
  </si>
  <si>
    <t>กมลวรณ</t>
  </si>
  <si>
    <t>คำปวนบุตร</t>
  </si>
  <si>
    <t>0109068</t>
  </si>
  <si>
    <t>0109070</t>
  </si>
  <si>
    <t>จีณาญา</t>
  </si>
  <si>
    <t>เผ่ากันทะ</t>
  </si>
  <si>
    <t>0109069</t>
  </si>
  <si>
    <t>0109071</t>
  </si>
  <si>
    <t>ณัทนนท์</t>
  </si>
  <si>
    <t>ยั่งยืน</t>
  </si>
  <si>
    <t>0109066</t>
  </si>
  <si>
    <t>ไม่มีคนครอง-รับบรรจุ (ภิชัย)</t>
  </si>
  <si>
    <t>ศักดิ์นนท์</t>
  </si>
  <si>
    <t>ไร่ทะ</t>
  </si>
  <si>
    <t>0109067</t>
  </si>
  <si>
    <t>พิมพ์พิศุทธิ์</t>
  </si>
  <si>
    <t>ใจสว่าง</t>
  </si>
  <si>
    <t>สท41601</t>
  </si>
  <si>
    <t>วทัญญุตา</t>
  </si>
  <si>
    <t>วาทกานต์</t>
  </si>
  <si>
    <t>นักวิทยาศาสตร์การแพทย์</t>
  </si>
  <si>
    <t>นักเทคนิคการแพทย์/นักวิทยาศาสตร์การแพทย์/เจ้าพนักงานวิทยาศาสตร์การแพทย์</t>
  </si>
  <si>
    <t>กลุ่มงานพยาธิวิทยากายวิภาค</t>
  </si>
  <si>
    <t>ฉัตรกนก</t>
  </si>
  <si>
    <t>อภิบาล</t>
  </si>
  <si>
    <t>27/10/2529</t>
  </si>
  <si>
    <t>ไม่มีคนครอง-รับบรรจุ (เพลินพิศ)</t>
  </si>
  <si>
    <t>สกาวรัตน์</t>
  </si>
  <si>
    <t>ไชยสาร</t>
  </si>
  <si>
    <t>อรอนงค์</t>
  </si>
  <si>
    <t>รุ่งกิจวานิชน์</t>
  </si>
  <si>
    <t>เจ้าพนักงานสาธารณสุข (เวชกิจฉุกเฉิน)</t>
  </si>
  <si>
    <t>นักปฏิบัติการฉุกเฉินการแพทย์/เจ้าพนักงานสาธารณสุข (เวชกิจฉุกเฉิน)/เจ้าพนักงานเวชกิจฉุกเฉิน/นักวิชาการสาธารณสุข (เวชกิจฉุกเฉิน)</t>
  </si>
  <si>
    <t>อุบัติเหตุและฉุกเฉิน</t>
  </si>
  <si>
    <t>ER</t>
  </si>
  <si>
    <t>กลุ่มงานการพยาบาลผู้ป่วยอุบัติเหตุและฉุกเฉิน</t>
  </si>
  <si>
    <t>กลุ่มงานเวชศาสตร์ฉุกเฉิน</t>
  </si>
  <si>
    <t>จุฑามณี</t>
  </si>
  <si>
    <t>ถาพา</t>
  </si>
  <si>
    <t>กำลังทำหนังสือถึง สป บรรจุผู้สอบแข่งขันได้</t>
  </si>
  <si>
    <t>ทำหนังสือถึง สป บรรจุผู้สอบแข่งขันได้ รร แล้ว</t>
  </si>
  <si>
    <t>วรุฒม์</t>
  </si>
  <si>
    <t>ปินตาเสน</t>
  </si>
  <si>
    <t>14/06/2532</t>
  </si>
  <si>
    <t>พัชรีรัตน์</t>
  </si>
  <si>
    <t>แกนุ</t>
  </si>
  <si>
    <t>13/02/2539</t>
  </si>
  <si>
    <t>รัชนี</t>
  </si>
  <si>
    <t>บัวหลวง</t>
  </si>
  <si>
    <t>ปอโซโร</t>
  </si>
  <si>
    <t>29/04/2544</t>
  </si>
  <si>
    <t>กุลธิดา</t>
  </si>
  <si>
    <t>ท้าวภูธร</t>
  </si>
  <si>
    <t>วรวรรณ</t>
  </si>
  <si>
    <t>นักประชาสัมพันธ์</t>
  </si>
  <si>
    <t>0110003</t>
  </si>
  <si>
    <t>ภัณฑิลา</t>
  </si>
  <si>
    <t>วิภาษา</t>
  </si>
  <si>
    <t>นักโภชนาการ</t>
  </si>
  <si>
    <t>นักโภชนาการ/นักกำหนดอาหาร/โภชนากร</t>
  </si>
  <si>
    <t>โภชนาการ</t>
  </si>
  <si>
    <t>กลุ่มงานโภชนศาสตร์</t>
  </si>
  <si>
    <t>ปรียา</t>
  </si>
  <si>
    <t>ยืนมาก</t>
  </si>
  <si>
    <t>ธิติ</t>
  </si>
  <si>
    <t>เรืองด้วยธรรม</t>
  </si>
  <si>
    <t>นักรังสีการแพทย์</t>
  </si>
  <si>
    <t>นักรังสีการแพทย์/จพ.รังสีการแพทย์/นักฟิสิกส์การแพทย์</t>
  </si>
  <si>
    <t>รังสี</t>
  </si>
  <si>
    <t>กลุ่มงานรังสีวิทยา</t>
  </si>
  <si>
    <t>สุทธิพันธุ์</t>
  </si>
  <si>
    <t>อักษรพันธ์</t>
  </si>
  <si>
    <t>สท41501</t>
  </si>
  <si>
    <t>25/05/2547</t>
  </si>
  <si>
    <t>ภาณุมาศ</t>
  </si>
  <si>
    <t>หอมนวล</t>
  </si>
  <si>
    <t>นักรังสีการแพทย์/นักรังสีการแพทย์ (รังสีรักษา)/นักรังสีการแพทย์(เวชศาสตร์นิวเคลียร์)/ เจ้าพนักงานรังสีการแพทย์/นักฟิสิกส์การแพทย์</t>
  </si>
  <si>
    <t>25/12/2538</t>
  </si>
  <si>
    <t>ศิวกร</t>
  </si>
  <si>
    <t>อินจันทร์</t>
  </si>
  <si>
    <t>นพดล</t>
  </si>
  <si>
    <t>ริยะสาร</t>
  </si>
  <si>
    <t>นักวิเคราะห์นโยบายและแผน</t>
  </si>
  <si>
    <t>รอง อำนวยการ</t>
  </si>
  <si>
    <t>21/10/2517</t>
  </si>
  <si>
    <t xml:space="preserve">กาญจนา </t>
  </si>
  <si>
    <t>สมสุข</t>
  </si>
  <si>
    <t>นักวิชาการคอมพิวเตอร์</t>
  </si>
  <si>
    <t xml:space="preserve">อภิวัฒน์ </t>
  </si>
  <si>
    <t>นิพิฐวัธนะผล</t>
  </si>
  <si>
    <t>กลุ่มงานสุขภาพดิจิทัล</t>
  </si>
  <si>
    <t>26/05/2538</t>
  </si>
  <si>
    <t xml:space="preserve">จักรพงษ์ </t>
  </si>
  <si>
    <t>คุณแสน</t>
  </si>
  <si>
    <t>0109942</t>
  </si>
  <si>
    <t>28/12/2536</t>
  </si>
  <si>
    <t xml:space="preserve">ณัฐวัตร </t>
  </si>
  <si>
    <t>ชุ่มเชื้อ</t>
  </si>
  <si>
    <t>0109940</t>
  </si>
  <si>
    <t>20/03/2538</t>
  </si>
  <si>
    <t xml:space="preserve">สิรวิชญ์ </t>
  </si>
  <si>
    <t>สุภะการ</t>
  </si>
  <si>
    <t>0109941</t>
  </si>
  <si>
    <t xml:space="preserve">ศิริวรรณ </t>
  </si>
  <si>
    <t>พิมาสน</t>
  </si>
  <si>
    <t>นักวิชาการเงินและบัญชี</t>
  </si>
  <si>
    <t>หัวหน้ากลุ่มงานการบัญชี</t>
  </si>
  <si>
    <t>28/02/2513</t>
  </si>
  <si>
    <t xml:space="preserve">ปนัฐฐา </t>
  </si>
  <si>
    <t>ปัญญายอง</t>
  </si>
  <si>
    <t xml:space="preserve">อภิญญา </t>
  </si>
  <si>
    <t>ยาวิลาศ</t>
  </si>
  <si>
    <t>21/08/2538</t>
  </si>
  <si>
    <t xml:space="preserve">พัณณิตา </t>
  </si>
  <si>
    <t>ทาเงิน</t>
  </si>
  <si>
    <t>นักวิชาการพัสดุ</t>
  </si>
  <si>
    <t>28/09/2539</t>
  </si>
  <si>
    <t>กฤษณา</t>
  </si>
  <si>
    <t>เจ้าพนักงานทันตสาธารณสุข</t>
  </si>
  <si>
    <t>นักวิชาการสาธารณสุข (ทันตสาธารณสุข)/เจ้าพนักงานทันตสาธารณสุข</t>
  </si>
  <si>
    <t>สุนีย์</t>
  </si>
  <si>
    <t>จินะจันตา</t>
  </si>
  <si>
    <t>เกศสุดา</t>
  </si>
  <si>
    <t>ปันคำ</t>
  </si>
  <si>
    <t>นัยนันท์</t>
  </si>
  <si>
    <t>จันกัด</t>
  </si>
  <si>
    <t>นักวิชาการสาธารณสุข (ทันตสาธารณสุข)</t>
  </si>
  <si>
    <t xml:space="preserve">ผกามาศ </t>
  </si>
  <si>
    <t>ดวงทิพย์</t>
  </si>
  <si>
    <t>เจ้าพนักงานเวชสถิติ</t>
  </si>
  <si>
    <t>นักวิชาการสาธารณสุข (เวชสถิติ)/เจ้าพนักงานเวชสถิติ</t>
  </si>
  <si>
    <t>เวชระเบียน</t>
  </si>
  <si>
    <t>23/02/2532</t>
  </si>
  <si>
    <t xml:space="preserve">สุภนิดา </t>
  </si>
  <si>
    <t>ติ๊บปะละ</t>
  </si>
  <si>
    <t>19/07/2540</t>
  </si>
  <si>
    <t>สุภาพร</t>
  </si>
  <si>
    <t>ราชสอาด</t>
  </si>
  <si>
    <t xml:space="preserve">มลวิภา </t>
  </si>
  <si>
    <t>กันทะเรือน</t>
  </si>
  <si>
    <t>นักวิชาการสาธารณสุข (เวชสถิติ)</t>
  </si>
  <si>
    <t>เวชสถิติ</t>
  </si>
  <si>
    <t>กลุ่มงานเวชระเบียนและข้อมูลทางการแพทย์</t>
  </si>
  <si>
    <t>19/06/2517</t>
  </si>
  <si>
    <t xml:space="preserve">ปิยะกานต์ </t>
  </si>
  <si>
    <t>ปิยะตระกูล</t>
  </si>
  <si>
    <t>สท60301</t>
  </si>
  <si>
    <t>สิทธิศักดิ์</t>
  </si>
  <si>
    <t>ขัตติยะ</t>
  </si>
  <si>
    <t>นักวิชาการสาธารณสุข</t>
  </si>
  <si>
    <t>นักวิชาการสาธารณสุข/เจ้าพนักงานสาธารณสุข/นักสาธารณสุข</t>
  </si>
  <si>
    <t>งานป้องกันควบคุมโรคและระบาดวิทยา</t>
  </si>
  <si>
    <t>03 (02)</t>
  </si>
  <si>
    <t>23/07/2542</t>
  </si>
  <si>
    <t>งานเวชปฏิบัติครอบครัวและชุมชนและศูนย์สุขภาพชุมชนเขตเมือง</t>
  </si>
  <si>
    <t>03 (01)</t>
  </si>
  <si>
    <t>ขอปรับปรุงกำหนดตำแหน่ง เป็นนักทรัพยากรบุคคล</t>
  </si>
  <si>
    <t>มิ่งขวัญ</t>
  </si>
  <si>
    <t>พิมพ์สา</t>
  </si>
  <si>
    <t>PCU หนองหาร</t>
  </si>
  <si>
    <t>22/02/2530</t>
  </si>
  <si>
    <t>อรณิชา</t>
  </si>
  <si>
    <t>แก้วดวงติ๊บ</t>
  </si>
  <si>
    <t>ศุภรัตน์</t>
  </si>
  <si>
    <t>เมืองอินทร์</t>
  </si>
  <si>
    <t>ไอยณา</t>
  </si>
  <si>
    <t>ปิดจ๊ะ</t>
  </si>
  <si>
    <t>27/04/2540</t>
  </si>
  <si>
    <t>นที</t>
  </si>
  <si>
    <t>ใจเปรมปรีดี</t>
  </si>
  <si>
    <t>งานส่งเสริมสุขภาพและพื้นฟูสภาพวัยทำงาน</t>
  </si>
  <si>
    <t>กลุ่มงานอาชีวเวชกรรม</t>
  </si>
  <si>
    <t>05 (02)</t>
  </si>
  <si>
    <t>13/10/2538</t>
  </si>
  <si>
    <t>แพรธินี</t>
  </si>
  <si>
    <t>ประกอบศรี</t>
  </si>
  <si>
    <t>อาชีวเวชกรรม</t>
  </si>
  <si>
    <t>งานพิษวิทยาและเวชศาสตร์สิ่งแวดล้อม</t>
  </si>
  <si>
    <t>05 (04)</t>
  </si>
  <si>
    <t>สุธาสินี</t>
  </si>
  <si>
    <t>สายามา</t>
  </si>
  <si>
    <t>งานอาชีวอนามัยความปลอดภัยและอนามัยสิ่งแวดล้อม</t>
  </si>
  <si>
    <t>05 (05)</t>
  </si>
  <si>
    <t xml:space="preserve">พิมภิลา </t>
  </si>
  <si>
    <t>สุพรรณ</t>
  </si>
  <si>
    <t>หัวหน้ากลุ่มงานประกันสุขภาพ</t>
  </si>
  <si>
    <t>31/01/2533</t>
  </si>
  <si>
    <t xml:space="preserve">สุปรีญา </t>
  </si>
  <si>
    <t>สำราญชื่น</t>
  </si>
  <si>
    <t>หัวหน้ากลุ่มงานยุทธศาสตร์และแผนงานโครงการ</t>
  </si>
  <si>
    <t>17/05/2539</t>
  </si>
  <si>
    <t xml:space="preserve">จันทกรณ์ </t>
  </si>
  <si>
    <t>จีกัน</t>
  </si>
  <si>
    <t xml:space="preserve">วิทยา </t>
  </si>
  <si>
    <t>สอนเสนา</t>
  </si>
  <si>
    <t>18/07/2540</t>
  </si>
  <si>
    <t xml:space="preserve">ปภัสรา </t>
  </si>
  <si>
    <t>รัตนะ</t>
  </si>
  <si>
    <t xml:space="preserve">สิรีธร </t>
  </si>
  <si>
    <t>หวังกีรติกุล</t>
  </si>
  <si>
    <t>หัวหน้ากลุ่มงานพัฒนาคุณภาพบริการและมาตรฐาน</t>
  </si>
  <si>
    <t>27/01/2536</t>
  </si>
  <si>
    <t>ไม่มีคนครอง-ยุบกำหนตำแหน่ง ให้นวค.ชพ.</t>
  </si>
  <si>
    <t>พัชรวรินทร์</t>
  </si>
  <si>
    <t>ต่ออินทร์</t>
  </si>
  <si>
    <t>แซ่ย่อง</t>
  </si>
  <si>
    <t>18/02/2539</t>
  </si>
  <si>
    <t xml:space="preserve">รดาธันย์ </t>
  </si>
  <si>
    <t>ทองเดช</t>
  </si>
  <si>
    <t xml:space="preserve">ภานุพงศ์ </t>
  </si>
  <si>
    <t>แซ่เลี่ยว</t>
  </si>
  <si>
    <t>0109064</t>
  </si>
  <si>
    <t>พรรณวิทย์</t>
  </si>
  <si>
    <t>บุญเรือง</t>
  </si>
  <si>
    <t>0109134</t>
  </si>
  <si>
    <t>30/08/2544</t>
  </si>
  <si>
    <t>พัชรินทร์พร</t>
  </si>
  <si>
    <t>สดับ</t>
  </si>
  <si>
    <t>0109135</t>
  </si>
  <si>
    <t>24/06/2536</t>
  </si>
  <si>
    <t>บุษลัดดา</t>
  </si>
  <si>
    <t>แก้วเนิน</t>
  </si>
  <si>
    <t>สท205301</t>
  </si>
  <si>
    <t>งานอาชีวป้องกันและควบคุมโรค</t>
  </si>
  <si>
    <t>05 (03)</t>
  </si>
  <si>
    <t xml:space="preserve">ทวีศักดิ์ </t>
  </si>
  <si>
    <t>สายเขียว</t>
  </si>
  <si>
    <t>เจ้าพนักงานโสตทัศนศึกษา</t>
  </si>
  <si>
    <t>นักวิชาการโสตทัศนศึกษา/เจ้าพนักงานโสตทัศนศึกษา</t>
  </si>
  <si>
    <t>16/02/2523</t>
  </si>
  <si>
    <t xml:space="preserve">ปรเมษฐ </t>
  </si>
  <si>
    <t>จันทร์มา</t>
  </si>
  <si>
    <t>0107430</t>
  </si>
  <si>
    <t>19/11/2536</t>
  </si>
  <si>
    <t>เยาวดี</t>
  </si>
  <si>
    <t>ตานุ</t>
  </si>
  <si>
    <t>นักสังคมสงเคราะห์</t>
  </si>
  <si>
    <t>สังคมสงเคราะห์</t>
  </si>
  <si>
    <t>กลุ่มงานสังคมสงเคราะห์</t>
  </si>
  <si>
    <t>มุทิตา</t>
  </si>
  <si>
    <t>จันทราวดี</t>
  </si>
  <si>
    <t>0109065</t>
  </si>
  <si>
    <t>14/01/2540</t>
  </si>
  <si>
    <t xml:space="preserve">พิเชษฐ </t>
  </si>
  <si>
    <t>อาจใจ</t>
  </si>
  <si>
    <t>นายช่างเทคนิค</t>
  </si>
  <si>
    <t>28/02/2524</t>
  </si>
  <si>
    <t xml:space="preserve">วรากร </t>
  </si>
  <si>
    <t>ช่อชมภู</t>
  </si>
  <si>
    <t>0109935</t>
  </si>
  <si>
    <t>23/03/2539</t>
  </si>
  <si>
    <t xml:space="preserve">ณัฐวุฒิ  </t>
  </si>
  <si>
    <t>อารามแก้ว</t>
  </si>
  <si>
    <t>0109934</t>
  </si>
  <si>
    <t>14/06/2533</t>
  </si>
  <si>
    <t>ยุทธพงษ์</t>
  </si>
  <si>
    <t>หล้ากาศ</t>
  </si>
  <si>
    <t>นายช่างไฟฟ้า</t>
  </si>
  <si>
    <t>ณัฐพล</t>
  </si>
  <si>
    <t>พันทอง</t>
  </si>
  <si>
    <t>ฉัตรมงคล</t>
  </si>
  <si>
    <t>คำแหง</t>
  </si>
  <si>
    <t>สท.ส10118</t>
  </si>
  <si>
    <t>ชัชวาล</t>
  </si>
  <si>
    <t>พละภิญโญ</t>
  </si>
  <si>
    <t>นายแพทย์</t>
  </si>
  <si>
    <t>ด้านเวชกรรม</t>
  </si>
  <si>
    <t>สูตินารี</t>
  </si>
  <si>
    <t>กลุ่มงานสูติ - นรีเวชกรรม</t>
  </si>
  <si>
    <t>19/07/2516</t>
  </si>
  <si>
    <t>ปาณิศา</t>
  </si>
  <si>
    <t>ฮันตระกูล</t>
  </si>
  <si>
    <t>22/07/2537</t>
  </si>
  <si>
    <t>ปิ่นนภา</t>
  </si>
  <si>
    <t>เตอะอ้าย</t>
  </si>
  <si>
    <t>วิชาน</t>
  </si>
  <si>
    <t>แก้วเขียว</t>
  </si>
  <si>
    <t>อารักขา</t>
  </si>
  <si>
    <t>ปุทมบาล</t>
  </si>
  <si>
    <t>คุณัช</t>
  </si>
  <si>
    <t>อภิเดชากุล</t>
  </si>
  <si>
    <t>วิสัญญี</t>
  </si>
  <si>
    <t>กลุ่มงานผู้ป่วยนอก</t>
  </si>
  <si>
    <t>16/03/2533</t>
  </si>
  <si>
    <t>ชิตาภา</t>
  </si>
  <si>
    <t>พงศ์ศุภสมิทธ์</t>
  </si>
  <si>
    <t>กลุ่มงานวิสัญญีวิทยา</t>
  </si>
  <si>
    <t>28/01/2530</t>
  </si>
  <si>
    <t>ณัฐชา</t>
  </si>
  <si>
    <t>วิบูลรังสรรค์</t>
  </si>
  <si>
    <t>นัฐยา</t>
  </si>
  <si>
    <t>กิติกูล</t>
  </si>
  <si>
    <t>30/09/2535</t>
  </si>
  <si>
    <t>อิศราวุฒิ</t>
  </si>
  <si>
    <t>ทองเมฆ</t>
  </si>
  <si>
    <t>29/12/2525</t>
  </si>
  <si>
    <t>กิตติภา</t>
  </si>
  <si>
    <t>พรทิพย์</t>
  </si>
  <si>
    <t>สุทธิรัตน์ชัยชาญ</t>
  </si>
  <si>
    <t>24/03/2520</t>
  </si>
  <si>
    <t>ต่อพงศ์</t>
  </si>
  <si>
    <t>สุวรรณมณี</t>
  </si>
  <si>
    <t>รพ.นครพิงค์</t>
  </si>
  <si>
    <t>ชลาทิพย์</t>
  </si>
  <si>
    <t>ซื่อวัฒนะ</t>
  </si>
  <si>
    <t>26/08/2523</t>
  </si>
  <si>
    <t>นภัส</t>
  </si>
  <si>
    <t>รุ่งเรืองธนะกิจ</t>
  </si>
  <si>
    <t>นวพล</t>
  </si>
  <si>
    <t>จรุงวัฒนา</t>
  </si>
  <si>
    <t>22/02/2536</t>
  </si>
  <si>
    <t>ปิยะนาถ</t>
  </si>
  <si>
    <t>จันทรศัพท์</t>
  </si>
  <si>
    <t>เวชศาสตร์ฉุกเฉิน</t>
  </si>
  <si>
    <t>ขนิษฐา</t>
  </si>
  <si>
    <t>พงษ์ศิริ</t>
  </si>
  <si>
    <t>อายุรกรรม</t>
  </si>
  <si>
    <t>กลุ่มงานอายุรกรรม</t>
  </si>
  <si>
    <t>20/12/2525</t>
  </si>
  <si>
    <t>จิระพงษ์</t>
  </si>
  <si>
    <t>กอเทพวัลย์</t>
  </si>
  <si>
    <t>26/07/2517</t>
  </si>
  <si>
    <t>นันทวัฒน์</t>
  </si>
  <si>
    <t>ยาวุฒิ</t>
  </si>
  <si>
    <t>บงการ</t>
  </si>
  <si>
    <t>จำนงประสาทพร</t>
  </si>
  <si>
    <t>30/10/2529</t>
  </si>
  <si>
    <t>พิมภิมุข</t>
  </si>
  <si>
    <t>กลั่นเรืองแสง</t>
  </si>
  <si>
    <t>15/09/2517</t>
  </si>
  <si>
    <t>คำเขื่อน</t>
  </si>
  <si>
    <t>29/04/2531</t>
  </si>
  <si>
    <t>ณัฐภัทร</t>
  </si>
  <si>
    <t>ศรีวิชัย</t>
  </si>
  <si>
    <t>16/01/2538</t>
  </si>
  <si>
    <t>ณัฐวุฒิ</t>
  </si>
  <si>
    <t>ศรีศรกำพล</t>
  </si>
  <si>
    <t>กลุ่มงานศัลยกรรม</t>
  </si>
  <si>
    <t>จงกิจสมบูรณ์</t>
  </si>
  <si>
    <t>กุมารเวชกรรม</t>
  </si>
  <si>
    <t>กลุ่มงานกุมารเวชกรรม</t>
  </si>
  <si>
    <t>ชิตวัน</t>
  </si>
  <si>
    <t>ฝั้นชมภู</t>
  </si>
  <si>
    <t>ศัลยกรรม</t>
  </si>
  <si>
    <t>มะโต</t>
  </si>
  <si>
    <t>พชร</t>
  </si>
  <si>
    <t>ลี้รัตนาวลี</t>
  </si>
  <si>
    <t>ภูรงค์</t>
  </si>
  <si>
    <t>เลาหวิรภาพ</t>
  </si>
  <si>
    <t>27/03/2537</t>
  </si>
  <si>
    <t>มนูญ</t>
  </si>
  <si>
    <t>ฟองนวล</t>
  </si>
  <si>
    <t>สุธี</t>
  </si>
  <si>
    <t>เนติธนากูล</t>
  </si>
  <si>
    <t>21/09/2528</t>
  </si>
  <si>
    <t>ปวริศพงศ์</t>
  </si>
  <si>
    <t>เสาร์สาร</t>
  </si>
  <si>
    <t>กลุ่มงานศัลยกรรมออร์โธปิดิกส์</t>
  </si>
  <si>
    <t>ออร์โธร์</t>
  </si>
  <si>
    <t>เรืองทอง</t>
  </si>
  <si>
    <t>ปิยะ</t>
  </si>
  <si>
    <t>โตสุโขวงศ์</t>
  </si>
  <si>
    <t>27/10/2522</t>
  </si>
  <si>
    <t>วรวิทย์</t>
  </si>
  <si>
    <t>ศรีธาราธิคุณ</t>
  </si>
  <si>
    <t>17/11/2530</t>
  </si>
  <si>
    <t>สุขพงศ์</t>
  </si>
  <si>
    <t>ว่องชาญอุดม</t>
  </si>
  <si>
    <t>ภูริวรรษ</t>
  </si>
  <si>
    <t>ธารนพ</t>
  </si>
  <si>
    <t>กมลวรรณ</t>
  </si>
  <si>
    <t>เจริญพันธ์</t>
  </si>
  <si>
    <t>19/03/2533</t>
  </si>
  <si>
    <t>นุชนาถ</t>
  </si>
  <si>
    <t>พบประเสริฐ</t>
  </si>
  <si>
    <t>เชี่ยวชาญ</t>
  </si>
  <si>
    <t>29/10/2516</t>
  </si>
  <si>
    <t>รติมา</t>
  </si>
  <si>
    <t>พันธ์ไชยศรี</t>
  </si>
  <si>
    <t>18/03/2535</t>
  </si>
  <si>
    <t>สุรศักดิ์</t>
  </si>
  <si>
    <t>เหล่าพาณิชย์กุล</t>
  </si>
  <si>
    <t>17/08/2515</t>
  </si>
  <si>
    <t>ปวรา</t>
  </si>
  <si>
    <t>วินัยโกศล</t>
  </si>
  <si>
    <t>กลุ่มงานจักษุวิทยา</t>
  </si>
  <si>
    <t>07</t>
  </si>
  <si>
    <t>16/06/2535</t>
  </si>
  <si>
    <t>มนรดา</t>
  </si>
  <si>
    <t>อมรทิพย์สกุล</t>
  </si>
  <si>
    <t>วรางคณา</t>
  </si>
  <si>
    <t>วิชชจุฑากุล</t>
  </si>
  <si>
    <t>30/09/2529</t>
  </si>
  <si>
    <t>กฤติกา</t>
  </si>
  <si>
    <t>หวงสุวรรณากร</t>
  </si>
  <si>
    <t>กลุ่มงานโสต ศอ นาสิก</t>
  </si>
  <si>
    <t>08</t>
  </si>
  <si>
    <t>ณัฐกฤตา</t>
  </si>
  <si>
    <t>ภาวนะกีรติ</t>
  </si>
  <si>
    <t>ศศิพิมพ์</t>
  </si>
  <si>
    <t>ชัยสวัสดิ์</t>
  </si>
  <si>
    <t>30/12/2537</t>
  </si>
  <si>
    <t>ยุทธศาสตร์</t>
  </si>
  <si>
    <t>จันทร์ทิพย์</t>
  </si>
  <si>
    <t>ด้านเวชกรรมป้องกัน</t>
  </si>
  <si>
    <t>รองแพทย์</t>
  </si>
  <si>
    <t>รองผู้อำนวยการโรงพยาบาลสันทราย ด้านการแพทย์</t>
  </si>
  <si>
    <t>23/11/2517</t>
  </si>
  <si>
    <t>ศุภวิชญ์</t>
  </si>
  <si>
    <t>วงษ์สุชัย</t>
  </si>
  <si>
    <t>19/11/2541</t>
  </si>
  <si>
    <t>อมรรัตน์</t>
  </si>
  <si>
    <t>คำสร้อย</t>
  </si>
  <si>
    <t>16/04/2533</t>
  </si>
  <si>
    <t>กมลชนก</t>
  </si>
  <si>
    <t>เชาว์ธุลี</t>
  </si>
  <si>
    <t>16/06/2540</t>
  </si>
  <si>
    <t>ชนกพร</t>
  </si>
  <si>
    <t>บัวชุม</t>
  </si>
  <si>
    <t>ภารกิจด้านปริการปฐมภูมิ</t>
  </si>
  <si>
    <t>รองภารกิจด้านบริการปฐมภูมิ/หัวหน้ากลุ่มงานเวชกรรมสังคม</t>
  </si>
  <si>
    <t>24/05/2536</t>
  </si>
  <si>
    <t>ณัฎฐณิชา</t>
  </si>
  <si>
    <t>นพรัตน์</t>
  </si>
  <si>
    <t>ปกป้อง</t>
  </si>
  <si>
    <t>เชื้อสุวรรณ</t>
  </si>
  <si>
    <t>ผู้ป่วยนอก</t>
  </si>
  <si>
    <t>ปาลิตา</t>
  </si>
  <si>
    <t>ค้าเจริญ</t>
  </si>
  <si>
    <t>เวชศาสตร์ครอบครัว</t>
  </si>
  <si>
    <t>25/03/2540</t>
  </si>
  <si>
    <t>พณัฐ</t>
  </si>
  <si>
    <t>เพชรรัตน์</t>
  </si>
  <si>
    <t>วงค์วิไล</t>
  </si>
  <si>
    <t>รอยพิมพ์</t>
  </si>
  <si>
    <t>เลิศวิริยานันท์</t>
  </si>
  <si>
    <t>วศินี</t>
  </si>
  <si>
    <t>ศรีอินทร์</t>
  </si>
  <si>
    <t>กลุ่มงานการแพทย์</t>
  </si>
  <si>
    <t>รพ.เชียงดาว</t>
  </si>
  <si>
    <t>21/04/2541</t>
  </si>
  <si>
    <t>สุรัตน์</t>
  </si>
  <si>
    <t>ปทุมบาล</t>
  </si>
  <si>
    <t>15/11/2517</t>
  </si>
  <si>
    <t>งามพิศ</t>
  </si>
  <si>
    <t>รองภารกิจด้านพัฒนาระบบบริการและสนับสนุนบริการสุขภาพ</t>
  </si>
  <si>
    <t>รอง ดิจิทัล</t>
  </si>
  <si>
    <t xml:space="preserve">รองภารกิจสุขภาพดิจิทัล </t>
  </si>
  <si>
    <t>21/03/2518</t>
  </si>
  <si>
    <t>0104713</t>
  </si>
  <si>
    <t>นิติกร</t>
  </si>
  <si>
    <t>งานบริหารทั่วไป</t>
  </si>
  <si>
    <t>กฎหมาย</t>
  </si>
  <si>
    <t>ณัฐธิชา</t>
  </si>
  <si>
    <t>เสนคำสอน</t>
  </si>
  <si>
    <t>ผู้ช่วยเจ้าหน้าที่อนามัย</t>
  </si>
  <si>
    <t>สท.ส20301</t>
  </si>
  <si>
    <t>19/04/2547</t>
  </si>
  <si>
    <t xml:space="preserve">พิชชา </t>
  </si>
  <si>
    <t>โสภณดารา</t>
  </si>
  <si>
    <t>0110006</t>
  </si>
  <si>
    <t>15/08/2545</t>
  </si>
  <si>
    <t xml:space="preserve">กมลวรรณ </t>
  </si>
  <si>
    <t>สิงห์ปา</t>
  </si>
  <si>
    <t>ผู้ช่วยทันตแพทย์</t>
  </si>
  <si>
    <t>0109930</t>
  </si>
  <si>
    <t>21/12/2547</t>
  </si>
  <si>
    <t>สมบัติ</t>
  </si>
  <si>
    <t>0109931</t>
  </si>
  <si>
    <t>26/03/2540</t>
  </si>
  <si>
    <t>ทีปกร</t>
  </si>
  <si>
    <t>เปียงใจ</t>
  </si>
  <si>
    <t>0109932</t>
  </si>
  <si>
    <t>ศิริรัตน์</t>
  </si>
  <si>
    <t>ไคร้คำ</t>
  </si>
  <si>
    <t>13/08/2525</t>
  </si>
  <si>
    <t>ภานุมาศ</t>
  </si>
  <si>
    <t>สิทธิ</t>
  </si>
  <si>
    <t>ภิรมย์ทอง</t>
  </si>
  <si>
    <t>อุดร</t>
  </si>
  <si>
    <t>31/07/2533</t>
  </si>
  <si>
    <t>กฤติยา</t>
  </si>
  <si>
    <t>กรีนแบ๊งค์</t>
  </si>
  <si>
    <t>ผู้ช่วยนักกายภาพบำบัด</t>
  </si>
  <si>
    <t>สท.ส41701</t>
  </si>
  <si>
    <t>19/05/2542</t>
  </si>
  <si>
    <t>สิริกัญญา</t>
  </si>
  <si>
    <t>21/09/2534</t>
  </si>
  <si>
    <t>จิรภา</t>
  </si>
  <si>
    <t>คำตุ่น</t>
  </si>
  <si>
    <t>ศุภกิจ</t>
  </si>
  <si>
    <t>เฟื่องฟูธนกิจ</t>
  </si>
  <si>
    <t>ผู้ช่วยพยาบาล</t>
  </si>
  <si>
    <t>OPDไต</t>
  </si>
  <si>
    <t>CAPD</t>
  </si>
  <si>
    <t>กลุ่มงานการพยาบาลผู้ป่วยศัลยกรรม</t>
  </si>
  <si>
    <t>14/12/2533</t>
  </si>
  <si>
    <t>ไพลิน</t>
  </si>
  <si>
    <t>โพธิ</t>
  </si>
  <si>
    <t>ศัลยกรรมชาย</t>
  </si>
  <si>
    <t>F1</t>
  </si>
  <si>
    <t>26/03/2537</t>
  </si>
  <si>
    <t>สิริยากร</t>
  </si>
  <si>
    <t>วังมูล</t>
  </si>
  <si>
    <t>ศัลยกรรม-ออร์โธหญิง</t>
  </si>
  <si>
    <t>F2</t>
  </si>
  <si>
    <t>กลุ่มงานการพยาบาลผู้ป่วยออร์โธปิดิกส์</t>
  </si>
  <si>
    <t>กรีธากร</t>
  </si>
  <si>
    <t>แข็งแรง</t>
  </si>
  <si>
    <t>หอผู้ป่วยอายุรกรรมชาย</t>
  </si>
  <si>
    <t>MB2</t>
  </si>
  <si>
    <t>กลุ่มงานการพยาบาลผู้ป่วยอายุรกรรม</t>
  </si>
  <si>
    <t>ยุพิน</t>
  </si>
  <si>
    <t>ฤดีเหมันต์</t>
  </si>
  <si>
    <t>หอผู้ป่วยพิเศษ MB6</t>
  </si>
  <si>
    <t>MB6</t>
  </si>
  <si>
    <t>กลุ่มงานการพยาบาลผู้ป่วยกุมารเวชกรรม</t>
  </si>
  <si>
    <t>ภักดิ์กมล</t>
  </si>
  <si>
    <t>สีตาวัน</t>
  </si>
  <si>
    <t>หอผู้ป่วยพิเศษ MB7</t>
  </si>
  <si>
    <t>MB7</t>
  </si>
  <si>
    <t>ธินิชา</t>
  </si>
  <si>
    <t>บุญเจ็น</t>
  </si>
  <si>
    <t>OPD</t>
  </si>
  <si>
    <t>กลุ่มงานการพยาบาลผู้ป่วยนอก</t>
  </si>
  <si>
    <t>26/06/2532</t>
  </si>
  <si>
    <t>วัชรี</t>
  </si>
  <si>
    <t>คำคง</t>
  </si>
  <si>
    <t>22/05/2531</t>
  </si>
  <si>
    <t>พิมพาภรณ์</t>
  </si>
  <si>
    <t>จันทร์เย็น</t>
  </si>
  <si>
    <t>ส่องกล้อง</t>
  </si>
  <si>
    <t>Scope</t>
  </si>
  <si>
    <t>30/04/2540</t>
  </si>
  <si>
    <t>สถิตย์</t>
  </si>
  <si>
    <t>ขันแก้ว</t>
  </si>
  <si>
    <t>28/11/2529</t>
  </si>
  <si>
    <t>กลุ่มงานการพยาบาลผู้ป่วยอายุกรรม</t>
  </si>
  <si>
    <t>18/12/2533</t>
  </si>
  <si>
    <t>เพียรพิศ</t>
  </si>
  <si>
    <t>0109117</t>
  </si>
  <si>
    <t>หอผู้ป่วย อายุรกรรมหญิง</t>
  </si>
  <si>
    <t>MB5</t>
  </si>
  <si>
    <t>31/08/2544</t>
  </si>
  <si>
    <t>กชกร</t>
  </si>
  <si>
    <t>ขุนนา</t>
  </si>
  <si>
    <t>0109112</t>
  </si>
  <si>
    <t>จินตหรา</t>
  </si>
  <si>
    <t>คำมีเด</t>
  </si>
  <si>
    <t>0109120</t>
  </si>
  <si>
    <t>27/07/2537</t>
  </si>
  <si>
    <t>ฉันทนา</t>
  </si>
  <si>
    <t>จันทพร</t>
  </si>
  <si>
    <t>0109088</t>
  </si>
  <si>
    <t>หลังคลอด</t>
  </si>
  <si>
    <t>PP</t>
  </si>
  <si>
    <t>กลุ่มงานการพยาบาลผู้ป่วยสูติ-นรีเวช</t>
  </si>
  <si>
    <t>กลุ่มงานการพยาบาลผู้ป่วยสูติ - นรีเวช</t>
  </si>
  <si>
    <t>อำภา</t>
  </si>
  <si>
    <t>จันทรชูวิจิตร</t>
  </si>
  <si>
    <t>0109105</t>
  </si>
  <si>
    <t>21/09/2533</t>
  </si>
  <si>
    <t>ปภาดา</t>
  </si>
  <si>
    <t>จิตรบรรจง</t>
  </si>
  <si>
    <t>0109082</t>
  </si>
  <si>
    <t>หอผู้ป่วยพิเศษ F6</t>
  </si>
  <si>
    <t>F6</t>
  </si>
  <si>
    <t>นราวิชญ์</t>
  </si>
  <si>
    <t>จุติไพรร่มใจจริง</t>
  </si>
  <si>
    <t>0109079</t>
  </si>
  <si>
    <t>19/02/2545</t>
  </si>
  <si>
    <t>กรรณิการ์</t>
  </si>
  <si>
    <t>ชัยเลิศ</t>
  </si>
  <si>
    <t>0109093</t>
  </si>
  <si>
    <t>หอผู้ป่วยIMC (ประคับคอง)</t>
  </si>
  <si>
    <t>MB4</t>
  </si>
  <si>
    <t>กลุ่มงานการพยาบาลผู้ป่วยโสต ศอ นาสิก จักษุ</t>
  </si>
  <si>
    <t>18/12/2543</t>
  </si>
  <si>
    <t>ปทิชชา</t>
  </si>
  <si>
    <t>ดวงดีวงศ์</t>
  </si>
  <si>
    <t>0109081</t>
  </si>
  <si>
    <t>หอผู้ป่วยพิเศษ F7</t>
  </si>
  <si>
    <t>F7</t>
  </si>
  <si>
    <t>19/02/2542</t>
  </si>
  <si>
    <t>ฐิติพร</t>
  </si>
  <si>
    <t>ถิตย์ประเสริฐ</t>
  </si>
  <si>
    <t>0109107</t>
  </si>
  <si>
    <t>26/12/2531</t>
  </si>
  <si>
    <t>ดวงพร</t>
  </si>
  <si>
    <t>ปันยวง</t>
  </si>
  <si>
    <t>0109089</t>
  </si>
  <si>
    <t>ฐิติมา</t>
  </si>
  <si>
    <t>ปิยชาติศรกุล</t>
  </si>
  <si>
    <t>0109080</t>
  </si>
  <si>
    <t>หอผู้ป่วนหนักทารกแรกเกิด</t>
  </si>
  <si>
    <t>NICU</t>
  </si>
  <si>
    <t>กลุ่มงานการพยาบาลผู้ป่วยหนัก</t>
  </si>
  <si>
    <t>17/10/2536</t>
  </si>
  <si>
    <t>เบญจมาศ</t>
  </si>
  <si>
    <t>ผลจำเริญ</t>
  </si>
  <si>
    <t>0109103</t>
  </si>
  <si>
    <t>พงษ์สอาด</t>
  </si>
  <si>
    <t>0109113</t>
  </si>
  <si>
    <t>31/05/2531</t>
  </si>
  <si>
    <t>ขจีรัตน์</t>
  </si>
  <si>
    <t>ยิ่งยอด</t>
  </si>
  <si>
    <t>0109119</t>
  </si>
  <si>
    <t>อรวรรณ</t>
  </si>
  <si>
    <t>วงค์อุษาเสถียร</t>
  </si>
  <si>
    <t>0109078</t>
  </si>
  <si>
    <t>26/09/2543</t>
  </si>
  <si>
    <t>วงสา</t>
  </si>
  <si>
    <t>0109102</t>
  </si>
  <si>
    <t>อัจฉรา</t>
  </si>
  <si>
    <t>วรรณไสย</t>
  </si>
  <si>
    <t>0109104</t>
  </si>
  <si>
    <t>จริยาภรณ์</t>
  </si>
  <si>
    <t>วินันท์</t>
  </si>
  <si>
    <t>0109091</t>
  </si>
  <si>
    <t>สาวิตรี</t>
  </si>
  <si>
    <t>สารบูรณ์</t>
  </si>
  <si>
    <t>0109092</t>
  </si>
  <si>
    <t>ธมล</t>
  </si>
  <si>
    <t>แสนเมือง</t>
  </si>
  <si>
    <t>0109077</t>
  </si>
  <si>
    <t>27/05/2534</t>
  </si>
  <si>
    <t>ปนัดดา</t>
  </si>
  <si>
    <t>อินนา</t>
  </si>
  <si>
    <t>0109118</t>
  </si>
  <si>
    <t>29/05/2544</t>
  </si>
  <si>
    <t>0109096</t>
  </si>
  <si>
    <t>0109106</t>
  </si>
  <si>
    <t>0109116</t>
  </si>
  <si>
    <t>กมลลักษณ์</t>
  </si>
  <si>
    <t>ใจเย็น</t>
  </si>
  <si>
    <t>สท.ผ51501</t>
  </si>
  <si>
    <t>18/11/2543</t>
  </si>
  <si>
    <t>ชญาณี</t>
  </si>
  <si>
    <t>ริวไสยโดยคีรี</t>
  </si>
  <si>
    <t>สท.ผ50301</t>
  </si>
  <si>
    <t>เด่นนิมิตร</t>
  </si>
  <si>
    <t>สท.ผ50202</t>
  </si>
  <si>
    <t>17/06/2544</t>
  </si>
  <si>
    <t>ธัญมล</t>
  </si>
  <si>
    <t>ราวคำ</t>
  </si>
  <si>
    <t>สท.ผ50701</t>
  </si>
  <si>
    <t>นาธิชา</t>
  </si>
  <si>
    <t>ฉายาสิงขร</t>
  </si>
  <si>
    <t>สท.ผ50901</t>
  </si>
  <si>
    <t>16/02/2544</t>
  </si>
  <si>
    <t>พิมพ์ชนก</t>
  </si>
  <si>
    <t>แซ่ลี</t>
  </si>
  <si>
    <t>สท.ผ50801</t>
  </si>
  <si>
    <t>ศัลยกรรมชาย-ออร์โธ ชาย</t>
  </si>
  <si>
    <t>22/06/2549</t>
  </si>
  <si>
    <t>พิมาลา</t>
  </si>
  <si>
    <t>เมืองกิจเสมอ</t>
  </si>
  <si>
    <t>สท.ผ50702</t>
  </si>
  <si>
    <t>มลฤดี</t>
  </si>
  <si>
    <t>สิริเผ่าพันธ์</t>
  </si>
  <si>
    <t>สท.ผ51502</t>
  </si>
  <si>
    <t>21/04/2547</t>
  </si>
  <si>
    <t>มะลิวัลย์</t>
  </si>
  <si>
    <t>ครองคีรีสิน</t>
  </si>
  <si>
    <t>สท.ผ50201</t>
  </si>
  <si>
    <t xml:space="preserve">รลิตา </t>
  </si>
  <si>
    <t>ชื่นหัตไทย</t>
  </si>
  <si>
    <t>ผู้ช่วยแพทย์แผนไทย</t>
  </si>
  <si>
    <t>สท.ส20201</t>
  </si>
  <si>
    <t>แพทย์แผนไทยและการแพทย์ทางเลือก</t>
  </si>
  <si>
    <t>15/05/2540</t>
  </si>
  <si>
    <t>วรรณกานต์</t>
  </si>
  <si>
    <t>พนักงานการแพทย์และรังสีเทคนิค</t>
  </si>
  <si>
    <t>สุมิ</t>
  </si>
  <si>
    <t>ครองนาคา</t>
  </si>
  <si>
    <t>0109945</t>
  </si>
  <si>
    <t>คำเกิด</t>
  </si>
  <si>
    <t>0109946</t>
  </si>
  <si>
    <t>27/02/2535</t>
  </si>
  <si>
    <t>นนตระการณ์</t>
  </si>
  <si>
    <t>ทิวงษา</t>
  </si>
  <si>
    <t>0109944</t>
  </si>
  <si>
    <t>26/08/2543</t>
  </si>
  <si>
    <t>เกียรติภูมิ</t>
  </si>
  <si>
    <t>อุปนันท์</t>
  </si>
  <si>
    <t>0109943</t>
  </si>
  <si>
    <t>16/07/2539</t>
  </si>
  <si>
    <t>กฤติณัฐ</t>
  </si>
  <si>
    <t>สมบัติใหม่</t>
  </si>
  <si>
    <t>สท.ส41502</t>
  </si>
  <si>
    <t>26/05/2543</t>
  </si>
  <si>
    <t>จิรภิญญา</t>
  </si>
  <si>
    <t>บุญชัยกมลอากร</t>
  </si>
  <si>
    <t>สท.ส41503</t>
  </si>
  <si>
    <t>สท.ส41501</t>
  </si>
  <si>
    <t>16/03/2539</t>
  </si>
  <si>
    <t>สมบูรณ์</t>
  </si>
  <si>
    <t>จอมแสง</t>
  </si>
  <si>
    <t>พนักงานเกษตรพื้นฐาน</t>
  </si>
  <si>
    <t>อุเบกข์</t>
  </si>
  <si>
    <t>ประพฤติ</t>
  </si>
  <si>
    <t>25/12/2521</t>
  </si>
  <si>
    <t>กิตติพงศ์</t>
  </si>
  <si>
    <t>เขื่อนแก้ว</t>
  </si>
  <si>
    <t>พนักงานขับรถยนต์</t>
  </si>
  <si>
    <t>งานยานพาหนะ</t>
  </si>
  <si>
    <t>มอญแสง</t>
  </si>
  <si>
    <t>19/11/2514</t>
  </si>
  <si>
    <t>กานต์นิธิ</t>
  </si>
  <si>
    <t>ทองอร</t>
  </si>
  <si>
    <t>เก้า</t>
  </si>
  <si>
    <t>พิจิตร</t>
  </si>
  <si>
    <t>30/01/2534</t>
  </si>
  <si>
    <t>ภาณุพงศ์</t>
  </si>
  <si>
    <t>กางสำโรง</t>
  </si>
  <si>
    <t>คำปินคำ</t>
  </si>
  <si>
    <t>คมสันต์</t>
  </si>
  <si>
    <t>กองวิ</t>
  </si>
  <si>
    <t>30/09/2530</t>
  </si>
  <si>
    <t>ภาคไธสงค์</t>
  </si>
  <si>
    <t>สท.ส10105</t>
  </si>
  <si>
    <t>เฉลิมชนม์</t>
  </si>
  <si>
    <t>นันติแก้ว</t>
  </si>
  <si>
    <t>สท.ส10103</t>
  </si>
  <si>
    <t>สท.ส10104</t>
  </si>
  <si>
    <t>ชัยศร</t>
  </si>
  <si>
    <t>สท.ส10106</t>
  </si>
  <si>
    <t>17/03/2540</t>
  </si>
  <si>
    <t>กาญจนา</t>
  </si>
  <si>
    <t>รัตนัง</t>
  </si>
  <si>
    <t>พนักงานจุลทัศนกร</t>
  </si>
  <si>
    <t>พรพิมล</t>
  </si>
  <si>
    <t>แซ่ลิ้ม</t>
  </si>
  <si>
    <t>20/09/2516</t>
  </si>
  <si>
    <t xml:space="preserve">แววดาว  </t>
  </si>
  <si>
    <t>เสนางาม</t>
  </si>
  <si>
    <t>พนักงานช่วยการพยาบาล</t>
  </si>
  <si>
    <t>สุดาธิภร</t>
  </si>
  <si>
    <t>เครือคำ</t>
  </si>
  <si>
    <t>0109933</t>
  </si>
  <si>
    <t>ปัณณิกา</t>
  </si>
  <si>
    <t>สมฤทธิ์</t>
  </si>
  <si>
    <t>สท.ส41402</t>
  </si>
  <si>
    <t>30/05/2538</t>
  </si>
  <si>
    <t>รำเพย</t>
  </si>
  <si>
    <t>เคลือดคลาย</t>
  </si>
  <si>
    <t>สท.ส41401</t>
  </si>
  <si>
    <t>29/08/2544</t>
  </si>
  <si>
    <t>สท.ส41403</t>
  </si>
  <si>
    <t>อุบลวรรณ</t>
  </si>
  <si>
    <t>สายเขื่อนสี</t>
  </si>
  <si>
    <t>พนักงานช่วยเหลือคนไข้</t>
  </si>
  <si>
    <t>กลุ่มงานการพยาบาลผู้คลอด</t>
  </si>
  <si>
    <t>พิมพ์วดี</t>
  </si>
  <si>
    <t>นานาวรรณคาร</t>
  </si>
  <si>
    <t>กุมาร</t>
  </si>
  <si>
    <t>15/09/2543</t>
  </si>
  <si>
    <t>สุเรศน์</t>
  </si>
  <si>
    <t>ก๋องคำ</t>
  </si>
  <si>
    <t>งานเลขา</t>
  </si>
  <si>
    <t>มะเสละ</t>
  </si>
  <si>
    <t>จะแล</t>
  </si>
  <si>
    <t>งานส่งเสริมสุขภาพและฟื้นฟู</t>
  </si>
  <si>
    <t>งานส่งเสริมสุขภาพและพื้นฟู</t>
  </si>
  <si>
    <t>03 (04)</t>
  </si>
  <si>
    <t>ปัทมา</t>
  </si>
  <si>
    <t>ปู่จันทร์</t>
  </si>
  <si>
    <t>28/02/2537</t>
  </si>
  <si>
    <t>พัชราภรณ์</t>
  </si>
  <si>
    <t>ดวงรัตน์</t>
  </si>
  <si>
    <t>ประชาสัมพันธ์</t>
  </si>
  <si>
    <t>16/02/2521</t>
  </si>
  <si>
    <t>วาสนา</t>
  </si>
  <si>
    <t>บงกชผ่องอำไพ</t>
  </si>
  <si>
    <t>แคทรียา</t>
  </si>
  <si>
    <t>เลาแก้ว</t>
  </si>
  <si>
    <t>18/03/2531</t>
  </si>
  <si>
    <t>จุฬาลักษณ์</t>
  </si>
  <si>
    <t>26/09/2526</t>
  </si>
  <si>
    <t>เชาวรา</t>
  </si>
  <si>
    <t>แสงคำ</t>
  </si>
  <si>
    <t>ฐิติชญา</t>
  </si>
  <si>
    <t>เวนวน</t>
  </si>
  <si>
    <t>13/04/2543</t>
  </si>
  <si>
    <t>แสงหล้า</t>
  </si>
  <si>
    <t>อรุณรัตน์</t>
  </si>
  <si>
    <t>อมรอรุณโรจน์</t>
  </si>
  <si>
    <t>25/07/2542</t>
  </si>
  <si>
    <t>กัญญาวีร์</t>
  </si>
  <si>
    <t>ตาปู</t>
  </si>
  <si>
    <t>ผู้ป่วยหนัก</t>
  </si>
  <si>
    <t>ICU</t>
  </si>
  <si>
    <t>14/09/2541</t>
  </si>
  <si>
    <t>ประพัฒน์</t>
  </si>
  <si>
    <t>จันตาคำ</t>
  </si>
  <si>
    <t>21/06/2537</t>
  </si>
  <si>
    <t>วีรยุทธ</t>
  </si>
  <si>
    <t>แซ่เท้า</t>
  </si>
  <si>
    <t>15/07/2539</t>
  </si>
  <si>
    <t>ศุจิพัฒน์</t>
  </si>
  <si>
    <t>18/01/2531</t>
  </si>
  <si>
    <t>พัชรพร</t>
  </si>
  <si>
    <t>บัวกอง</t>
  </si>
  <si>
    <t>กัลย์สุดา</t>
  </si>
  <si>
    <t>ภูผาอารักษ์</t>
  </si>
  <si>
    <t>19/07/2529</t>
  </si>
  <si>
    <t>สุทธิณี</t>
  </si>
  <si>
    <t>ระวรรณา</t>
  </si>
  <si>
    <t>พรทิวา</t>
  </si>
  <si>
    <t>ปัญจันทร์</t>
  </si>
  <si>
    <t>ห้องคลอด</t>
  </si>
  <si>
    <t>LR</t>
  </si>
  <si>
    <t>มยุรา</t>
  </si>
  <si>
    <t>ยงวีรบุรุษ</t>
  </si>
  <si>
    <t>31/01/2537</t>
  </si>
  <si>
    <t>จันทรา</t>
  </si>
  <si>
    <t>สุขวสันต์สร้าง</t>
  </si>
  <si>
    <t>เดโชชัย</t>
  </si>
  <si>
    <t>หม่อซอ</t>
  </si>
  <si>
    <t>ห้องผ่าตัด</t>
  </si>
  <si>
    <t>OR</t>
  </si>
  <si>
    <t>กลุ่มงานการพยาบาลผู้ป่วยห้องผ่าตัด</t>
  </si>
  <si>
    <t>สุชาติ</t>
  </si>
  <si>
    <t>เรือนแก้ว</t>
  </si>
  <si>
    <t>21/07/2510</t>
  </si>
  <si>
    <t>อุไรวรรณ</t>
  </si>
  <si>
    <t>วัฒนวงศ์</t>
  </si>
  <si>
    <t>พจมาน</t>
  </si>
  <si>
    <t>เก่งผสานคุณ</t>
  </si>
  <si>
    <t>ฤทัยรัตน์</t>
  </si>
  <si>
    <t>ปวนปัน</t>
  </si>
  <si>
    <t>ไชยเครื่อง</t>
  </si>
  <si>
    <t>นลิน</t>
  </si>
  <si>
    <t>แซ่ย่าง</t>
  </si>
  <si>
    <t>วรายุทธ</t>
  </si>
  <si>
    <t>ยอดดี</t>
  </si>
  <si>
    <t>กนกฑวัส</t>
  </si>
  <si>
    <t>กรมแขวง</t>
  </si>
  <si>
    <t>0109978</t>
  </si>
  <si>
    <t>25/12/2540</t>
  </si>
  <si>
    <t>สุพรรณษา</t>
  </si>
  <si>
    <t>ก่ำผัน</t>
  </si>
  <si>
    <t>0109988</t>
  </si>
  <si>
    <t>กิจการถาวร</t>
  </si>
  <si>
    <t>0109984</t>
  </si>
  <si>
    <t>อรพรรณ</t>
  </si>
  <si>
    <t>ขนายทองวสุ</t>
  </si>
  <si>
    <t>0109969</t>
  </si>
  <si>
    <t>ณัฐธิดา</t>
  </si>
  <si>
    <t>คลังความดี</t>
  </si>
  <si>
    <t>0109973</t>
  </si>
  <si>
    <t>26/01/2546</t>
  </si>
  <si>
    <t>วิทวัส</t>
  </si>
  <si>
    <t>คะเน</t>
  </si>
  <si>
    <t>0109951</t>
  </si>
  <si>
    <t>25/09/2547</t>
  </si>
  <si>
    <t>ณภาพร</t>
  </si>
  <si>
    <t>คำปัญญา</t>
  </si>
  <si>
    <t>0109985</t>
  </si>
  <si>
    <t>22/07/2544</t>
  </si>
  <si>
    <t>ฉัตรพร</t>
  </si>
  <si>
    <t>คำใสสุวรรณ</t>
  </si>
  <si>
    <t>0109971</t>
  </si>
  <si>
    <t>16/01/2549</t>
  </si>
  <si>
    <t>เค้าสงค์</t>
  </si>
  <si>
    <t>0109970</t>
  </si>
  <si>
    <t>ธัญชนก</t>
  </si>
  <si>
    <t>งอกชัยภูมิ</t>
  </si>
  <si>
    <t>0109974</t>
  </si>
  <si>
    <t>25/06/2544</t>
  </si>
  <si>
    <t>ชุติมา</t>
  </si>
  <si>
    <t>จันทร์ฟอง</t>
  </si>
  <si>
    <t>0109977</t>
  </si>
  <si>
    <t>อรพินทร์</t>
  </si>
  <si>
    <t>0109983</t>
  </si>
  <si>
    <t>ภัทธิรา</t>
  </si>
  <si>
    <t>ชลธารชนิตกุล</t>
  </si>
  <si>
    <t>0109963</t>
  </si>
  <si>
    <t>28/07/2549</t>
  </si>
  <si>
    <t>ทิวาพร</t>
  </si>
  <si>
    <t>ชาดาศักดิ์สมบัติ</t>
  </si>
  <si>
    <t>0109982</t>
  </si>
  <si>
    <t>15/10/2532</t>
  </si>
  <si>
    <t>ช่านุ</t>
  </si>
  <si>
    <t>0109980</t>
  </si>
  <si>
    <t>วีรดา</t>
  </si>
  <si>
    <t>เชาว์ปัญญา</t>
  </si>
  <si>
    <t>0109991</t>
  </si>
  <si>
    <t>22/07/2547</t>
  </si>
  <si>
    <t>0109959</t>
  </si>
  <si>
    <t>เสาวนีย์</t>
  </si>
  <si>
    <t>แซ่สง</t>
  </si>
  <si>
    <t>0109962</t>
  </si>
  <si>
    <t>13/03/2547</t>
  </si>
  <si>
    <t>พงษ์ศักดิ์</t>
  </si>
  <si>
    <t>ดูเจ๊ะ</t>
  </si>
  <si>
    <t>0109949</t>
  </si>
  <si>
    <t>29/07/2547</t>
  </si>
  <si>
    <t>รักเกียรติ</t>
  </si>
  <si>
    <t>เต่จ๊ะแยง</t>
  </si>
  <si>
    <t>0109950</t>
  </si>
  <si>
    <t>20/05/2539</t>
  </si>
  <si>
    <t>แคทเทอญริญ</t>
  </si>
  <si>
    <t>บ่อแก้วเจริญ</t>
  </si>
  <si>
    <t>0109989</t>
  </si>
  <si>
    <t>ทิฐินันท์</t>
  </si>
  <si>
    <t>บัวใหล</t>
  </si>
  <si>
    <t>0109972</t>
  </si>
  <si>
    <t>บุญทรัพย์</t>
  </si>
  <si>
    <t>0109968</t>
  </si>
  <si>
    <t>16/02/2545</t>
  </si>
  <si>
    <t>ประชุมวิทยา</t>
  </si>
  <si>
    <t>0109958</t>
  </si>
  <si>
    <t>23/05/2547</t>
  </si>
  <si>
    <t>ธรณินทร์</t>
  </si>
  <si>
    <t>ประสาท</t>
  </si>
  <si>
    <t>0109976</t>
  </si>
  <si>
    <t>อรนุช</t>
  </si>
  <si>
    <t>ปู่เลอโม</t>
  </si>
  <si>
    <t>0109981</t>
  </si>
  <si>
    <t>24/05/2546</t>
  </si>
  <si>
    <t>กิตติพงษ์</t>
  </si>
  <si>
    <t>พิพัฒน์โภชา</t>
  </si>
  <si>
    <t>0109955</t>
  </si>
  <si>
    <t>21/02/2545</t>
  </si>
  <si>
    <t>รัชชานนท์</t>
  </si>
  <si>
    <t>ริทู</t>
  </si>
  <si>
    <t>0109948</t>
  </si>
  <si>
    <t>16/07/2544</t>
  </si>
  <si>
    <t>ศศิวิมล</t>
  </si>
  <si>
    <t>เรือนทิ</t>
  </si>
  <si>
    <t>0109987</t>
  </si>
  <si>
    <t>ชนกวนันท์</t>
  </si>
  <si>
    <t>เลิศบุญสันติ</t>
  </si>
  <si>
    <t>0109979</t>
  </si>
  <si>
    <t>21/02/2548</t>
  </si>
  <si>
    <t>รุ่งทิวา</t>
  </si>
  <si>
    <t>ศรีคง</t>
  </si>
  <si>
    <t>0109953</t>
  </si>
  <si>
    <t>21/06/2544</t>
  </si>
  <si>
    <t>พิมผกา</t>
  </si>
  <si>
    <t>สายแผลง</t>
  </si>
  <si>
    <t>0109961</t>
  </si>
  <si>
    <t>พรสวรรค์</t>
  </si>
  <si>
    <t>หน่อแก้ว</t>
  </si>
  <si>
    <t>0109960</t>
  </si>
  <si>
    <t>24/10/2545</t>
  </si>
  <si>
    <t>ธัญรดา</t>
  </si>
  <si>
    <t>0109954</t>
  </si>
  <si>
    <t>ศิริยาภา</t>
  </si>
  <si>
    <t>อัศววรการ</t>
  </si>
  <si>
    <t>0109957</t>
  </si>
  <si>
    <t>ธราเทพ</t>
  </si>
  <si>
    <t>อินวงค์</t>
  </si>
  <si>
    <t>0109990</t>
  </si>
  <si>
    <t>0109952</t>
  </si>
  <si>
    <t>0109956</t>
  </si>
  <si>
    <t>0109986</t>
  </si>
  <si>
    <t>สท.ส50102</t>
  </si>
  <si>
    <t>26/11/2548</t>
  </si>
  <si>
    <t>จันทนา</t>
  </si>
  <si>
    <t>เลิศสกุลทอง</t>
  </si>
  <si>
    <t>สท.ส50801</t>
  </si>
  <si>
    <t>18/05/2549</t>
  </si>
  <si>
    <t>ฉวีวรรณ</t>
  </si>
  <si>
    <t>กิจโชคประเสริฐ</t>
  </si>
  <si>
    <t>สท.ส50202</t>
  </si>
  <si>
    <t>23/10/2548</t>
  </si>
  <si>
    <t>ชนัญชิดา</t>
  </si>
  <si>
    <t>คงคารำไพ</t>
  </si>
  <si>
    <t>สท.ส50201</t>
  </si>
  <si>
    <t>20/03/2548</t>
  </si>
  <si>
    <t>ชัชพิสิฐ</t>
  </si>
  <si>
    <t>วีระพันธ์</t>
  </si>
  <si>
    <t>สท.ส50503</t>
  </si>
  <si>
    <t>20/12/2545</t>
  </si>
  <si>
    <t>ชุติกานต์</t>
  </si>
  <si>
    <t>ศิริชัยนันท์</t>
  </si>
  <si>
    <t>สท.ส50402</t>
  </si>
  <si>
    <t>ณัฐปภัสร</t>
  </si>
  <si>
    <t>กรณ์ศักดิ์โภคิน</t>
  </si>
  <si>
    <t>สท.ส50403</t>
  </si>
  <si>
    <t>ณุตตรา</t>
  </si>
  <si>
    <t>ลาดเด่นพนา</t>
  </si>
  <si>
    <t>สท.ส50603</t>
  </si>
  <si>
    <t>Anas</t>
  </si>
  <si>
    <t>กลุ่มงานการพยาบาลวิสัญญี</t>
  </si>
  <si>
    <t>21/05/2549</t>
  </si>
  <si>
    <t>ทักษ์ดนัย</t>
  </si>
  <si>
    <t>พัดเล็ก</t>
  </si>
  <si>
    <t>สท.ส50501</t>
  </si>
  <si>
    <t>ธนากร</t>
  </si>
  <si>
    <t>ดาซอ</t>
  </si>
  <si>
    <t>สท.ส50301</t>
  </si>
  <si>
    <t>ธนานพ</t>
  </si>
  <si>
    <t>ศิรีจันทร์</t>
  </si>
  <si>
    <t>สท.ส50303</t>
  </si>
  <si>
    <t>ไม่มีคนครอง (เพิ่มจาก กกบ)</t>
  </si>
  <si>
    <t>ปวริศา</t>
  </si>
  <si>
    <t>เจริญสุข</t>
  </si>
  <si>
    <t>สท.ส50205</t>
  </si>
  <si>
    <t>14/08/2545</t>
  </si>
  <si>
    <t>พิรัลญดา</t>
  </si>
  <si>
    <t>ปรียาภัสร์สกุล</t>
  </si>
  <si>
    <t>สท.ส50302</t>
  </si>
  <si>
    <t>24/11/2534</t>
  </si>
  <si>
    <t>พุทธิดา</t>
  </si>
  <si>
    <t>ค้ำจุนธารา</t>
  </si>
  <si>
    <t>สท.ส51102</t>
  </si>
  <si>
    <t>สท.ส50701</t>
  </si>
  <si>
    <t>ภรัณยู</t>
  </si>
  <si>
    <t>พุทธรักสกุล</t>
  </si>
  <si>
    <t>สท.ส50204</t>
  </si>
  <si>
    <t>ภัควลัญชญ์</t>
  </si>
  <si>
    <t>ปัญญาพิมพ์</t>
  </si>
  <si>
    <t>สท.ส20601</t>
  </si>
  <si>
    <t>กลุ่มงานการพยาบาลชุมชน</t>
  </si>
  <si>
    <t>งานการพยาบาลที่บ้านและชุมชน</t>
  </si>
  <si>
    <t>03(04)</t>
  </si>
  <si>
    <t>25/04/2539</t>
  </si>
  <si>
    <t>ยงยุทธ</t>
  </si>
  <si>
    <t>บรรพตเกศคีรี</t>
  </si>
  <si>
    <t>สท.ส50504</t>
  </si>
  <si>
    <t>วรวิช</t>
  </si>
  <si>
    <t>แซ่เจ๊า</t>
  </si>
  <si>
    <t>สท.ส50502</t>
  </si>
  <si>
    <t>26/02/2548</t>
  </si>
  <si>
    <t>วิชุดา</t>
  </si>
  <si>
    <t>กัลยางามเลิศ</t>
  </si>
  <si>
    <t>สท.ส50203</t>
  </si>
  <si>
    <t>17/03/2541</t>
  </si>
  <si>
    <t>ศรัณยา</t>
  </si>
  <si>
    <t>นรากรกูร</t>
  </si>
  <si>
    <t>สท.ส51101</t>
  </si>
  <si>
    <t>28/02/2539</t>
  </si>
  <si>
    <t>วงค์เชื้อ</t>
  </si>
  <si>
    <t>สท.ส50401</t>
  </si>
  <si>
    <t>13/04/2548</t>
  </si>
  <si>
    <t>สท.ส51201</t>
  </si>
  <si>
    <t>สุวรรณ</t>
  </si>
  <si>
    <t>พงศ์ประทีปชัย</t>
  </si>
  <si>
    <t>สท.ส50101</t>
  </si>
  <si>
    <t>หัตถภรณ์</t>
  </si>
  <si>
    <t>แสงเพชรไพบูรณ์</t>
  </si>
  <si>
    <t>สท.ส50602</t>
  </si>
  <si>
    <t>28/04/2540</t>
  </si>
  <si>
    <t>อภิญญา</t>
  </si>
  <si>
    <t>ศิลป์ท้าว</t>
  </si>
  <si>
    <t>สท.ส50305</t>
  </si>
  <si>
    <t>สท.ส50304</t>
  </si>
  <si>
    <t>ไม่มีคนครอง (เลขเดิมณุตรา)</t>
  </si>
  <si>
    <t>18/04/2546</t>
  </si>
  <si>
    <t>อริสรา</t>
  </si>
  <si>
    <t>วงศ์เชิดศักดิ์</t>
  </si>
  <si>
    <t>สท.ส50601</t>
  </si>
  <si>
    <t>28/04/2550</t>
  </si>
  <si>
    <t>นามเรือง</t>
  </si>
  <si>
    <t>สท.ส50103</t>
  </si>
  <si>
    <t>พวงเพชร</t>
  </si>
  <si>
    <t>ส3</t>
  </si>
  <si>
    <t>ลูกจ้างประจำ</t>
  </si>
  <si>
    <t>22/04/2514</t>
  </si>
  <si>
    <t>น้ำเพชร</t>
  </si>
  <si>
    <t>ที่นับถือ</t>
  </si>
  <si>
    <t>พนักงานซักฟอก</t>
  </si>
  <si>
    <t>21/04/2523</t>
  </si>
  <si>
    <t>จิรพันธ์</t>
  </si>
  <si>
    <t>ประทุม</t>
  </si>
  <si>
    <t>จ่ายกลาง</t>
  </si>
  <si>
    <t>Supply</t>
  </si>
  <si>
    <t>กลุ่มงานการพยาบาลด้านการควบคุมและป้องกันการติดเชื้อ</t>
  </si>
  <si>
    <t>22/04/2529</t>
  </si>
  <si>
    <t>กัลยารัตน์</t>
  </si>
  <si>
    <t>กำแทง</t>
  </si>
  <si>
    <t>สท.ส10115</t>
  </si>
  <si>
    <t>งานซักฟอก</t>
  </si>
  <si>
    <t>15/10/2545</t>
  </si>
  <si>
    <t>ไกรลาส</t>
  </si>
  <si>
    <t>อภิบูลย์</t>
  </si>
  <si>
    <t>สท.ส10109</t>
  </si>
  <si>
    <t>19/09/2545</t>
  </si>
  <si>
    <t>ขวัญจิตร</t>
  </si>
  <si>
    <t>ขยันจิตใฝ่ธรรม</t>
  </si>
  <si>
    <t>สท.ส10107</t>
  </si>
  <si>
    <t>24/03/2543</t>
  </si>
  <si>
    <t>จ๋ามเงิน</t>
  </si>
  <si>
    <t>ซอคำ</t>
  </si>
  <si>
    <t>สท.ส10108</t>
  </si>
  <si>
    <t>19/06/2543</t>
  </si>
  <si>
    <t>สุริยะ</t>
  </si>
  <si>
    <t>สท.ส10117</t>
  </si>
  <si>
    <t>ธนายุทธ</t>
  </si>
  <si>
    <t>จองปุ๊ก</t>
  </si>
  <si>
    <t>สท.ส10110</t>
  </si>
  <si>
    <t>ภูมินทร์</t>
  </si>
  <si>
    <t>อินทานุวัฒน์</t>
  </si>
  <si>
    <t>สท.ส10111</t>
  </si>
  <si>
    <t>29/10/2544</t>
  </si>
  <si>
    <t>ศรีชัย</t>
  </si>
  <si>
    <t>สร้อยเซียน</t>
  </si>
  <si>
    <t>สท.ส10113</t>
  </si>
  <si>
    <t>14/04/2543</t>
  </si>
  <si>
    <t>หนุ่ม</t>
  </si>
  <si>
    <t>สท.ส10114</t>
  </si>
  <si>
    <t>21/03/2551</t>
  </si>
  <si>
    <t>จะข่อย</t>
  </si>
  <si>
    <t>สท.ส10116</t>
  </si>
  <si>
    <t>สมชาย</t>
  </si>
  <si>
    <t>ส่างเงิน</t>
  </si>
  <si>
    <t>สท.ส10112</t>
  </si>
  <si>
    <t>กิ่งแก้ว</t>
  </si>
  <si>
    <t>ภัทรพรฉัตร</t>
  </si>
  <si>
    <t>พนักงานธุรการ</t>
  </si>
  <si>
    <t>15/09/2545</t>
  </si>
  <si>
    <t>นันทภัค</t>
  </si>
  <si>
    <t>คำมณีเลิศ</t>
  </si>
  <si>
    <t>สท.ส10120</t>
  </si>
  <si>
    <t>ราณีร์</t>
  </si>
  <si>
    <t>เทพวิชา</t>
  </si>
  <si>
    <t>สท.ส10122</t>
  </si>
  <si>
    <t>30/09/2544</t>
  </si>
  <si>
    <t>ศรีนวล</t>
  </si>
  <si>
    <t>สท.ส30101</t>
  </si>
  <si>
    <t>22/12/2538</t>
  </si>
  <si>
    <t>วัชระ</t>
  </si>
  <si>
    <t>ค้ำกูล</t>
  </si>
  <si>
    <t>31/01/2510</t>
  </si>
  <si>
    <t>ปณัฐดา</t>
  </si>
  <si>
    <t>เทพจันทร์ดา</t>
  </si>
  <si>
    <t>พนักงานบริการ</t>
  </si>
  <si>
    <t>18/05/2534</t>
  </si>
  <si>
    <t>มงคล</t>
  </si>
  <si>
    <t>วันเพ็ญ</t>
  </si>
  <si>
    <t>มณีวร</t>
  </si>
  <si>
    <t xml:space="preserve">เสาวลักษณ์ </t>
  </si>
  <si>
    <t>จอมงาม</t>
  </si>
  <si>
    <t>พัชรา</t>
  </si>
  <si>
    <t>ขวัญใจไพเราะ</t>
  </si>
  <si>
    <t>0109967</t>
  </si>
  <si>
    <t>30/01/2535</t>
  </si>
  <si>
    <t>สุจีรา</t>
  </si>
  <si>
    <t>0109965</t>
  </si>
  <si>
    <t>พรชิตา</t>
  </si>
  <si>
    <t>ฐิติอุดมศรี</t>
  </si>
  <si>
    <t>0109966</t>
  </si>
  <si>
    <t>27/06/2543</t>
  </si>
  <si>
    <t>อนัญญา</t>
  </si>
  <si>
    <t>รัตนกระจ่าง</t>
  </si>
  <si>
    <t>0109964</t>
  </si>
  <si>
    <t>30/03/2525</t>
  </si>
  <si>
    <t>จรรยพร</t>
  </si>
  <si>
    <t>สท.ส51401</t>
  </si>
  <si>
    <t>24/02/2540</t>
  </si>
  <si>
    <t>จันทร์จิรา</t>
  </si>
  <si>
    <t>อูปคำ</t>
  </si>
  <si>
    <t>สท.ส51403</t>
  </si>
  <si>
    <t>20/08/2533</t>
  </si>
  <si>
    <t>ณัฐวรา</t>
  </si>
  <si>
    <t>หน่อพิชญ์</t>
  </si>
  <si>
    <t>สท.ส51404</t>
  </si>
  <si>
    <t>14/02/2551</t>
  </si>
  <si>
    <t>สท.ส51402</t>
  </si>
  <si>
    <t>13/09/2535</t>
  </si>
  <si>
    <t>ประชา</t>
  </si>
  <si>
    <t>สท.ส51406</t>
  </si>
  <si>
    <t>15/12/2536</t>
  </si>
  <si>
    <t>ภานุพงษ์</t>
  </si>
  <si>
    <t>คำฟู</t>
  </si>
  <si>
    <t>สท.ส51407</t>
  </si>
  <si>
    <t>วรศักดิ์</t>
  </si>
  <si>
    <t>ดำรงอุดมศักดิ์</t>
  </si>
  <si>
    <t>สท.ส51405</t>
  </si>
  <si>
    <t>17/01/2544</t>
  </si>
  <si>
    <t>แสงรุ้ง</t>
  </si>
  <si>
    <t>อนันต์ไพสิฐ</t>
  </si>
  <si>
    <t>สท.ส51408</t>
  </si>
  <si>
    <t>พนักงานบริการ(รปภ.)</t>
  </si>
  <si>
    <t>รปภ.</t>
  </si>
  <si>
    <t>อยู่ระหว่างเปลี่ยนตน.เป็นนักวิชาการเินและบัญชี เข้าเขต 7/10/69</t>
  </si>
  <si>
    <t>ประทีม</t>
  </si>
  <si>
    <t>ไฝคำ</t>
  </si>
  <si>
    <t>16/01/2515</t>
  </si>
  <si>
    <t>ทรงกรด</t>
  </si>
  <si>
    <t>รัตนมาณ</t>
  </si>
  <si>
    <t>อยู่ระหว่างเปลี่ยนตน.เป็นนักทรัพยากรบุคคล เข้าเขต 07/05/69</t>
  </si>
  <si>
    <t>ธนวัฒน์</t>
  </si>
  <si>
    <t>สท.ส10121</t>
  </si>
  <si>
    <t>18/01/2548</t>
  </si>
  <si>
    <t>ประจักษ์</t>
  </si>
  <si>
    <t>จำมะเขือ</t>
  </si>
  <si>
    <t>สท.ส10102</t>
  </si>
  <si>
    <t>ปิยนันท์</t>
  </si>
  <si>
    <t>จิ๋วเอื้อย</t>
  </si>
  <si>
    <t>สท.ส10123</t>
  </si>
  <si>
    <t>20/04/2536</t>
  </si>
  <si>
    <t>พุฒิพงศ์</t>
  </si>
  <si>
    <t>พวงทอง</t>
  </si>
  <si>
    <t>สท.ส10124</t>
  </si>
  <si>
    <t>17/10/2546</t>
  </si>
  <si>
    <t>วทัญญู</t>
  </si>
  <si>
    <t>ปริทัศน์โยธิน</t>
  </si>
  <si>
    <t>สท.ส10119</t>
  </si>
  <si>
    <t>ศิริมงคล</t>
  </si>
  <si>
    <t>บัวแก้วเกิด</t>
  </si>
  <si>
    <t>สท.ส10101</t>
  </si>
  <si>
    <t>สท.ส10125</t>
  </si>
  <si>
    <t>โยนยิ่ง</t>
  </si>
  <si>
    <t>พนักงานบัตรรายโรค</t>
  </si>
  <si>
    <t>ทองวิลาศ</t>
  </si>
  <si>
    <t>14/09/2530</t>
  </si>
  <si>
    <t>สุทธิพร</t>
  </si>
  <si>
    <t>จอมจันทร์</t>
  </si>
  <si>
    <t>0110764</t>
  </si>
  <si>
    <t>0110763</t>
  </si>
  <si>
    <t>23/12/2532</t>
  </si>
  <si>
    <t>ธันยนิษฐ์</t>
  </si>
  <si>
    <t>สิงห์คำป้อง</t>
  </si>
  <si>
    <t>สท.ส60102</t>
  </si>
  <si>
    <t>20/11/2544</t>
  </si>
  <si>
    <t>เปรมสินี</t>
  </si>
  <si>
    <t>พลายกลาง</t>
  </si>
  <si>
    <t>สท.ส60103</t>
  </si>
  <si>
    <t>สิวิชาติ</t>
  </si>
  <si>
    <t>แซ่อั้ง</t>
  </si>
  <si>
    <t>สท.ส60101</t>
  </si>
  <si>
    <t>จินดา</t>
  </si>
  <si>
    <t>อิ่นแก้ว</t>
  </si>
  <si>
    <t>พนักงานประกอบอาหาร</t>
  </si>
  <si>
    <t>20/12/2521</t>
  </si>
  <si>
    <t>รุ่งนภา</t>
  </si>
  <si>
    <t>มณีเจริญ</t>
  </si>
  <si>
    <t>27/06/2513</t>
  </si>
  <si>
    <t>สุพัตรา</t>
  </si>
  <si>
    <t>จงแจ่ม</t>
  </si>
  <si>
    <t>20/03/2513</t>
  </si>
  <si>
    <t>อุมาพร</t>
  </si>
  <si>
    <t>ศิริสุภา</t>
  </si>
  <si>
    <t>สุรพล</t>
  </si>
  <si>
    <t>คำตรี</t>
  </si>
  <si>
    <t>0109938</t>
  </si>
  <si>
    <t>27/11/2513</t>
  </si>
  <si>
    <t>วราภรณ์</t>
  </si>
  <si>
    <t>ประกอบของ</t>
  </si>
  <si>
    <t>0109937</t>
  </si>
  <si>
    <t>24/02/2528</t>
  </si>
  <si>
    <t>รุ่งทิพย์</t>
  </si>
  <si>
    <t>ศรีเจริญ</t>
  </si>
  <si>
    <t>สท.ส40903</t>
  </si>
  <si>
    <t>28/11/2524</t>
  </si>
  <si>
    <t>ลินดา</t>
  </si>
  <si>
    <t>ญาดาวนัส</t>
  </si>
  <si>
    <t>สท.ส40902</t>
  </si>
  <si>
    <t>23/04/2530</t>
  </si>
  <si>
    <t>วรรณกร</t>
  </si>
  <si>
    <t>รำไพ</t>
  </si>
  <si>
    <t>สท.ส40901</t>
  </si>
  <si>
    <t>สายสุดา</t>
  </si>
  <si>
    <t>มานารักษ์</t>
  </si>
  <si>
    <t>สท.ส40904</t>
  </si>
  <si>
    <t>18/08/2521</t>
  </si>
  <si>
    <t>ศุภาวรรณ</t>
  </si>
  <si>
    <t>พนักงานประจำห้องทดลอง</t>
  </si>
  <si>
    <t>28/03/2545</t>
  </si>
  <si>
    <t>คาโพ</t>
  </si>
  <si>
    <t>0109947</t>
  </si>
  <si>
    <t>สท.ส41601</t>
  </si>
  <si>
    <t>พนักงานประจำห้องยา</t>
  </si>
  <si>
    <t>ศุภชัย</t>
  </si>
  <si>
    <t>ตันสงวน</t>
  </si>
  <si>
    <t>18/12/2534</t>
  </si>
  <si>
    <t>สุรชัย</t>
  </si>
  <si>
    <t>กันทะ</t>
  </si>
  <si>
    <t>กัญญารัตน์</t>
  </si>
  <si>
    <t>ทองเจือ</t>
  </si>
  <si>
    <t>0109998</t>
  </si>
  <si>
    <t>กัญจนพิทักษ์</t>
  </si>
  <si>
    <t>ปิยะฉัตราภรณ์</t>
  </si>
  <si>
    <t>0109997</t>
  </si>
  <si>
    <t>26/11/2542</t>
  </si>
  <si>
    <t>ภรัญยู</t>
  </si>
  <si>
    <t>พรมเพ็ชร</t>
  </si>
  <si>
    <t>0109993</t>
  </si>
  <si>
    <t>30/03/2537</t>
  </si>
  <si>
    <t>กิตติชัย</t>
  </si>
  <si>
    <t>ยศประเสริฐ</t>
  </si>
  <si>
    <t>0109996</t>
  </si>
  <si>
    <t>เรือนงาม</t>
  </si>
  <si>
    <t>0109995</t>
  </si>
  <si>
    <t>15/06/2543</t>
  </si>
  <si>
    <t>วงษ์จินดา</t>
  </si>
  <si>
    <t>0109992</t>
  </si>
  <si>
    <t>22/12/2539</t>
  </si>
  <si>
    <t>พิทวัส</t>
  </si>
  <si>
    <t>อินถานันท์</t>
  </si>
  <si>
    <t>0109994</t>
  </si>
  <si>
    <t>นันทิยา</t>
  </si>
  <si>
    <t>แวววรรณจิต</t>
  </si>
  <si>
    <t>สท.ส41904</t>
  </si>
  <si>
    <t>ปริญญา</t>
  </si>
  <si>
    <t>บวกไธสง</t>
  </si>
  <si>
    <t>สท.ส41903</t>
  </si>
  <si>
    <t>อภินันท์</t>
  </si>
  <si>
    <t>พันนา</t>
  </si>
  <si>
    <t>สท.ส41902</t>
  </si>
  <si>
    <t>21/08/2544</t>
  </si>
  <si>
    <t>สท.ส41901</t>
  </si>
  <si>
    <t>นฤมล</t>
  </si>
  <si>
    <t>เมธา</t>
  </si>
  <si>
    <t>พนักงานพิมพ์</t>
  </si>
  <si>
    <t>17/02/2534</t>
  </si>
  <si>
    <t>หทัยภัทร</t>
  </si>
  <si>
    <t>สุปัญญา</t>
  </si>
  <si>
    <t>สท.ส20501</t>
  </si>
  <si>
    <t>ไพรสุดา</t>
  </si>
  <si>
    <t>ผิววรรณ์</t>
  </si>
  <si>
    <t>ส4</t>
  </si>
  <si>
    <t>หัวหน้ากลุ่มงานพัสดุ</t>
  </si>
  <si>
    <t>26/08/2516</t>
  </si>
  <si>
    <t>กันทร</t>
  </si>
  <si>
    <t>บรรพตไพรวัลย์</t>
  </si>
  <si>
    <t>พยาบาลวิชาชีพ</t>
  </si>
  <si>
    <t>0111234</t>
  </si>
  <si>
    <t>ผ่าตัด</t>
  </si>
  <si>
    <t>นร.ทุน (ได้รับทุน1ปี)</t>
  </si>
  <si>
    <t>16/03/2546</t>
  </si>
  <si>
    <t>สุดธิดา</t>
  </si>
  <si>
    <t>ขัตตะละ</t>
  </si>
  <si>
    <t>รพ.สะเมิง</t>
  </si>
  <si>
    <t>กลุ่มงานการพยาบาลจิตเวช</t>
  </si>
  <si>
    <t>ด้านการพยาบาล</t>
  </si>
  <si>
    <t>รอรับเลื่อน พรทิพย์</t>
  </si>
  <si>
    <t>รอรับย้าย รอบ กพ70 รัตติยากร</t>
  </si>
  <si>
    <t>06 (01)</t>
  </si>
  <si>
    <t>รับเลื่อน ราตรี</t>
  </si>
  <si>
    <t>วีร์รมิดา</t>
  </si>
  <si>
    <t>ยงค์พัฒนสิน</t>
  </si>
  <si>
    <t>14/02/2533</t>
  </si>
  <si>
    <t>กรรณิกา</t>
  </si>
  <si>
    <t>ศรีวิจา</t>
  </si>
  <si>
    <t>23/11/2535</t>
  </si>
  <si>
    <t>จิรนันท์</t>
  </si>
  <si>
    <t>แสนแสน</t>
  </si>
  <si>
    <t>28/02/2532</t>
  </si>
  <si>
    <t>อุ่นจะนำ</t>
  </si>
  <si>
    <t>21/11/2532</t>
  </si>
  <si>
    <t>ชลลดา</t>
  </si>
  <si>
    <t>บรรเรียนกิจ</t>
  </si>
  <si>
    <t>24/08/2536</t>
  </si>
  <si>
    <t>ดารณี</t>
  </si>
  <si>
    <t>แซ่เอี่ยม</t>
  </si>
  <si>
    <t>17/11/2516</t>
  </si>
  <si>
    <t>ทิพาพรรณ</t>
  </si>
  <si>
    <t>พิมพ์วิมล</t>
  </si>
  <si>
    <t>ปันจันทร์คำ</t>
  </si>
  <si>
    <t xml:space="preserve">หัวหน้ากลุ่มงานการพยาบาลผู้ป่วยนอก </t>
  </si>
  <si>
    <t>20/07/2521</t>
  </si>
  <si>
    <t>มยุเรศ</t>
  </si>
  <si>
    <t>ใจโพธิ์</t>
  </si>
  <si>
    <t>ศุภลักษณ์</t>
  </si>
  <si>
    <t>วันเจ</t>
  </si>
  <si>
    <t>สมพร</t>
  </si>
  <si>
    <t>กวงแหวน</t>
  </si>
  <si>
    <t>15/04/2526</t>
  </si>
  <si>
    <t>วัชรีพร</t>
  </si>
  <si>
    <t>มอรอยอ</t>
  </si>
  <si>
    <t xml:space="preserve">	219229	</t>
  </si>
  <si>
    <t>กรวิภา</t>
  </si>
  <si>
    <t>ธงสิบสอง</t>
  </si>
  <si>
    <t>นาถอนงค์</t>
  </si>
  <si>
    <t>ไชยขัน</t>
  </si>
  <si>
    <t>31/07/2539</t>
  </si>
  <si>
    <t>ภูศณิษา</t>
  </si>
  <si>
    <t>ไชยหลาก</t>
  </si>
  <si>
    <t>รพ.เวียงแหง</t>
  </si>
  <si>
    <t>15/08/2543</t>
  </si>
  <si>
    <t>ตรีวรา</t>
  </si>
  <si>
    <t>เจษฎากานต์</t>
  </si>
  <si>
    <t>19/02/2513</t>
  </si>
  <si>
    <t>ประสพพร</t>
  </si>
  <si>
    <t>วิสิฐอุดรการ</t>
  </si>
  <si>
    <t>24/07/2512</t>
  </si>
  <si>
    <t>มณทกาญจน์</t>
  </si>
  <si>
    <t>ตรึกหากิจ</t>
  </si>
  <si>
    <t>อรธีรา</t>
  </si>
  <si>
    <t>สิทธิผล</t>
  </si>
  <si>
    <t>ควบคุมและป้องกันการติดเชื้อ IC</t>
  </si>
  <si>
    <t xml:space="preserve">หัวหน้ากลุ่มงานการพยาบาลด้านการควบคุมและป้องการการติดเชื้อ/หัวหน้างานจ่ายกลาง </t>
  </si>
  <si>
    <t>25/10/2532</t>
  </si>
  <si>
    <t>ขอใช้เงื่อไข บรรจุ ส่งเขต เดือน ก.ค.69</t>
  </si>
  <si>
    <t>เกตุวลี</t>
  </si>
  <si>
    <t>วงค์เทพ</t>
  </si>
  <si>
    <t>ไตเทียม ชั้น 1</t>
  </si>
  <si>
    <t>ดาวเรือง</t>
  </si>
  <si>
    <t>อิ่มเอิบ</t>
  </si>
  <si>
    <t>ด้านการตรวจและรักษาพยาบาลพิเศษ</t>
  </si>
  <si>
    <t>22/07/2511</t>
  </si>
  <si>
    <t>ธนัตชนก</t>
  </si>
  <si>
    <t>ไชยเป็ง</t>
  </si>
  <si>
    <t>SCOPE</t>
  </si>
  <si>
    <t>อัญชลี</t>
  </si>
  <si>
    <t>แก้วสกุล</t>
  </si>
  <si>
    <t>30/07/2510</t>
  </si>
  <si>
    <t>เวชพร</t>
  </si>
  <si>
    <t>ไตเทียม ชั้น 3</t>
  </si>
  <si>
    <t>15/05/2530</t>
  </si>
  <si>
    <t>พัชรี</t>
  </si>
  <si>
    <t>กุศล</t>
  </si>
  <si>
    <t>26/07/2520</t>
  </si>
  <si>
    <t>วิลาสินี</t>
  </si>
  <si>
    <t>รักษากิจ</t>
  </si>
  <si>
    <t>ศิริพร</t>
  </si>
  <si>
    <t>แสงศรีจันทร์</t>
  </si>
  <si>
    <t>25/05/2532</t>
  </si>
  <si>
    <t>สุดารัตน์</t>
  </si>
  <si>
    <t>เลข่า</t>
  </si>
  <si>
    <t>17/02/2540</t>
  </si>
  <si>
    <t>สุพร</t>
  </si>
  <si>
    <t xml:space="preserve">หัวหน้ากลุ่มงานการพยาบาลตรวจรักษาพิเศษ </t>
  </si>
  <si>
    <t>28/05/2510</t>
  </si>
  <si>
    <t>ด้านการพยาบาลห้องคลอด</t>
  </si>
  <si>
    <t>ขอใช้เงื่อนไข รับเลื่อน ส่งเขต เดือน ส.ค.69</t>
  </si>
  <si>
    <t>วิภาวรรณ</t>
  </si>
  <si>
    <t>วงค์ใหญ่</t>
  </si>
  <si>
    <t>คุณยศยิ่ง</t>
  </si>
  <si>
    <t>หัวหน้ากลุ่มงานการพยาบาลผู้คลอด</t>
  </si>
  <si>
    <t>23/02/2526</t>
  </si>
  <si>
    <t>สุภาภรณ์</t>
  </si>
  <si>
    <t>สวนมะนิล</t>
  </si>
  <si>
    <t>14/05/2537</t>
  </si>
  <si>
    <t>สุทธิดาภรณ์</t>
  </si>
  <si>
    <t>สุทธิเมธีสกุล</t>
  </si>
  <si>
    <t>เมวิกา</t>
  </si>
  <si>
    <t>จันทคำ</t>
  </si>
  <si>
    <t>วรรธกจตุรพร</t>
  </si>
  <si>
    <t>หัวหน้ากลุ่มการพยาบาล</t>
  </si>
  <si>
    <t>หัวหน้ากลุ่มการพยาบาล/รองภารกิจด้านพยาบาล</t>
  </si>
  <si>
    <t>24/10/2509</t>
  </si>
  <si>
    <t>ดุจดาว</t>
  </si>
  <si>
    <t>เปี้ยสม</t>
  </si>
  <si>
    <t>23/06/2519</t>
  </si>
  <si>
    <t>ภัสราภรณ์</t>
  </si>
  <si>
    <t>จิงต่า</t>
  </si>
  <si>
    <t>หอผู้ป่วย อายุรกรรมชาย</t>
  </si>
  <si>
    <t>24/06/2537</t>
  </si>
  <si>
    <t>พันธ์วิรา</t>
  </si>
  <si>
    <t>อนันคำ</t>
  </si>
  <si>
    <t>หอผู้ป่วยวิกฤตอายุแรกเกิด (กุมาร)</t>
  </si>
  <si>
    <t>ธนพร</t>
  </si>
  <si>
    <t>กำเนิดนที</t>
  </si>
  <si>
    <t>17/10/2537</t>
  </si>
  <si>
    <t>เมธินี</t>
  </si>
  <si>
    <t>ไขยวงษา</t>
  </si>
  <si>
    <t>19/05/2539</t>
  </si>
  <si>
    <t>ปรรณธร</t>
  </si>
  <si>
    <t>ศรีกันชัย</t>
  </si>
  <si>
    <t>ฐนิกา</t>
  </si>
  <si>
    <t>เมืองวงค์</t>
  </si>
  <si>
    <t>23/08/2538</t>
  </si>
  <si>
    <t>ปิ่นทอง</t>
  </si>
  <si>
    <t>หมายดี</t>
  </si>
  <si>
    <t>28/10/2522</t>
  </si>
  <si>
    <t>อยู่ระหว่างส่งผลงาน รับเลื่อน อรธีรา</t>
  </si>
  <si>
    <t>วีรชา</t>
  </si>
  <si>
    <t>นันทิวิริยะชัย</t>
  </si>
  <si>
    <t>งานการพยาบาลที่บ้านและชุมชนPCU หนองหาร</t>
  </si>
  <si>
    <t>6(1)</t>
  </si>
  <si>
    <t>ศุภรดา</t>
  </si>
  <si>
    <t>คีรีแก้ว</t>
  </si>
  <si>
    <t>งานส่งเสริมสุขภาพและฟื้นฟูวัยทำงาน</t>
  </si>
  <si>
    <t>5(1)</t>
  </si>
  <si>
    <t>26/09/2537</t>
  </si>
  <si>
    <t>กมลทิพย์</t>
  </si>
  <si>
    <t>นันทะปารียอง</t>
  </si>
  <si>
    <t>ฝูงทอง</t>
  </si>
  <si>
    <t>26/09/2539</t>
  </si>
  <si>
    <t>ฐณธรณ์</t>
  </si>
  <si>
    <t>ตาลป่า</t>
  </si>
  <si>
    <t>วิสัญญีพยาบาล1 ตค.68-30 กย.69</t>
  </si>
  <si>
    <t>วงศ์ใหญ่</t>
  </si>
  <si>
    <t>18/06/2540</t>
  </si>
  <si>
    <t>อุสาหะ</t>
  </si>
  <si>
    <t>3(1)</t>
  </si>
  <si>
    <t>ธิติสุดา</t>
  </si>
  <si>
    <t>เมืองแก้ว</t>
  </si>
  <si>
    <t>รพ.แม่อาย</t>
  </si>
  <si>
    <t>24/11/2538</t>
  </si>
  <si>
    <t>ไหวยะ</t>
  </si>
  <si>
    <t>รพสต.บ้านสันต้นกอก ต.ดอนแก้ว สารภี</t>
  </si>
  <si>
    <t>พัชริดา</t>
  </si>
  <si>
    <t>อังสนานันท์</t>
  </si>
  <si>
    <t>กลุ่มงานการพยาบาลผู้ป่วยใน</t>
  </si>
  <si>
    <t>รพท.สันป่าตอง</t>
  </si>
  <si>
    <t>20/01/2537</t>
  </si>
  <si>
    <t>ชไมพร</t>
  </si>
  <si>
    <t>คงมีความดี</t>
  </si>
  <si>
    <t>หอผู้ป่วยศัลยกรรรม-ออร์โธ ชาย</t>
  </si>
  <si>
    <t>29/07/2529</t>
  </si>
  <si>
    <t>ดิษยา</t>
  </si>
  <si>
    <t>กิตติธรสกุล</t>
  </si>
  <si>
    <t>30/03/2526</t>
  </si>
  <si>
    <t>นารีรัตน์</t>
  </si>
  <si>
    <t>พรหมสุวรรณ</t>
  </si>
  <si>
    <t>21/08/2528</t>
  </si>
  <si>
    <t>ปานพิกุล</t>
  </si>
  <si>
    <t>สกุลคู</t>
  </si>
  <si>
    <t>ผู้ช่วยหัวหน้ากลุ่มภารกิจด้านการพยาบาล ด้านวิชาการ และสารสนเทศทางการพยาบาล /หัวหน้ากลุ่มงานการพยาบาลศัลยกรรม 
/หัวหน้าหอผู้ป่วยศัลยกรรมชาย</t>
  </si>
  <si>
    <t>พรพรรณ</t>
  </si>
  <si>
    <t>เป็งใจ</t>
  </si>
  <si>
    <t>คำใหญ่</t>
  </si>
  <si>
    <t>18/12/2529</t>
  </si>
  <si>
    <t>สยุมพรรณ</t>
  </si>
  <si>
    <t>โกฎิคำ</t>
  </si>
  <si>
    <t>16/08/2536</t>
  </si>
  <si>
    <t>ภัคคมลทิพย์</t>
  </si>
  <si>
    <t>สุภัคกาญจนกุล</t>
  </si>
  <si>
    <t>อณัฎฐปิติตา</t>
  </si>
  <si>
    <t>อะทะสี</t>
  </si>
  <si>
    <t>5(2)</t>
  </si>
  <si>
    <t>ย้ายไปปฐมภูมิ</t>
  </si>
  <si>
    <t>ศรัณดา</t>
  </si>
  <si>
    <t>ยะวา</t>
  </si>
  <si>
    <t>จันทร์วัฒนะ</t>
  </si>
  <si>
    <t>13/12/2537</t>
  </si>
  <si>
    <t>ณัฐชยา</t>
  </si>
  <si>
    <t>แก้วเมืองไขย</t>
  </si>
  <si>
    <t>นันท์นภัส</t>
  </si>
  <si>
    <t>มางิ้ว</t>
  </si>
  <si>
    <t xml:space="preserve">หัวหน้ากลุ่มงานการพยาบาลผู้ป่วยสูติ–นรีเวชกรรม </t>
  </si>
  <si>
    <t>28/04/2518</t>
  </si>
  <si>
    <t>คำแสน</t>
  </si>
  <si>
    <t>ปัทมาภรณ์</t>
  </si>
  <si>
    <t>แดงบุญ</t>
  </si>
  <si>
    <t>พุธิตา</t>
  </si>
  <si>
    <t>ทองหลอ</t>
  </si>
  <si>
    <t>ศิริมาศ</t>
  </si>
  <si>
    <t>ปาละมี</t>
  </si>
  <si>
    <t>รอรับย้าย (พัชริดา)</t>
  </si>
  <si>
    <t>เทพมงคล</t>
  </si>
  <si>
    <t>23/05/2531</t>
  </si>
  <si>
    <t>ธีราภรณ์</t>
  </si>
  <si>
    <t>กันตีมูล</t>
  </si>
  <si>
    <t>หอผู้ป่วย IMC (ประคับประคอง)</t>
  </si>
  <si>
    <t>ศรัญญา</t>
  </si>
  <si>
    <t>เศวตเศรณี</t>
  </si>
  <si>
    <t>ด้านการพยาบาลผู้ป่วยหนัก</t>
  </si>
  <si>
    <t xml:space="preserve">หัวหน้ากลุ่มงานการพยาบาลผู้ป่วยกุมารเวชกรรม </t>
  </si>
  <si>
    <t>จรรยาภรณ์</t>
  </si>
  <si>
    <t>ปันธิมา</t>
  </si>
  <si>
    <t>16/01/2539</t>
  </si>
  <si>
    <t>ภัคสิริ</t>
  </si>
  <si>
    <t>อิฐประสงค์</t>
  </si>
  <si>
    <t>กัลยา</t>
  </si>
  <si>
    <t>ใสจริง</t>
  </si>
  <si>
    <t>ณัฐนิช</t>
  </si>
  <si>
    <t>อ่ำแก้ว</t>
  </si>
  <si>
    <t>นฤพร</t>
  </si>
  <si>
    <t>อินธิยะ</t>
  </si>
  <si>
    <t>ปรัชญา</t>
  </si>
  <si>
    <t>เจริญดี</t>
  </si>
  <si>
    <t>24/01/2540</t>
  </si>
  <si>
    <t>จิราพรรณ</t>
  </si>
  <si>
    <t>ทิพวัลย์</t>
  </si>
  <si>
    <t>ปริยาภัทร</t>
  </si>
  <si>
    <t>30/07/2540</t>
  </si>
  <si>
    <t>พรปวีณ์</t>
  </si>
  <si>
    <t>สังฆบุญ</t>
  </si>
  <si>
    <t>20/09/2531</t>
  </si>
  <si>
    <t>แบส</t>
  </si>
  <si>
    <t>27/11/2537</t>
  </si>
  <si>
    <t>รัชฎาวรรณ</t>
  </si>
  <si>
    <t>ศศิชา</t>
  </si>
  <si>
    <t>ศิริลักษณ์</t>
  </si>
  <si>
    <t>สุชัญญา</t>
  </si>
  <si>
    <t>เมธาทัศน์</t>
  </si>
  <si>
    <t>20/06/2541</t>
  </si>
  <si>
    <t>แถวถาทำ</t>
  </si>
  <si>
    <t>พลินทราพัชร์</t>
  </si>
  <si>
    <t>ประภาพรรณ</t>
  </si>
  <si>
    <t>26/08/2538</t>
  </si>
  <si>
    <t>สายพิณ</t>
  </si>
  <si>
    <t>คำไฝ</t>
  </si>
  <si>
    <t>ผู้ช่วยหัวหน้ากลุ่มภารกิจด้านการพยาบาล 
ด้านพัฒนาคุณภาพบริการ /หัวหน้ากลุ่มงานการพยาบาลผู้ป่วยหนัก</t>
  </si>
  <si>
    <t>26/10/2515</t>
  </si>
  <si>
    <t>จินดาภรณ์</t>
  </si>
  <si>
    <t>สุพรรณ์</t>
  </si>
  <si>
    <t>ทิพย์ประภา</t>
  </si>
  <si>
    <t>วุฒิอินทร์</t>
  </si>
  <si>
    <t>22/06/2540</t>
  </si>
  <si>
    <t>กรกนก</t>
  </si>
  <si>
    <t>ธัญญพัทธ์</t>
  </si>
  <si>
    <t>จันทา</t>
  </si>
  <si>
    <t>นวพร</t>
  </si>
  <si>
    <t>สินสกลวัฒน์</t>
  </si>
  <si>
    <t>ด้านการพยาบาลผู้ป่วยผ่าตัด</t>
  </si>
  <si>
    <t>24/11/2529</t>
  </si>
  <si>
    <t>นันทวัน</t>
  </si>
  <si>
    <t>คำตา</t>
  </si>
  <si>
    <t>17/08/2527</t>
  </si>
  <si>
    <t>วรวงศ์</t>
  </si>
  <si>
    <t>18/02/2523</t>
  </si>
  <si>
    <t>พัสตราภรณ์</t>
  </si>
  <si>
    <t>26/06/2534</t>
  </si>
  <si>
    <t>พิชญา</t>
  </si>
  <si>
    <t>บุญเกิด</t>
  </si>
  <si>
    <t>เพ็ญพิชา</t>
  </si>
  <si>
    <t>ปัญญาแก้ว</t>
  </si>
  <si>
    <t>21/02/2540</t>
  </si>
  <si>
    <t>รมมณีย์</t>
  </si>
  <si>
    <t>ภิรมย์</t>
  </si>
  <si>
    <t>วิรากานต์</t>
  </si>
  <si>
    <t>คุ้มวิเศษ</t>
  </si>
  <si>
    <t>29/08/2539</t>
  </si>
  <si>
    <t>สุรพิชญ์</t>
  </si>
  <si>
    <t>เทพรินทร์</t>
  </si>
  <si>
    <t>อรพินท์</t>
  </si>
  <si>
    <t>ศิริโชติตระการ</t>
  </si>
  <si>
    <t>อรุโณทัย</t>
  </si>
  <si>
    <t>อย่างอิ่น</t>
  </si>
  <si>
    <t>15/08/2536</t>
  </si>
  <si>
    <t>ปัญญา</t>
  </si>
  <si>
    <t>16/06/2539</t>
  </si>
  <si>
    <t>เบญญาพร</t>
  </si>
  <si>
    <t>จมภู</t>
  </si>
  <si>
    <t>หอผู้ป่วยศัลยกรรรม-ออร์โธ หญิง</t>
  </si>
  <si>
    <t>26/01/2540</t>
  </si>
  <si>
    <t>จันทร์ศิริ</t>
  </si>
  <si>
    <t>รติณัฎฐ์</t>
  </si>
  <si>
    <t>แสงประสิทธิ์</t>
  </si>
  <si>
    <t xml:space="preserve">หัวหน้ากลุ่มงานการพยาบาลผู้ป่วยออร์โธปิดิกส์ /หัวหน้าหอผู้ป่วยศัลยกรรมหญิง </t>
  </si>
  <si>
    <t>26/05/2517</t>
  </si>
  <si>
    <t>รัมภา</t>
  </si>
  <si>
    <t>ศรีพวงใจ</t>
  </si>
  <si>
    <t>23/03/2537</t>
  </si>
  <si>
    <t>สุมินตรา</t>
  </si>
  <si>
    <t>สายแปง</t>
  </si>
  <si>
    <t>ใหม่จันทร์แดง</t>
  </si>
  <si>
    <t>กิตติศักดิ์</t>
  </si>
  <si>
    <t>เป็งทา</t>
  </si>
  <si>
    <t>หาญรัศมีวงศ์</t>
  </si>
  <si>
    <t>14/09/2536</t>
  </si>
  <si>
    <t>จิรัฐยา</t>
  </si>
  <si>
    <t>จุลมนต์</t>
  </si>
  <si>
    <t>20/10/2521</t>
  </si>
  <si>
    <t>เป้งทอง</t>
  </si>
  <si>
    <t>พัชรินทร์</t>
  </si>
  <si>
    <t>อินต๊ะมูล</t>
  </si>
  <si>
    <t>20/04/2520</t>
  </si>
  <si>
    <t>กำลังเรียกใช้บัญชี</t>
  </si>
  <si>
    <t>กษมพร</t>
  </si>
  <si>
    <t>ปัญญาเป็ง</t>
  </si>
  <si>
    <t>30/12/2539</t>
  </si>
  <si>
    <t>ณิชานันท์</t>
  </si>
  <si>
    <t>จันทร์แก้ว</t>
  </si>
  <si>
    <t>28/03/2539</t>
  </si>
  <si>
    <t>เพ็ญพิชชา</t>
  </si>
  <si>
    <t>ศิลปเสริฐ</t>
  </si>
  <si>
    <t>20/09/2539</t>
  </si>
  <si>
    <t>รัตนา</t>
  </si>
  <si>
    <t>พีระวัฒน์คงทน</t>
  </si>
  <si>
    <t>25/11/2539</t>
  </si>
  <si>
    <t>รังแก้ว</t>
  </si>
  <si>
    <t>15/12/2535</t>
  </si>
  <si>
    <t>จุฬารัตน์</t>
  </si>
  <si>
    <t>ศิริวัฒนศิลป์</t>
  </si>
  <si>
    <t>25/03/2534</t>
  </si>
  <si>
    <t>พนารัตน์</t>
  </si>
  <si>
    <t xml:space="preserve">ผู้ช่วยหัวหน้ากลุ่มภารกิจด้านการพยาบาล ด้านบริหาร /หัวหน้ากลุ่มงานการพยาบาลผู้ป่วยอายุรกรรม </t>
  </si>
  <si>
    <t>27/09/2513</t>
  </si>
  <si>
    <t>อมลณัฐ</t>
  </si>
  <si>
    <t>ไชยสวัสดิ์</t>
  </si>
  <si>
    <t>31/10/2539</t>
  </si>
  <si>
    <t>บุษบา</t>
  </si>
  <si>
    <t>ยั่งยืนกุล</t>
  </si>
  <si>
    <t>พิมพ์พิสุทธ์</t>
  </si>
  <si>
    <t>ชวนชัย</t>
  </si>
  <si>
    <t>ไคร้มูล</t>
  </si>
  <si>
    <t>วริศรา</t>
  </si>
  <si>
    <t>รพ.ฝาง</t>
  </si>
  <si>
    <t>สุภาใจ</t>
  </si>
  <si>
    <t>19/04/2533</t>
  </si>
  <si>
    <t>ขอใช้เงื่อนไขรับเลื่อน  เดือน ก.ย.69 (พราวเดือน)</t>
  </si>
  <si>
    <t>ดวงดาว</t>
  </si>
  <si>
    <t>อุดมโยธิน</t>
  </si>
  <si>
    <t>18/05/2538</t>
  </si>
  <si>
    <t>พัทธนันท์</t>
  </si>
  <si>
    <t>หาญศึก</t>
  </si>
  <si>
    <t>ศิรภัสสร</t>
  </si>
  <si>
    <t>28/11/2539</t>
  </si>
  <si>
    <t>บุญธรรม</t>
  </si>
  <si>
    <t>24/07/2537</t>
  </si>
  <si>
    <t>นภัสสร</t>
  </si>
  <si>
    <t>บ่อสุวรรณ</t>
  </si>
  <si>
    <t>ด้านการพยาบาลผู้ป่วยอุบัติเหตุและฉุกเฉิน</t>
  </si>
  <si>
    <t>อินยา</t>
  </si>
  <si>
    <t>สุดใจ</t>
  </si>
  <si>
    <t>หัวหน้ากลุ่มงานการพยาบาบลผู้ป่วยอุบัติเหตุและฉุกเฉิน</t>
  </si>
  <si>
    <t>จิราภา</t>
  </si>
  <si>
    <t>ไชยธงยศ</t>
  </si>
  <si>
    <t>มิ่งกมล</t>
  </si>
  <si>
    <t>วงค์ไชย</t>
  </si>
  <si>
    <t>สกาวฟ้า</t>
  </si>
  <si>
    <t>จอมฟอง</t>
  </si>
  <si>
    <t>28/08/2524</t>
  </si>
  <si>
    <t>สุวนันท์</t>
  </si>
  <si>
    <t>ยศเรือนคำ</t>
  </si>
  <si>
    <t>13/08/2539</t>
  </si>
  <si>
    <t>อรยา</t>
  </si>
  <si>
    <t>จริยา</t>
  </si>
  <si>
    <t>30/05/2539</t>
  </si>
  <si>
    <t>อัมพวันต์</t>
  </si>
  <si>
    <t>มานะสุคนธ์</t>
  </si>
  <si>
    <t>30/04/2526</t>
  </si>
  <si>
    <t>เรณุมาศ</t>
  </si>
  <si>
    <t>ชุ่มใจ</t>
  </si>
  <si>
    <t>จิราภรณ์</t>
  </si>
  <si>
    <t>พุททา</t>
  </si>
  <si>
    <t>อดิสา</t>
  </si>
  <si>
    <t>เป็งไชยวงค์</t>
  </si>
  <si>
    <t>อ่อนหวาน</t>
  </si>
  <si>
    <t>จุฑาพิณ</t>
  </si>
  <si>
    <t>สมณะ</t>
  </si>
  <si>
    <t>ประภาพร</t>
  </si>
  <si>
    <t>พันธุ์ศิริ</t>
  </si>
  <si>
    <t>ด้านการพยาบาลวิสัญญี</t>
  </si>
  <si>
    <t>21/02/2522</t>
  </si>
  <si>
    <t>ปานฤทัย</t>
  </si>
  <si>
    <t>บาลเย็น</t>
  </si>
  <si>
    <t>19/09/2533</t>
  </si>
  <si>
    <t>วลัยพร</t>
  </si>
  <si>
    <t>มโนวร</t>
  </si>
  <si>
    <t>ปินทะนา</t>
  </si>
  <si>
    <t>28/08/2532</t>
  </si>
  <si>
    <t>ธีระเชื้อ</t>
  </si>
  <si>
    <t>27/01/2513</t>
  </si>
  <si>
    <t>ราตรี</t>
  </si>
  <si>
    <t>ทานะขันธ์</t>
  </si>
  <si>
    <t>16/08/2515</t>
  </si>
  <si>
    <t>สุพรรณี</t>
  </si>
  <si>
    <t>ธุระแสง</t>
  </si>
  <si>
    <t>28/04/2522</t>
  </si>
  <si>
    <t>บุญเกษม</t>
  </si>
  <si>
    <t>16/09/2523</t>
  </si>
  <si>
    <t>ภายใน (ไม่ตรงจ.)</t>
  </si>
  <si>
    <t>โถยะโล</t>
  </si>
  <si>
    <t>แก้ววงศ์วาล</t>
  </si>
  <si>
    <t>ธิดารัตน์</t>
  </si>
  <si>
    <t>ขัติวงค์</t>
  </si>
  <si>
    <t>จารุวรรณ์</t>
  </si>
  <si>
    <t>ถนอมบุญ</t>
  </si>
  <si>
    <t>13/09/2516</t>
  </si>
  <si>
    <t>อยู่ระหว่างประกาศผลการคัดเลือก รับเลื่อน ดารณี</t>
  </si>
  <si>
    <t>จันตาทะ</t>
  </si>
  <si>
    <t>19/06/2529</t>
  </si>
  <si>
    <t>คำสม</t>
  </si>
  <si>
    <t>23/10/2542</t>
  </si>
  <si>
    <t>สุวิมล</t>
  </si>
  <si>
    <t>ธงนาค</t>
  </si>
  <si>
    <t>28/04/2527</t>
  </si>
  <si>
    <t>บุญปราณี</t>
  </si>
  <si>
    <t>นันทวัฒนากรณ์</t>
  </si>
  <si>
    <t>รพสต.บ้านกอกหม่น ต.สันปูเลย อ.ดอยสะเก็ด เชียงใหม่</t>
  </si>
  <si>
    <t>งานตรวจสุขภาพ</t>
  </si>
  <si>
    <t xml:space="preserve">ขอใช้เงื่อไข บรรจุ ส่งเขต เดือน ก.ย..69
</t>
  </si>
  <si>
    <t>ชลธิชา</t>
  </si>
  <si>
    <t>ศรีทองเกิด</t>
  </si>
  <si>
    <t>29/08/2523</t>
  </si>
  <si>
    <t>ดาริณี</t>
  </si>
  <si>
    <t>คชโภคิน</t>
  </si>
  <si>
    <t>มัณฑกานต์</t>
  </si>
  <si>
    <t>เครือเตจ๊ะ</t>
  </si>
  <si>
    <t>รพ.พะเยา</t>
  </si>
  <si>
    <t>วงศ์สุวรรณ</t>
  </si>
  <si>
    <t>รพสต.บ้านแม่เมือง ต.แม่นาวาง สสอ. แม่อาย</t>
  </si>
  <si>
    <t>สสอ. แม่อาย จ.เชียงใหม่</t>
  </si>
  <si>
    <t>ณภัทร</t>
  </si>
  <si>
    <t>กันทะนันท์</t>
  </si>
  <si>
    <t>ปวันพัสตร์</t>
  </si>
  <si>
    <t>บัวระภา</t>
  </si>
  <si>
    <t>19/09/2537</t>
  </si>
  <si>
    <t>ธิวงค์</t>
  </si>
  <si>
    <t>22/07/2541</t>
  </si>
  <si>
    <t>กิตติญา</t>
  </si>
  <si>
    <t>ญารังษี</t>
  </si>
  <si>
    <t>30/01/2543</t>
  </si>
  <si>
    <t>สมบูรณ์พูลเพิ่ม</t>
  </si>
  <si>
    <t>วิษา</t>
  </si>
  <si>
    <t>ต่างใจ</t>
  </si>
  <si>
    <t>28/03/2544</t>
  </si>
  <si>
    <t>ชญานันท์</t>
  </si>
  <si>
    <t>บำรุงนอก</t>
  </si>
  <si>
    <t>ทิราภรณ์</t>
  </si>
  <si>
    <t>ประกอบศิลป์</t>
  </si>
  <si>
    <t>22/04/2544</t>
  </si>
  <si>
    <t>จริยาพร</t>
  </si>
  <si>
    <t>21/03/2545</t>
  </si>
  <si>
    <t>กานต์ชนก</t>
  </si>
  <si>
    <t>เวียงนาค</t>
  </si>
  <si>
    <t>30/10/2542</t>
  </si>
  <si>
    <t>ศรัณย์กร</t>
  </si>
  <si>
    <t>18/09/2529</t>
  </si>
  <si>
    <t>ธัญญารักษ์</t>
  </si>
  <si>
    <t>ปิกจุมปู</t>
  </si>
  <si>
    <t>18/04/2540</t>
  </si>
  <si>
    <t>ชฎาลักษณ์</t>
  </si>
  <si>
    <t>เดอแฮ</t>
  </si>
  <si>
    <t>16/06/2542</t>
  </si>
  <si>
    <t>ใจย์วัง</t>
  </si>
  <si>
    <t>31/01/2543</t>
  </si>
  <si>
    <t>ปัญนสรณ์</t>
  </si>
  <si>
    <t>ด่านสุวรรณ</t>
  </si>
  <si>
    <t>ศตวรรษ</t>
  </si>
  <si>
    <t>ราษฎร์ดี</t>
  </si>
  <si>
    <t>23/09/2545</t>
  </si>
  <si>
    <t>ปุณณิสา</t>
  </si>
  <si>
    <t>29/01/2545</t>
  </si>
  <si>
    <t>สิริญา</t>
  </si>
  <si>
    <t>กาสพิสิฐ</t>
  </si>
  <si>
    <t>25/10/2528</t>
  </si>
  <si>
    <t>สุภัค</t>
  </si>
  <si>
    <t>คำยอดใจ</t>
  </si>
  <si>
    <t>18/10/2540</t>
  </si>
  <si>
    <t>กุนมลี</t>
  </si>
  <si>
    <t>ทองคูณโชคชัย</t>
  </si>
  <si>
    <t>19/03/2544</t>
  </si>
  <si>
    <t>ขวัญจิรา</t>
  </si>
  <si>
    <t>มาลากอง</t>
  </si>
  <si>
    <t>สุพิมล</t>
  </si>
  <si>
    <t>พิลา</t>
  </si>
  <si>
    <t>18/12/2544</t>
  </si>
  <si>
    <t>วียะศรี</t>
  </si>
  <si>
    <t>31/10/2540</t>
  </si>
  <si>
    <t>ณัฐณิชา</t>
  </si>
  <si>
    <t>พิมภิรัตน์</t>
  </si>
  <si>
    <t>27/12/2539</t>
  </si>
  <si>
    <t>ณิชกรานต์</t>
  </si>
  <si>
    <t>โท๊ะยะ</t>
  </si>
  <si>
    <t>14/12/2540</t>
  </si>
  <si>
    <t>17/02/2541</t>
  </si>
  <si>
    <t>รุจิรา</t>
  </si>
  <si>
    <t>ดกพฤกษ์</t>
  </si>
  <si>
    <t>สุริโย</t>
  </si>
  <si>
    <t>28/12/2545</t>
  </si>
  <si>
    <t>พิมพ์พิไล</t>
  </si>
  <si>
    <t>ใจอ้าย</t>
  </si>
  <si>
    <t>19/09/2544</t>
  </si>
  <si>
    <t>วิชชากร</t>
  </si>
  <si>
    <t>อุตเถิน</t>
  </si>
  <si>
    <t>รินรดา</t>
  </si>
  <si>
    <t>สะพานแก้ว</t>
  </si>
  <si>
    <t>24/04/2545</t>
  </si>
  <si>
    <t>ยุวดี</t>
  </si>
  <si>
    <t>สินสายไหม</t>
  </si>
  <si>
    <t>ทรัพย์ปรุง</t>
  </si>
  <si>
    <t>13/10/2535</t>
  </si>
  <si>
    <t>ไทยใจอุ่น</t>
  </si>
  <si>
    <t>จารุมน</t>
  </si>
  <si>
    <t>โสภณภูมิปัญญา</t>
  </si>
  <si>
    <t>ณิชาภรณ์</t>
  </si>
  <si>
    <t>เกี๋ยงคำ</t>
  </si>
  <si>
    <t>25/05/2544</t>
  </si>
  <si>
    <t>ณัฐวีการณ์</t>
  </si>
  <si>
    <t>คำปวง</t>
  </si>
  <si>
    <t>กมลพรรณ</t>
  </si>
  <si>
    <t>ทาคำ</t>
  </si>
  <si>
    <t>พงศ์พล</t>
  </si>
  <si>
    <t>บุญวัฒนา</t>
  </si>
  <si>
    <t>โปธาแก้ว</t>
  </si>
  <si>
    <t>14/11/2543</t>
  </si>
  <si>
    <t>อริชาภัสร์</t>
  </si>
  <si>
    <t>บุญเหลา</t>
  </si>
  <si>
    <t>30/09/2542</t>
  </si>
  <si>
    <t>ศราวุธ</t>
  </si>
  <si>
    <t>ใจโอบอ้อม</t>
  </si>
  <si>
    <t>ดวงฤทัย</t>
  </si>
  <si>
    <t>วงค์จันทร์</t>
  </si>
  <si>
    <t>26/02/2543</t>
  </si>
  <si>
    <t>ดูลอย</t>
  </si>
  <si>
    <t>พรยุพรรณ</t>
  </si>
  <si>
    <t>ข้างจะงาม</t>
  </si>
  <si>
    <t>ธนัชนก</t>
  </si>
  <si>
    <t>ขันมอน</t>
  </si>
  <si>
    <t>0109073</t>
  </si>
  <si>
    <t>สรินยา</t>
  </si>
  <si>
    <t>คำมก</t>
  </si>
  <si>
    <t>0111241</t>
  </si>
  <si>
    <t>เขมิกา</t>
  </si>
  <si>
    <t>0109097</t>
  </si>
  <si>
    <t>0109114</t>
  </si>
  <si>
    <t>เกรียงวรา</t>
  </si>
  <si>
    <t>แซ่เล่า</t>
  </si>
  <si>
    <t>0109123</t>
  </si>
  <si>
    <t>18/08/2543</t>
  </si>
  <si>
    <t>บุณยาพร</t>
  </si>
  <si>
    <t>ญาณะเปียง</t>
  </si>
  <si>
    <t>0111235</t>
  </si>
  <si>
    <t>บุณยานุช</t>
  </si>
  <si>
    <t>0111240</t>
  </si>
  <si>
    <t>ต้นนาค</t>
  </si>
  <si>
    <t>0111238</t>
  </si>
  <si>
    <t>ประภัสสร</t>
  </si>
  <si>
    <t>โตกระแส</t>
  </si>
  <si>
    <t>0109128</t>
  </si>
  <si>
    <t>13/05/2546</t>
  </si>
  <si>
    <t>เกสรา</t>
  </si>
  <si>
    <t>น้อยละ</t>
  </si>
  <si>
    <t>0111236</t>
  </si>
  <si>
    <t>15/04/2547</t>
  </si>
  <si>
    <t>ณัฐรดา</t>
  </si>
  <si>
    <t>นิลละออง</t>
  </si>
  <si>
    <t>0109074</t>
  </si>
  <si>
    <t>ขวัญพร</t>
  </si>
  <si>
    <t>บัวษา</t>
  </si>
  <si>
    <t>0109084</t>
  </si>
  <si>
    <t>พิจิตรา</t>
  </si>
  <si>
    <t>บุญมี</t>
  </si>
  <si>
    <t>0109129</t>
  </si>
  <si>
    <t>ชุลีพร</t>
  </si>
  <si>
    <t>ปะเหย่</t>
  </si>
  <si>
    <t>0109086</t>
  </si>
  <si>
    <t>15/05/2543</t>
  </si>
  <si>
    <t>กุลจิรา</t>
  </si>
  <si>
    <t>พาณิชย์พิทักษ์</t>
  </si>
  <si>
    <t>0109122</t>
  </si>
  <si>
    <t>เพชรเชิดพงษ์</t>
  </si>
  <si>
    <t>0111237</t>
  </si>
  <si>
    <t>0109076</t>
  </si>
  <si>
    <t>สโรสินี</t>
  </si>
  <si>
    <t>เมฆวงค์</t>
  </si>
  <si>
    <t>0109111</t>
  </si>
  <si>
    <t>นิจจารีย์</t>
  </si>
  <si>
    <t>เลาเทาะ</t>
  </si>
  <si>
    <t>0109100</t>
  </si>
  <si>
    <t>3(4)</t>
  </si>
  <si>
    <t>ณัฐกมล</t>
  </si>
  <si>
    <t>ศรีเที่ยง</t>
  </si>
  <si>
    <t>0109085</t>
  </si>
  <si>
    <t>23/12/2545</t>
  </si>
  <si>
    <t>อารียา</t>
  </si>
  <si>
    <t>ศศิธรบำรุง</t>
  </si>
  <si>
    <t>0111239</t>
  </si>
  <si>
    <t>20/10/2546</t>
  </si>
  <si>
    <t>ส่องหล้า</t>
  </si>
  <si>
    <t>0109124</t>
  </si>
  <si>
    <t>พิมลพรรณ</t>
  </si>
  <si>
    <t>สิงณะราช</t>
  </si>
  <si>
    <t>0109108</t>
  </si>
  <si>
    <t>13/02/2522</t>
  </si>
  <si>
    <t>พัชริญา</t>
  </si>
  <si>
    <t>สิงหาทา</t>
  </si>
  <si>
    <t>0109127</t>
  </si>
  <si>
    <t>0109109</t>
  </si>
  <si>
    <t>0109099</t>
  </si>
  <si>
    <t>0109115</t>
  </si>
  <si>
    <t>0109095</t>
  </si>
  <si>
    <t>0109075</t>
  </si>
  <si>
    <t>0109083</t>
  </si>
  <si>
    <t>0109098</t>
  </si>
  <si>
    <t>0109126</t>
  </si>
  <si>
    <t>0109125</t>
  </si>
  <si>
    <t>0109130</t>
  </si>
  <si>
    <t>0109131</t>
  </si>
  <si>
    <t>0109132</t>
  </si>
  <si>
    <t>กนิษฐา</t>
  </si>
  <si>
    <t>ราชชมภู</t>
  </si>
  <si>
    <t>สท50305</t>
  </si>
  <si>
    <t>จุฑาทิพย์</t>
  </si>
  <si>
    <t>เมืองหมอกงาม</t>
  </si>
  <si>
    <t>สท50702</t>
  </si>
  <si>
    <t>เพิ่มเลขตน.ชั่วคราว เพื่อรอเข้ารายเดือน 9 เลข นับคนถึงวันที่ 010469</t>
  </si>
  <si>
    <t>14/09/2546</t>
  </si>
  <si>
    <t>ณัฐชฎลภ์</t>
  </si>
  <si>
    <t>อินทนนท์</t>
  </si>
  <si>
    <t>สท50701</t>
  </si>
  <si>
    <t>ลาออก 1/9/69 เพิ่มเลขตน.ชั่วคราว เพื่อรอเข้ารายเดือน 9 เลข นับคนถึงวันที่ 010469</t>
  </si>
  <si>
    <t>ทิพรดา</t>
  </si>
  <si>
    <t>จะหละ</t>
  </si>
  <si>
    <t>สท50502</t>
  </si>
  <si>
    <t>19/10/2546</t>
  </si>
  <si>
    <t>ธนัญญา</t>
  </si>
  <si>
    <t>แซ่พู่</t>
  </si>
  <si>
    <t>สท20301</t>
  </si>
  <si>
    <t>ธัญพิชชา</t>
  </si>
  <si>
    <t>ปะสี</t>
  </si>
  <si>
    <t>สท50306</t>
  </si>
  <si>
    <t>คำตั๋น</t>
  </si>
  <si>
    <t>สท51301</t>
  </si>
  <si>
    <t>เบญจวรรณ</t>
  </si>
  <si>
    <t>ไพรประสิทธิผล</t>
  </si>
  <si>
    <t>สท50901</t>
  </si>
  <si>
    <t>ธิโน</t>
  </si>
  <si>
    <t>สท50801</t>
  </si>
  <si>
    <t>31/01/2546</t>
  </si>
  <si>
    <t>ปาริชาติ</t>
  </si>
  <si>
    <t>สท50103</t>
  </si>
  <si>
    <t>ใจยะธรรม</t>
  </si>
  <si>
    <t>สท50401</t>
  </si>
  <si>
    <t>22/04/2546</t>
  </si>
  <si>
    <t>ภัทรนันท์</t>
  </si>
  <si>
    <t>จีวรงคกุล</t>
  </si>
  <si>
    <t>สท50601</t>
  </si>
  <si>
    <t>โยษิตา</t>
  </si>
  <si>
    <t>วงค์วัน</t>
  </si>
  <si>
    <t>สท50704</t>
  </si>
  <si>
    <t>วรินทร</t>
  </si>
  <si>
    <t>อนุกุล</t>
  </si>
  <si>
    <t>สท50302</t>
  </si>
  <si>
    <t>เพิ่มเลขตน.ขั่วคราว เพื่อรอยุบเลขรายวัน</t>
  </si>
  <si>
    <t>ศนิดา</t>
  </si>
  <si>
    <t>หว่างป่อ</t>
  </si>
  <si>
    <t>สท50501</t>
  </si>
  <si>
    <t>29/06/2545</t>
  </si>
  <si>
    <t>ศลิษา</t>
  </si>
  <si>
    <t>สกุลจันทร์งาม</t>
  </si>
  <si>
    <t>สท50201</t>
  </si>
  <si>
    <t>ศิริทร</t>
  </si>
  <si>
    <t>สท50301</t>
  </si>
  <si>
    <t>สรัสวัลญ์</t>
  </si>
  <si>
    <t>สุนันต๊ะ</t>
  </si>
  <si>
    <t>สท50705</t>
  </si>
  <si>
    <t>เพิ่มเลขตน.ขั่วคราว ผ่านCHROP เพื่อรอยุบเลขรายวัน</t>
  </si>
  <si>
    <t>สะอาดทิพย์</t>
  </si>
  <si>
    <t>โพธิ์ทอง</t>
  </si>
  <si>
    <t>สท50202</t>
  </si>
  <si>
    <t>สุภัสสร</t>
  </si>
  <si>
    <t>ขาวงาม</t>
  </si>
  <si>
    <t>สท51703</t>
  </si>
  <si>
    <t>อรจิรา</t>
  </si>
  <si>
    <t>ลินทะจะกะ</t>
  </si>
  <si>
    <t>สท50307</t>
  </si>
  <si>
    <t>17/01/2547</t>
  </si>
  <si>
    <t>กชนิภา</t>
  </si>
  <si>
    <t>แก้วหน้อย</t>
  </si>
  <si>
    <t>14/03/2540</t>
  </si>
  <si>
    <t>ขวัญลดา</t>
  </si>
  <si>
    <t>สานทรายคำ</t>
  </si>
  <si>
    <t>ภัทริยาวรรณ</t>
  </si>
  <si>
    <t>เวียงลอ</t>
  </si>
  <si>
    <t>แพทย์แผนจีน</t>
  </si>
  <si>
    <t>แพทย์แผนไทย/จพ.สาธารณสุข(อายุเวท)/แพทย์แผนจีน</t>
  </si>
  <si>
    <t>สท20201</t>
  </si>
  <si>
    <t>กฤษณพล</t>
  </si>
  <si>
    <t>บอกบุญ</t>
  </si>
  <si>
    <t>แพทย์แผนไทย</t>
  </si>
  <si>
    <t>20/07/2541</t>
  </si>
  <si>
    <t>ธนิษฐ์นันท์</t>
  </si>
  <si>
    <t>เทียมเมือง</t>
  </si>
  <si>
    <t>พนิตพิมพ์</t>
  </si>
  <si>
    <t>0109072</t>
  </si>
  <si>
    <t>14/11/2538</t>
  </si>
  <si>
    <t>สร้อยเพชร</t>
  </si>
  <si>
    <t>วงศ์วาลย์</t>
  </si>
  <si>
    <t>25/02/2515</t>
  </si>
  <si>
    <t>พรรณนา</t>
  </si>
  <si>
    <t>ดวงสุวรรณ์</t>
  </si>
  <si>
    <t>เภสัชกร</t>
  </si>
  <si>
    <t>ด้านเภสัชกรรมคลินิก</t>
  </si>
  <si>
    <t>หัวหน้ากลุ่มงานเภสัชกรรม</t>
  </si>
  <si>
    <t>ทัณฑิกา</t>
  </si>
  <si>
    <t>คณะนัย</t>
  </si>
  <si>
    <t>18/04/2518</t>
  </si>
  <si>
    <t>อินทจักร์</t>
  </si>
  <si>
    <t>ดาววี</t>
  </si>
  <si>
    <t>31/10/2518</t>
  </si>
  <si>
    <t>ณัฎฐกานต์</t>
  </si>
  <si>
    <t>ชรินทร์รัตน์</t>
  </si>
  <si>
    <t>ทานศิลา</t>
  </si>
  <si>
    <t>ชโนรัช</t>
  </si>
  <si>
    <t>สุวรรณเวทิน</t>
  </si>
  <si>
    <t>ฑัณฑิกา</t>
  </si>
  <si>
    <t>ศรสูงเนิน</t>
  </si>
  <si>
    <t>ทิพย์สุดา</t>
  </si>
  <si>
    <t>เปรมภูติ</t>
  </si>
  <si>
    <t>เกิดผลวัฒนา</t>
  </si>
  <si>
    <t>23/11/2520</t>
  </si>
  <si>
    <t>สมจินตนา</t>
  </si>
  <si>
    <t>เปี่ยมอนันต์</t>
  </si>
  <si>
    <t>21/02/2521</t>
  </si>
  <si>
    <t>โชติมณี</t>
  </si>
  <si>
    <t>คูณรังษีสมบูรณ์</t>
  </si>
  <si>
    <t>21/04/2530</t>
  </si>
  <si>
    <t>อาจารี</t>
  </si>
  <si>
    <t>วิทยผดุง</t>
  </si>
  <si>
    <t>22/01/2526</t>
  </si>
  <si>
    <t>กาวิละ</t>
  </si>
  <si>
    <t>ปิยะพร</t>
  </si>
  <si>
    <t>สุวรรณราช</t>
  </si>
  <si>
    <t>31/07/2530</t>
  </si>
  <si>
    <t>ขวัญซนก</t>
  </si>
  <si>
    <t>วรพงษ์</t>
  </si>
  <si>
    <t>เหมือนศิริ</t>
  </si>
  <si>
    <t>15/09/2531</t>
  </si>
  <si>
    <t>ธนกร</t>
  </si>
  <si>
    <t>อภิญญาเวศพร</t>
  </si>
  <si>
    <t>16/05/2531</t>
  </si>
  <si>
    <t>ปิยะพรรณ</t>
  </si>
  <si>
    <t>เมธาวิเศษสวัสดิ์</t>
  </si>
  <si>
    <t>มณฑินี</t>
  </si>
  <si>
    <t>ชมมณฑา</t>
  </si>
  <si>
    <t>14/01/2537</t>
  </si>
  <si>
    <t>นลินี</t>
  </si>
  <si>
    <t>แก้วทอง</t>
  </si>
  <si>
    <t>รพ.สารภี</t>
  </si>
  <si>
    <t>26/12/2530</t>
  </si>
  <si>
    <t>สุนารี</t>
  </si>
  <si>
    <t>ย่านสากล</t>
  </si>
  <si>
    <t>17/09/2539</t>
  </si>
  <si>
    <t>สท41901</t>
  </si>
  <si>
    <t>14/01/2545</t>
  </si>
  <si>
    <t>สท41902</t>
  </si>
  <si>
    <t>สท41905</t>
  </si>
  <si>
    <t xml:space="preserve">พรภวิษย์ </t>
  </si>
  <si>
    <t>จงมั่นจิตร</t>
  </si>
  <si>
    <t>วิศวกรโยธา</t>
  </si>
  <si>
    <t>วิศวกรโยธา/เครื่องกล/ไฟฟ้า/สิ่งแวดล้อม/ชีวการแพทย์</t>
  </si>
  <si>
    <t>0109936</t>
  </si>
  <si>
    <t>22/04/2542</t>
  </si>
  <si>
    <t>สุทธินันท์</t>
  </si>
  <si>
    <t>หมื่นคิด</t>
  </si>
  <si>
    <t>ปฏิิบัติการ</t>
  </si>
  <si>
    <t>กลุ่มงานส่งเสริมป้องกันควบคุมโรค</t>
  </si>
  <si>
    <t>รพ.สต.บ้านสันทราย ต.แม่ฮ้อยเงิน สสอ.ดอยสะเก็ด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</si>
</sst>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mm/dd/yyyy"/>
  </numFmts>
  <fonts count="35">
    <font>
      <sz val="11.0"/>
      <color theme="1"/>
      <name val="Arial"/>
      <scheme val="minor"/>
    </font>
    <font>
      <u/>
      <sz val="36.0"/>
      <color rgb="FF9F545C"/>
    </font>
    <font>
      <color theme="1"/>
      <name val="Arial"/>
      <scheme val="minor"/>
    </font>
    <font>
      <sz val="23.0"/>
      <color theme="1"/>
      <name val="Sarabun"/>
    </font>
    <font>
      <sz val="10.0"/>
      <color rgb="FF333399"/>
      <name val="Tahoma"/>
    </font>
    <font>
      <sz val="18.0"/>
      <color theme="1"/>
      <name val="Noto Sans Thai"/>
    </font>
    <font>
      <sz val="16.0"/>
      <color theme="1"/>
      <name val="Sarabun"/>
    </font>
    <font>
      <sz val="12.0"/>
      <color theme="1"/>
      <name val="Sarabun"/>
    </font>
    <font>
      <sz val="14.0"/>
      <color theme="1"/>
      <name val="Sarabun"/>
    </font>
    <font>
      <sz val="16.0"/>
      <color rgb="FF000000"/>
      <name val="Sarabun"/>
    </font>
    <font>
      <sz val="16.0"/>
      <color theme="9"/>
      <name val="Sarabun"/>
    </font>
    <font>
      <b/>
      <color theme="1"/>
      <name val="Arial"/>
      <scheme val="minor"/>
    </font>
    <font>
      <sz val="16.0"/>
      <color theme="1"/>
      <name val="&quot;TH Sarabun New&quot;"/>
    </font>
    <font>
      <sz val="12.0"/>
      <color theme="1"/>
      <name val="&quot;TH Sarabun New&quot;"/>
    </font>
    <font>
      <sz val="14.0"/>
      <color theme="1"/>
      <name val="&quot;TH Sarabun New&quot;"/>
    </font>
    <font>
      <sz val="16.0"/>
      <color theme="1"/>
      <name val="Arial"/>
    </font>
    <font>
      <sz val="16.0"/>
      <color rgb="FF70AD47"/>
      <name val="Arial"/>
    </font>
    <font>
      <sz val="16.0"/>
      <color rgb="FFC00000"/>
      <name val="Sarabun"/>
    </font>
    <font>
      <sz val="16.0"/>
      <color rgb="FFFF0000"/>
      <name val="Sarabun"/>
    </font>
    <font>
      <sz val="12.0"/>
      <color rgb="FFFF0000"/>
      <name val="Sarabun"/>
    </font>
    <font>
      <sz val="14.0"/>
      <color rgb="FFFF0000"/>
      <name val="Sarabun"/>
    </font>
    <font>
      <sz val="16.0"/>
      <color rgb="FF344846"/>
      <name val="Sarabun"/>
    </font>
    <font>
      <sz val="16.0"/>
      <color rgb="FF70AD47"/>
      <name val="&quot;TH Sarabun New&quot;"/>
    </font>
    <font>
      <sz val="10.0"/>
      <color rgb="FF000000"/>
      <name val="Tahoma"/>
    </font>
    <font>
      <sz val="16.0"/>
      <color theme="7"/>
      <name val="Sarabun"/>
    </font>
    <font>
      <sz val="15.0"/>
      <color theme="1"/>
      <name val="Sarabun"/>
    </font>
    <font>
      <sz val="14.0"/>
      <color rgb="FF000000"/>
      <name val="Sarabun"/>
    </font>
    <font>
      <sz val="12.0"/>
      <color rgb="FF000000"/>
      <name val="Sarabun"/>
    </font>
    <font>
      <sz val="16.0"/>
      <color rgb="FF434343"/>
      <name val="Sarabun"/>
    </font>
    <font>
      <sz val="12.0"/>
      <color rgb="FF434343"/>
      <name val="Sarabun"/>
    </font>
    <font>
      <sz val="14.0"/>
      <color rgb="FF434343"/>
      <name val="Sarabun"/>
    </font>
    <font>
      <sz val="16.0"/>
      <color theme="4"/>
      <name val="Sarabun"/>
    </font>
    <font>
      <sz val="16.0"/>
      <color rgb="FF1F3864"/>
      <name val="Sarabun"/>
    </font>
    <font>
      <sz val="16.0"/>
      <color rgb="FF46BDC6"/>
      <name val="Sarabun"/>
    </font>
    <font>
      <sz val="16.0"/>
      <color rgb="FF3862B5"/>
      <name val="Sarabun"/>
    </font>
  </fonts>
  <fills count="16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E5E5E5"/>
        <bgColor rgb="FFE5E5E5"/>
      </patternFill>
    </fill>
    <fill>
      <patternFill patternType="solid">
        <fgColor rgb="FFF6F8F9"/>
        <bgColor rgb="FFF6F8F9"/>
      </patternFill>
    </fill>
    <fill>
      <patternFill patternType="solid">
        <fgColor theme="8"/>
        <bgColor theme="8"/>
      </patternFill>
    </fill>
    <fill>
      <patternFill patternType="solid">
        <fgColor rgb="FFF4CCCC"/>
        <bgColor rgb="FFF4CCCC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top style="thin">
        <color rgb="FF356854"/>
      </top>
    </border>
    <border>
      <right style="thin">
        <color rgb="FF356854"/>
      </right>
      <top style="thin">
        <color rgb="FF356854"/>
      </top>
    </border>
    <border>
      <right style="thin">
        <color rgb="FF356854"/>
      </right>
    </border>
    <border>
      <left/>
      <right/>
      <top/>
      <bottom/>
    </border>
    <border>
      <bottom style="thin">
        <color rgb="FF356854"/>
      </bottom>
    </border>
    <border>
      <right style="thin">
        <color rgb="FF356854"/>
      </right>
      <bottom style="thin">
        <color rgb="FF356854"/>
      </bottom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1" fillId="2" fontId="4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ill="1" applyFont="1">
      <alignment horizontal="left" shrinkToFit="0" vertical="top" wrapText="1"/>
    </xf>
    <xf borderId="0" fillId="0" fontId="5" numFmtId="0" xfId="0" applyAlignment="1" applyFont="1">
      <alignment readingOrder="0" vertical="center"/>
    </xf>
    <xf borderId="1" fillId="3" fontId="4" numFmtId="14" xfId="0" applyAlignment="1" applyBorder="1" applyFill="1" applyFont="1" applyNumberFormat="1">
      <alignment horizontal="left" shrinkToFit="0" vertical="top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6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2" fillId="4" fontId="9" numFmtId="49" xfId="0" applyAlignment="1" applyBorder="1" applyFill="1" applyFont="1" applyNumberFormat="1">
      <alignment horizontal="left" readingOrder="0" shrinkToFit="0" vertical="center" wrapText="0"/>
    </xf>
    <xf borderId="3" fillId="4" fontId="9" numFmtId="49" xfId="0" applyAlignment="1" applyBorder="1" applyFill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quotePrefix="1"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right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3" fontId="9" numFmtId="0" xfId="0" applyAlignment="1" applyFill="1" applyFont="1">
      <alignment horizontal="center" readingOrder="0" shrinkToFit="0" vertical="center" wrapText="0"/>
    </xf>
    <xf borderId="4" fillId="3" fontId="9" numFmtId="0" xfId="0" applyAlignment="1" applyBorder="1" applyFill="1" applyFont="1">
      <alignment horizontal="center" readingOrder="0" shrinkToFit="0" vertical="center" wrapText="0"/>
    </xf>
    <xf borderId="0" fillId="5" fontId="11" numFmtId="0" xfId="0" applyFill="1" applyFont="1"/>
    <xf borderId="0" fillId="0" fontId="2" numFmtId="0" xfId="0" applyFont="1"/>
    <xf borderId="0" fillId="6" fontId="9" numFmtId="0" xfId="0" applyAlignment="1" applyFill="1" applyFont="1">
      <alignment horizontal="center" readingOrder="0" shrinkToFit="0" vertical="center" wrapText="0"/>
    </xf>
    <xf borderId="4" fillId="6" fontId="9" numFmtId="0" xfId="0" applyAlignment="1" applyBorder="1" applyFill="1" applyFont="1">
      <alignment horizontal="center" readingOrder="0" shrinkToFit="0" vertical="center" wrapText="0"/>
    </xf>
    <xf borderId="4" fillId="6" fontId="9" numFmtId="165" xfId="0" applyAlignment="1" applyBorder="1" applyFill="1" applyFont="1" applyNumberFormat="1">
      <alignment horizontal="center" readingOrder="0" shrinkToFit="0" vertical="center" wrapText="0"/>
    </xf>
    <xf borderId="4" fillId="3" fontId="9" numFmtId="166" xfId="0" applyAlignment="1" applyBorder="1" applyFill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6" fontId="9" numFmtId="166" xfId="0" applyAlignment="1" applyBorder="1" applyFill="1" applyFont="1" applyNumberFormat="1">
      <alignment horizontal="center" readingOrder="0" shrinkToFit="0" vertical="center" wrapText="0"/>
    </xf>
    <xf borderId="0" fillId="0" fontId="11" numFmtId="0" xfId="0" applyAlignment="1" applyFont="1">
      <alignment readingOrder="0"/>
    </xf>
    <xf borderId="0" fillId="3" fontId="9" numFmtId="0" xfId="0" applyAlignment="1" applyFill="1" applyFont="1">
      <alignment horizontal="center" shrinkToFit="0" vertical="center" wrapText="0"/>
    </xf>
    <xf borderId="4" fillId="3" fontId="9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center" wrapText="0"/>
    </xf>
    <xf borderId="4" fillId="3" fontId="9" numFmtId="165" xfId="0" applyAlignment="1" applyBorder="1" applyFill="1" applyFont="1" applyNumberFormat="1">
      <alignment horizontal="center" readingOrder="0" shrinkToFit="0" vertical="center" wrapText="0"/>
    </xf>
    <xf borderId="0" fillId="6" fontId="9" numFmtId="0" xfId="0" applyAlignment="1" applyFill="1" applyFont="1">
      <alignment horizontal="center" shrinkToFit="0" vertical="center" wrapText="0"/>
    </xf>
    <xf borderId="4" fillId="6" fontId="9" numFmtId="0" xfId="0" applyAlignment="1" applyBorder="1" applyFill="1" applyFont="1">
      <alignment horizontal="center" shrinkToFit="0" vertical="center" wrapText="0"/>
    </xf>
    <xf borderId="0" fillId="7" fontId="6" numFmtId="0" xfId="0" applyAlignment="1" applyFill="1" applyFont="1">
      <alignment horizontal="right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8" fontId="9" numFmtId="0" xfId="0" applyAlignment="1" applyFill="1" applyFont="1">
      <alignment horizontal="center" shrinkToFit="0" vertical="center" wrapText="0"/>
    </xf>
    <xf borderId="4" fillId="8" fontId="9" numFmtId="0" xfId="0" applyAlignment="1" applyBorder="1" applyFill="1" applyFont="1">
      <alignment horizontal="center" shrinkToFit="0" vertical="center" wrapText="0"/>
    </xf>
    <xf borderId="0" fillId="8" fontId="9" numFmtId="0" xfId="0" applyAlignment="1" applyFill="1" applyFont="1">
      <alignment horizontal="center" readingOrder="0" shrinkToFit="0" vertical="center" wrapText="0"/>
    </xf>
    <xf borderId="4" fillId="8" fontId="9" numFmtId="165" xfId="0" applyAlignment="1" applyBorder="1" applyFill="1" applyFont="1" applyNumberFormat="1">
      <alignment horizontal="center" readingOrder="0" shrinkToFit="0" vertical="center" wrapText="0"/>
    </xf>
    <xf borderId="4" fillId="8" fontId="9" numFmtId="166" xfId="0" applyAlignment="1" applyBorder="1" applyFill="1" applyFont="1" applyNumberForma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right" shrinkToFit="0" vertical="center" wrapText="0"/>
    </xf>
    <xf borderId="0" fillId="0" fontId="18" numFmtId="0" xfId="0" applyAlignment="1" applyFont="1">
      <alignment horizontal="center" readingOrder="0" shrinkToFit="0" vertical="center" wrapText="0"/>
    </xf>
    <xf borderId="5" fillId="0" fontId="6" numFmtId="0" xfId="0" applyAlignment="1" applyBorder="1" applyFont="1">
      <alignment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5" fillId="0" fontId="10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right" shrinkToFit="0" vertical="center" wrapText="0"/>
    </xf>
    <xf borderId="0" fillId="9" fontId="6" numFmtId="0" xfId="0" applyAlignment="1" applyFill="1" applyFont="1">
      <alignment shrinkToFit="0" vertical="center" wrapText="0"/>
    </xf>
    <xf borderId="0" fillId="9" fontId="7" numFmtId="0" xfId="0" applyAlignment="1" applyFill="1" applyFont="1">
      <alignment horizontal="center" shrinkToFit="0" vertical="center" wrapText="0"/>
    </xf>
    <xf borderId="0" fillId="9" fontId="8" numFmtId="0" xfId="0" applyAlignment="1" applyFill="1" applyFont="1">
      <alignment horizontal="center" shrinkToFit="0" vertical="center" wrapText="0"/>
    </xf>
    <xf borderId="0" fillId="9" fontId="6" numFmtId="0" xfId="0" applyAlignment="1" applyFill="1" applyFont="1">
      <alignment horizontal="center" shrinkToFit="0" vertical="center" wrapText="0"/>
    </xf>
    <xf borderId="0" fillId="9" fontId="6" numFmtId="0" xfId="0" applyAlignment="1" applyFill="1" applyFont="1">
      <alignment horizontal="left" shrinkToFit="0" vertical="center" wrapText="0"/>
    </xf>
    <xf borderId="0" fillId="9" fontId="6" numFmtId="0" xfId="0" applyAlignment="1" applyFill="1" applyFont="1">
      <alignment horizontal="right" shrinkToFit="0" vertical="center" wrapText="0"/>
    </xf>
    <xf borderId="0" fillId="9" fontId="6" numFmtId="0" xfId="0" applyAlignment="1" applyFill="1" applyFont="1">
      <alignment horizontal="center" readingOrder="0"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9" fontId="10" numFmtId="0" xfId="0" applyAlignment="1" applyFill="1" applyFont="1">
      <alignment horizontal="center" shrinkToFit="0" vertical="center" wrapText="0"/>
    </xf>
    <xf borderId="0" fillId="9" fontId="6" numFmtId="0" xfId="0" applyAlignment="1" applyFill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left" readingOrder="0" shrinkToFit="0" vertical="center" wrapText="0"/>
    </xf>
    <xf borderId="5" fillId="0" fontId="19" numFmtId="0" xfId="0" applyAlignment="1" applyBorder="1" applyFont="1">
      <alignment horizontal="center" shrinkToFit="0" vertical="center" wrapText="0"/>
    </xf>
    <xf borderId="5" fillId="0" fontId="18" numFmtId="0" xfId="0" applyAlignment="1" applyBorder="1" applyFont="1">
      <alignment horizontal="center" shrinkToFit="0" vertical="center" wrapText="0"/>
    </xf>
    <xf borderId="5" fillId="0" fontId="18" numFmtId="0" xfId="0" applyAlignment="1" applyBorder="1" applyFont="1">
      <alignment shrinkToFit="0" vertical="center" wrapText="0"/>
    </xf>
    <xf quotePrefix="1" borderId="0" fillId="0" fontId="6" numFmtId="0" xfId="0" applyAlignment="1" applyFont="1">
      <alignment horizontal="center" shrinkToFit="0" vertical="center" wrapText="0"/>
    </xf>
    <xf borderId="0" fillId="10" fontId="6" numFmtId="0" xfId="0" applyAlignment="1" applyFill="1" applyFont="1">
      <alignment shrinkToFit="0" vertical="center" wrapText="0"/>
    </xf>
    <xf borderId="0" fillId="10" fontId="7" numFmtId="0" xfId="0" applyAlignment="1" applyFill="1" applyFont="1">
      <alignment horizontal="center" shrinkToFit="0" vertical="center" wrapText="0"/>
    </xf>
    <xf borderId="0" fillId="10" fontId="8" numFmtId="0" xfId="0" applyAlignment="1" applyFill="1" applyFont="1">
      <alignment horizontal="center" shrinkToFit="0" vertical="center" wrapText="0"/>
    </xf>
    <xf borderId="0" fillId="10" fontId="6" numFmtId="0" xfId="0" applyAlignment="1" applyFill="1" applyFont="1">
      <alignment horizontal="center" shrinkToFit="0" vertical="center" wrapText="0"/>
    </xf>
    <xf borderId="0" fillId="10" fontId="10" numFmtId="0" xfId="0" applyAlignment="1" applyFill="1" applyFont="1">
      <alignment horizontal="center" shrinkToFit="0" vertical="center" wrapText="0"/>
    </xf>
    <xf borderId="0" fillId="10" fontId="6" numFmtId="0" xfId="0" applyAlignment="1" applyFill="1" applyFont="1">
      <alignment horizontal="right" shrinkToFit="0" vertical="center" wrapText="0"/>
    </xf>
    <xf borderId="0" fillId="10" fontId="6" numFmtId="0" xfId="0" applyAlignment="1" applyFill="1" applyFont="1">
      <alignment horizontal="center" readingOrder="0" shrinkToFit="0" vertical="center" wrapText="0"/>
    </xf>
    <xf borderId="0" fillId="10" fontId="17" numFmtId="0" xfId="0" applyAlignment="1" applyFill="1" applyFont="1">
      <alignment horizontal="center" shrinkToFit="0" vertical="center" wrapText="0"/>
    </xf>
    <xf borderId="5" fillId="10" fontId="6" numFmtId="0" xfId="0" applyAlignment="1" applyBorder="1" applyFill="1" applyFont="1">
      <alignment shrinkToFit="0" vertical="center" wrapText="0"/>
    </xf>
    <xf borderId="5" fillId="10" fontId="7" numFmtId="0" xfId="0" applyAlignment="1" applyBorder="1" applyFill="1" applyFont="1">
      <alignment horizontal="center" shrinkToFit="0" vertical="center" wrapText="0"/>
    </xf>
    <xf borderId="5" fillId="10" fontId="8" numFmtId="0" xfId="0" applyAlignment="1" applyBorder="1" applyFill="1" applyFont="1">
      <alignment horizontal="center" shrinkToFit="0" vertical="center" wrapText="0"/>
    </xf>
    <xf borderId="5" fillId="10" fontId="6" numFmtId="0" xfId="0" applyAlignment="1" applyBorder="1" applyFill="1" applyFont="1">
      <alignment horizontal="center" shrinkToFit="0" vertical="center" wrapText="0"/>
    </xf>
    <xf borderId="5" fillId="10" fontId="10" numFmtId="0" xfId="0" applyAlignment="1" applyBorder="1" applyFill="1" applyFont="1">
      <alignment horizontal="center" shrinkToFit="0" vertical="center" wrapText="0"/>
    </xf>
    <xf borderId="5" fillId="10" fontId="6" numFmtId="0" xfId="0" applyAlignment="1" applyBorder="1" applyFill="1" applyFont="1">
      <alignment horizontal="right" shrinkToFit="0" vertical="center" wrapText="0"/>
    </xf>
    <xf borderId="5" fillId="9" fontId="6" numFmtId="0" xfId="0" applyAlignment="1" applyBorder="1" applyFill="1" applyFont="1">
      <alignment shrinkToFit="0" vertical="center" wrapText="0"/>
    </xf>
    <xf borderId="5" fillId="9" fontId="7" numFmtId="0" xfId="0" applyAlignment="1" applyBorder="1" applyFill="1" applyFont="1">
      <alignment horizontal="center" shrinkToFit="0" vertical="center" wrapText="0"/>
    </xf>
    <xf borderId="5" fillId="9" fontId="8" numFmtId="0" xfId="0" applyAlignment="1" applyBorder="1" applyFill="1" applyFont="1">
      <alignment horizontal="center" shrinkToFit="0" vertical="center" wrapText="0"/>
    </xf>
    <xf borderId="5" fillId="9" fontId="6" numFmtId="0" xfId="0" applyAlignment="1" applyBorder="1" applyFill="1" applyFont="1">
      <alignment horizontal="center" shrinkToFit="0" vertical="center" wrapText="0"/>
    </xf>
    <xf borderId="5" fillId="9" fontId="6" numFmtId="0" xfId="0" applyAlignment="1" applyBorder="1" applyFill="1" applyFont="1">
      <alignment horizontal="right" shrinkToFit="0" vertical="center" wrapText="0"/>
    </xf>
    <xf borderId="5" fillId="10" fontId="6" numFmtId="0" xfId="0" applyAlignment="1" applyBorder="1" applyFill="1" applyFont="1">
      <alignment readingOrder="0" shrinkToFit="0" vertical="center" wrapText="0"/>
    </xf>
    <xf borderId="5" fillId="10" fontId="8" numFmtId="0" xfId="0" applyAlignment="1" applyBorder="1" applyFill="1" applyFont="1">
      <alignment horizontal="center" readingOrder="0" shrinkToFit="0" vertical="center" wrapText="0"/>
    </xf>
    <xf borderId="5" fillId="11" fontId="6" numFmtId="0" xfId="0" applyAlignment="1" applyBorder="1" applyFill="1" applyFont="1">
      <alignment shrinkToFit="0" vertical="center" wrapText="0"/>
    </xf>
    <xf borderId="5" fillId="11" fontId="7" numFmtId="0" xfId="0" applyAlignment="1" applyBorder="1" applyFill="1" applyFont="1">
      <alignment horizontal="center" shrinkToFit="0" vertical="center" wrapText="0"/>
    </xf>
    <xf borderId="5" fillId="11" fontId="8" numFmtId="0" xfId="0" applyAlignment="1" applyBorder="1" applyFill="1" applyFont="1">
      <alignment horizontal="center" shrinkToFit="0" vertical="center" wrapText="0"/>
    </xf>
    <xf borderId="5" fillId="11" fontId="6" numFmtId="0" xfId="0" applyAlignment="1" applyBorder="1" applyFill="1" applyFont="1">
      <alignment horizontal="center" shrinkToFit="0" vertical="center" wrapText="0"/>
    </xf>
    <xf borderId="5" fillId="11" fontId="10" numFmtId="0" xfId="0" applyAlignment="1" applyBorder="1" applyFill="1" applyFont="1">
      <alignment horizontal="center" shrinkToFit="0" vertical="center" wrapText="0"/>
    </xf>
    <xf borderId="5" fillId="9" fontId="17" numFmtId="0" xfId="0" applyAlignment="1" applyBorder="1" applyFill="1" applyFont="1">
      <alignment shrinkToFit="0" vertical="center" wrapText="0"/>
    </xf>
    <xf borderId="5" fillId="11" fontId="23" numFmtId="0" xfId="0" applyAlignment="1" applyBorder="1" applyFill="1" applyFont="1">
      <alignment shrinkToFit="0" vertical="center" wrapText="0"/>
    </xf>
    <xf borderId="5" fillId="11" fontId="6" numFmtId="0" xfId="0" applyAlignment="1" applyBorder="1" applyFill="1" applyFont="1">
      <alignment horizontal="right" shrinkToFit="0" vertical="center" wrapText="0"/>
    </xf>
    <xf borderId="0" fillId="11" fontId="6" numFmtId="0" xfId="0" applyAlignment="1" applyFill="1" applyFont="1">
      <alignment horizontal="center" readingOrder="0" shrinkToFit="0" vertical="center" wrapText="0"/>
    </xf>
    <xf borderId="5" fillId="0" fontId="6" numFmtId="0" xfId="0" applyAlignment="1" applyBorder="1" applyFont="1">
      <alignment horizontal="center" readingOrder="0" shrinkToFit="0" vertical="center" wrapText="0"/>
    </xf>
    <xf borderId="5" fillId="12" fontId="6" numFmtId="0" xfId="0" applyAlignment="1" applyBorder="1" applyFill="1" applyFont="1">
      <alignment shrinkToFit="0" vertical="center" wrapText="0"/>
    </xf>
    <xf borderId="5" fillId="12" fontId="7" numFmtId="0" xfId="0" applyAlignment="1" applyBorder="1" applyFill="1" applyFont="1">
      <alignment horizontal="center" shrinkToFit="0" vertical="center" wrapText="0"/>
    </xf>
    <xf borderId="5" fillId="12" fontId="8" numFmtId="0" xfId="0" applyAlignment="1" applyBorder="1" applyFill="1" applyFont="1">
      <alignment horizontal="center" shrinkToFit="0" vertical="center" wrapText="0"/>
    </xf>
    <xf borderId="5" fillId="12" fontId="6" numFmtId="0" xfId="0" applyAlignment="1" applyBorder="1" applyFill="1" applyFont="1">
      <alignment horizontal="center" shrinkToFit="0" vertical="center" wrapText="0"/>
    </xf>
    <xf borderId="5" fillId="12" fontId="10" numFmtId="0" xfId="0" applyAlignment="1" applyBorder="1" applyFill="1" applyFont="1">
      <alignment horizontal="center" shrinkToFit="0" vertical="center" wrapText="0"/>
    </xf>
    <xf quotePrefix="1" borderId="5" fillId="12" fontId="6" numFmtId="0" xfId="0" applyAlignment="1" applyBorder="1" applyFill="1" applyFont="1">
      <alignment horizontal="center" shrinkToFit="0" vertical="center" wrapText="0"/>
    </xf>
    <xf quotePrefix="1" borderId="5" fillId="11" fontId="6" numFmtId="0" xfId="0" applyAlignment="1" applyBorder="1" applyFill="1" applyFont="1">
      <alignment horizontal="center" shrinkToFit="0" vertical="center" wrapText="0"/>
    </xf>
    <xf borderId="0" fillId="12" fontId="6" numFmtId="0" xfId="0" applyAlignment="1" applyFill="1" applyFont="1">
      <alignment horizontal="center" readingOrder="0" shrinkToFit="0" vertical="center" wrapText="0"/>
    </xf>
    <xf borderId="5" fillId="13" fontId="6" numFmtId="0" xfId="0" applyAlignment="1" applyBorder="1" applyFill="1" applyFont="1">
      <alignment shrinkToFit="0" vertical="center" wrapText="0"/>
    </xf>
    <xf borderId="5" fillId="13" fontId="7" numFmtId="0" xfId="0" applyAlignment="1" applyBorder="1" applyFill="1" applyFont="1">
      <alignment horizontal="center" shrinkToFit="0" vertical="center" wrapText="0"/>
    </xf>
    <xf borderId="5" fillId="13" fontId="8" numFmtId="0" xfId="0" applyAlignment="1" applyBorder="1" applyFill="1" applyFont="1">
      <alignment horizontal="center" shrinkToFit="0" vertical="center" wrapText="0"/>
    </xf>
    <xf borderId="5" fillId="13" fontId="6" numFmtId="0" xfId="0" applyAlignment="1" applyBorder="1" applyFill="1" applyFont="1">
      <alignment horizontal="center" shrinkToFit="0" vertical="center" wrapText="0"/>
    </xf>
    <xf borderId="5" fillId="13" fontId="10" numFmtId="0" xfId="0" applyAlignment="1" applyBorder="1" applyFill="1" applyFont="1">
      <alignment horizontal="center" shrinkToFit="0" vertical="center" wrapText="0"/>
    </xf>
    <xf borderId="5" fillId="13" fontId="6" numFmtId="0" xfId="0" applyAlignment="1" applyBorder="1" applyFill="1" applyFont="1">
      <alignment horizontal="right" shrinkToFit="0" vertical="center" wrapText="0"/>
    </xf>
    <xf borderId="0" fillId="13" fontId="6" numFmtId="0" xfId="0" applyAlignment="1" applyFill="1" applyFont="1">
      <alignment horizontal="center" readingOrder="0" shrinkToFit="0" vertical="center" wrapText="0"/>
    </xf>
    <xf quotePrefix="1" borderId="5" fillId="9" fontId="6" numFmtId="0" xfId="0" applyAlignment="1" applyBorder="1" applyFill="1" applyFont="1">
      <alignment horizontal="center" shrinkToFit="0" vertical="center" wrapText="0"/>
    </xf>
    <xf borderId="5" fillId="12" fontId="6" numFmtId="0" xfId="0" applyAlignment="1" applyBorder="1" applyFill="1" applyFont="1">
      <alignment horizontal="right" shrinkToFit="0" vertical="center" wrapText="0"/>
    </xf>
    <xf borderId="5" fillId="7" fontId="6" numFmtId="0" xfId="0" applyAlignment="1" applyBorder="1" applyFill="1" applyFont="1">
      <alignment horizontal="right" shrinkToFit="0" vertical="center" wrapText="0"/>
    </xf>
    <xf borderId="0" fillId="12" fontId="6" numFmtId="0" xfId="0" applyAlignment="1" applyFill="1" applyFont="1">
      <alignment shrinkToFit="0" vertical="center" wrapText="0"/>
    </xf>
    <xf borderId="0" fillId="12" fontId="7" numFmtId="0" xfId="0" applyAlignment="1" applyFill="1" applyFont="1">
      <alignment horizontal="center" shrinkToFit="0" vertical="center" wrapText="0"/>
    </xf>
    <xf borderId="0" fillId="12" fontId="8" numFmtId="0" xfId="0" applyAlignment="1" applyFill="1" applyFont="1">
      <alignment horizontal="center" shrinkToFit="0" vertical="center" wrapText="0"/>
    </xf>
    <xf borderId="0" fillId="12" fontId="6" numFmtId="0" xfId="0" applyAlignment="1" applyFill="1" applyFont="1">
      <alignment horizontal="center" shrinkToFit="0" vertical="center" wrapText="0"/>
    </xf>
    <xf borderId="0" fillId="12" fontId="17" numFmtId="0" xfId="0" applyAlignment="1" applyFill="1" applyFont="1">
      <alignment horizontal="center" shrinkToFit="0" vertical="center" wrapText="0"/>
    </xf>
    <xf quotePrefix="1" borderId="0" fillId="12" fontId="6" numFmtId="0" xfId="0" applyAlignment="1" applyFill="1" applyFont="1">
      <alignment horizontal="center" shrinkToFit="0" vertical="center" wrapText="0"/>
    </xf>
    <xf borderId="0" fillId="12" fontId="6" numFmtId="0" xfId="0" applyAlignment="1" applyFill="1" applyFont="1">
      <alignment horizontal="right" shrinkToFit="0" vertical="center" wrapText="0"/>
    </xf>
    <xf borderId="5" fillId="12" fontId="17" numFmtId="0" xfId="0" applyAlignment="1" applyBorder="1" applyFill="1" applyFont="1">
      <alignment horizontal="center" shrinkToFit="0" vertical="center" wrapText="0"/>
    </xf>
    <xf borderId="5" fillId="12" fontId="6" numFmtId="0" xfId="0" applyAlignment="1" applyBorder="1" applyFill="1" applyFont="1">
      <alignment readingOrder="0" shrinkToFit="0" vertical="center" wrapText="0"/>
    </xf>
    <xf quotePrefix="1" borderId="5" fillId="0" fontId="6" numFmtId="0" xfId="0" applyAlignment="1" applyBorder="1" applyFont="1">
      <alignment horizontal="center" shrinkToFit="0" vertical="center" wrapText="0"/>
    </xf>
    <xf borderId="5" fillId="11" fontId="6" numFmtId="0" xfId="0" applyAlignment="1" applyBorder="1" applyFill="1" applyFont="1">
      <alignment readingOrder="0" shrinkToFit="0" vertical="center" wrapText="0"/>
    </xf>
    <xf borderId="5" fillId="11" fontId="17" numFmtId="0" xfId="0" applyAlignment="1" applyBorder="1" applyFill="1" applyFont="1">
      <alignment horizontal="center" shrinkToFit="0" vertical="center" wrapText="0"/>
    </xf>
    <xf borderId="0" fillId="11" fontId="6" numFmtId="0" xfId="0" applyAlignment="1" applyFill="1" applyFont="1">
      <alignment shrinkToFit="0" vertical="center" wrapText="0"/>
    </xf>
    <xf borderId="5" fillId="11" fontId="6" numFmtId="0" xfId="0" applyAlignment="1" applyBorder="1" applyFill="1" applyFont="1">
      <alignment shrinkToFit="0" vertical="center" wrapText="1"/>
    </xf>
    <xf borderId="0" fillId="11" fontId="6" numFmtId="0" xfId="0" applyAlignment="1" applyFill="1" applyFont="1">
      <alignment horizontal="center" readingOrder="0" shrinkToFit="0" vertical="center" wrapText="1"/>
    </xf>
    <xf quotePrefix="1" borderId="5" fillId="12" fontId="8" numFmtId="0" xfId="0" applyAlignment="1" applyBorder="1" applyFill="1" applyFont="1">
      <alignment horizontal="center" shrinkToFit="0" vertical="center" wrapText="0"/>
    </xf>
    <xf quotePrefix="1" borderId="5" fillId="0" fontId="8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shrinkToFit="0" vertical="center" wrapText="0"/>
    </xf>
    <xf borderId="0" fillId="0" fontId="24" numFmtId="0" xfId="0" applyAlignment="1" applyFont="1">
      <alignment shrinkToFit="0" vertical="center" wrapText="0"/>
    </xf>
    <xf borderId="5" fillId="0" fontId="24" numFmtId="0" xfId="0" applyAlignment="1" applyBorder="1" applyFont="1">
      <alignment shrinkToFit="0" vertical="center" wrapText="0"/>
    </xf>
    <xf borderId="4" fillId="8" fontId="9" numFmtId="0" xfId="0" applyAlignment="1" applyBorder="1" applyFill="1" applyFont="1">
      <alignment horizontal="center" readingOrder="0" shrinkToFit="0" vertical="center" wrapText="0"/>
    </xf>
    <xf borderId="0" fillId="0" fontId="17" numFmtId="0" xfId="0" applyAlignment="1" applyFont="1">
      <alignment horizontal="right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25" numFmtId="0" xfId="0" applyAlignment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8" fontId="6" numFmtId="0" xfId="0" applyAlignment="1" applyFill="1" applyFont="1">
      <alignment readingOrder="0" shrinkToFit="0" vertical="center" wrapText="0"/>
    </xf>
    <xf borderId="0" fillId="8" fontId="6" numFmtId="0" xfId="0" applyAlignment="1" applyFill="1" applyFont="1">
      <alignment shrinkToFit="0" vertical="center" wrapText="0"/>
    </xf>
    <xf borderId="0" fillId="8" fontId="7" numFmtId="0" xfId="0" applyAlignment="1" applyFill="1" applyFont="1">
      <alignment horizontal="center" shrinkToFit="0" vertical="center" wrapText="0"/>
    </xf>
    <xf borderId="0" fillId="8" fontId="8" numFmtId="0" xfId="0" applyAlignment="1" applyFill="1" applyFont="1">
      <alignment horizontal="center" shrinkToFit="0" vertical="center" wrapText="0"/>
    </xf>
    <xf borderId="0" fillId="8" fontId="6" numFmtId="0" xfId="0" applyAlignment="1" applyFill="1" applyFont="1">
      <alignment horizontal="center" shrinkToFit="0" vertical="center" wrapText="0"/>
    </xf>
    <xf borderId="0" fillId="8" fontId="24" numFmtId="0" xfId="0" applyAlignment="1" applyFill="1" applyFont="1">
      <alignment shrinkToFit="0" vertical="center" wrapText="0"/>
    </xf>
    <xf quotePrefix="1" borderId="0" fillId="8" fontId="6" numFmtId="0" xfId="0" applyAlignment="1" applyFill="1" applyFont="1">
      <alignment horizontal="center" shrinkToFit="0" vertical="center" wrapText="0"/>
    </xf>
    <xf borderId="0" fillId="8" fontId="6" numFmtId="0" xfId="0" applyAlignment="1" applyFill="1" applyFont="1">
      <alignment horizontal="right" shrinkToFit="0" vertical="center" wrapText="0"/>
    </xf>
    <xf borderId="0" fillId="8" fontId="6" numFmtId="0" xfId="0" applyAlignment="1" applyFill="1" applyFont="1">
      <alignment horizontal="center" readingOrder="0" shrinkToFit="0" vertical="center" wrapText="0"/>
    </xf>
    <xf quotePrefix="1" borderId="0" fillId="0" fontId="18" numFmtId="0" xfId="0" applyAlignment="1" applyFont="1">
      <alignment horizontal="center" shrinkToFit="0" vertical="center" wrapText="0"/>
    </xf>
    <xf borderId="0" fillId="0" fontId="9" numFmtId="14" xfId="0" applyAlignment="1" applyFont="1" applyNumberFormat="1">
      <alignment shrinkToFit="0" vertical="center" wrapText="0"/>
    </xf>
    <xf borderId="0" fillId="0" fontId="26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0" fillId="13" fontId="9" numFmtId="0" xfId="0" applyAlignment="1" applyFill="1" applyFont="1">
      <alignment readingOrder="0" shrinkToFit="0" vertical="center" wrapText="0"/>
    </xf>
    <xf borderId="0" fillId="13" fontId="9" numFmtId="0" xfId="0" applyAlignment="1" applyFill="1" applyFont="1">
      <alignment shrinkToFit="0" vertical="center" wrapText="0"/>
    </xf>
    <xf borderId="0" fillId="13" fontId="27" numFmtId="0" xfId="0" applyAlignment="1" applyFill="1" applyFont="1">
      <alignment horizontal="center" shrinkToFit="0" vertical="center" wrapText="0"/>
    </xf>
    <xf borderId="0" fillId="13" fontId="26" numFmtId="0" xfId="0" applyAlignment="1" applyFill="1" applyFont="1">
      <alignment horizontal="center" shrinkToFit="0" vertical="center" wrapText="0"/>
    </xf>
    <xf borderId="0" fillId="13" fontId="9" numFmtId="0" xfId="0" applyAlignment="1" applyFill="1" applyFont="1">
      <alignment horizontal="center" shrinkToFit="0" vertical="center" wrapText="0"/>
    </xf>
    <xf borderId="0" fillId="13" fontId="9" numFmtId="0" xfId="0" applyAlignment="1" applyFill="1" applyFont="1">
      <alignment horizontal="right" shrinkToFit="0" vertical="center" wrapText="0"/>
    </xf>
    <xf borderId="0" fillId="13" fontId="9" numFmtId="0" xfId="0" applyAlignment="1" applyFill="1" applyFont="1">
      <alignment horizontal="center" readingOrder="0" shrinkToFit="0" vertical="center" wrapText="0"/>
    </xf>
    <xf borderId="0" fillId="13" fontId="9" numFmtId="0" xfId="0" applyAlignment="1" applyFill="1" applyFont="1">
      <alignment horizontal="center" shrinkToFit="0" vertical="center" wrapText="0"/>
    </xf>
    <xf borderId="4" fillId="13" fontId="9" numFmtId="0" xfId="0" applyAlignment="1" applyBorder="1" applyFill="1" applyFont="1">
      <alignment horizontal="center" shrinkToFit="0" vertical="center" wrapText="0"/>
    </xf>
    <xf borderId="0" fillId="13" fontId="9" numFmtId="0" xfId="0" applyAlignment="1" applyFill="1" applyFont="1">
      <alignment horizontal="center" readingOrder="0" shrinkToFit="0" vertical="center" wrapText="0"/>
    </xf>
    <xf borderId="4" fillId="13" fontId="9" numFmtId="0" xfId="0" applyAlignment="1" applyBorder="1" applyFill="1" applyFont="1">
      <alignment horizontal="center" readingOrder="0" shrinkToFit="0" vertical="center" wrapText="0"/>
    </xf>
    <xf borderId="0" fillId="0" fontId="28" numFmtId="0" xfId="0" applyAlignment="1" applyFont="1">
      <alignment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0" fontId="30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right" shrinkToFit="0" vertical="center" wrapText="0"/>
    </xf>
    <xf borderId="0" fillId="0" fontId="28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3" fontId="28" numFmtId="0" xfId="0" applyAlignment="1" applyFill="1" applyFont="1">
      <alignment horizontal="center" shrinkToFit="0" vertical="center" wrapText="0"/>
    </xf>
    <xf borderId="4" fillId="3" fontId="28" numFmtId="0" xfId="0" applyAlignment="1" applyBorder="1" applyFill="1" applyFont="1">
      <alignment horizontal="center" shrinkToFit="0" vertical="center" wrapText="0"/>
    </xf>
    <xf borderId="0" fillId="14" fontId="6" numFmtId="0" xfId="0" applyAlignment="1" applyFill="1" applyFont="1">
      <alignment horizontal="center" readingOrder="0" shrinkToFit="0" vertical="center" wrapText="0"/>
    </xf>
    <xf borderId="0" fillId="14" fontId="6" numFmtId="0" xfId="0" applyAlignment="1" applyFill="1" applyFont="1">
      <alignment readingOrder="0" shrinkToFit="0" vertical="center" wrapText="0"/>
    </xf>
    <xf borderId="0" fillId="14" fontId="6" numFmtId="0" xfId="0" applyAlignment="1" applyFill="1" applyFont="1">
      <alignment shrinkToFit="0" vertical="center" wrapText="0"/>
    </xf>
    <xf borderId="0" fillId="14" fontId="7" numFmtId="0" xfId="0" applyAlignment="1" applyFill="1" applyFont="1">
      <alignment horizontal="center" shrinkToFit="0" vertical="center" wrapText="0"/>
    </xf>
    <xf borderId="0" fillId="14" fontId="8" numFmtId="0" xfId="0" applyAlignment="1" applyFill="1" applyFont="1">
      <alignment horizontal="center" shrinkToFit="0" vertical="center" wrapText="0"/>
    </xf>
    <xf borderId="0" fillId="14" fontId="6" numFmtId="0" xfId="0" applyAlignment="1" applyFill="1" applyFont="1">
      <alignment horizontal="center" shrinkToFit="0" vertical="center" wrapText="0"/>
    </xf>
    <xf borderId="0" fillId="14" fontId="10" numFmtId="0" xfId="0" applyAlignment="1" applyFill="1" applyFont="1">
      <alignment horizontal="center" shrinkToFit="0" vertical="center" wrapText="0"/>
    </xf>
    <xf borderId="0" fillId="14" fontId="6" numFmtId="0" xfId="0" applyAlignment="1" applyFill="1" applyFont="1">
      <alignment horizontal="right" shrinkToFit="0" vertical="center" wrapText="0"/>
    </xf>
    <xf borderId="0" fillId="14" fontId="9" numFmtId="0" xfId="0" applyAlignment="1" applyFill="1" applyFont="1">
      <alignment horizontal="center" readingOrder="0" shrinkToFit="0" vertical="center" wrapText="0"/>
    </xf>
    <xf borderId="4" fillId="14" fontId="9" numFmtId="166" xfId="0" applyAlignment="1" applyBorder="1" applyFill="1" applyFont="1" applyNumberFormat="1">
      <alignment horizontal="center" readingOrder="0" shrinkToFit="0" vertical="center" wrapText="0"/>
    </xf>
    <xf borderId="0" fillId="8" fontId="28" numFmtId="0" xfId="0" applyAlignment="1" applyFill="1" applyFont="1">
      <alignment horizontal="center" shrinkToFit="0" vertical="center" wrapText="0"/>
    </xf>
    <xf borderId="4" fillId="8" fontId="28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15" fontId="7" numFmtId="0" xfId="0" applyAlignment="1" applyFill="1" applyFont="1">
      <alignment horizontal="center" shrinkToFit="0" vertical="center" wrapText="0"/>
    </xf>
    <xf quotePrefix="1" borderId="0" fillId="0" fontId="8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1"/>
    </xf>
    <xf borderId="0" fillId="15" fontId="10" numFmtId="0" xfId="0" applyAlignment="1" applyFill="1" applyFont="1">
      <alignment horizontal="center" shrinkToFit="0" vertical="center" wrapText="0"/>
    </xf>
    <xf borderId="0" fillId="15" fontId="6" numFmtId="0" xfId="0" applyAlignment="1" applyFill="1" applyFont="1">
      <alignment shrinkToFit="0" vertical="center" wrapText="0"/>
    </xf>
    <xf borderId="0" fillId="15" fontId="6" numFmtId="0" xfId="0" applyAlignment="1" applyFill="1" applyFont="1">
      <alignment horizontal="left" shrinkToFit="0" vertical="center" wrapText="0"/>
    </xf>
    <xf borderId="0" fillId="15" fontId="7" numFmtId="0" xfId="0" applyAlignment="1" applyFill="1" applyFont="1">
      <alignment shrinkToFit="0" vertical="center" wrapText="0"/>
    </xf>
    <xf borderId="0" fillId="15" fontId="17" numFmtId="0" xfId="0" applyAlignment="1" applyFill="1" applyFont="1">
      <alignment horizontal="center" shrinkToFit="0" vertical="center" wrapText="0"/>
    </xf>
    <xf borderId="0" fillId="15" fontId="31" numFmtId="0" xfId="0" applyAlignment="1" applyFill="1" applyFont="1">
      <alignment horizontal="left" shrinkToFit="0" vertical="center" wrapText="0"/>
    </xf>
    <xf borderId="0" fillId="0" fontId="32" numFmtId="0" xfId="0" applyAlignment="1" applyFont="1">
      <alignment horizontal="center" readingOrder="0" shrinkToFit="0" vertical="center" wrapText="0"/>
    </xf>
    <xf borderId="0" fillId="0" fontId="32" numFmtId="0" xfId="0" applyAlignment="1" applyFont="1">
      <alignment horizontal="left" shrinkToFit="0" vertical="center" wrapText="0"/>
    </xf>
    <xf borderId="0" fillId="0" fontId="32" numFmtId="0" xfId="0" applyAlignment="1" applyFont="1">
      <alignment shrinkToFit="0" vertical="center" wrapText="0"/>
    </xf>
    <xf borderId="0" fillId="12" fontId="10" numFmtId="0" xfId="0" applyAlignment="1" applyFill="1" applyFont="1">
      <alignment horizontal="center" shrinkToFit="0" vertical="center" wrapText="0"/>
    </xf>
    <xf borderId="0" fillId="12" fontId="6" numFmtId="0" xfId="0" applyAlignment="1" applyFill="1" applyFont="1">
      <alignment readingOrder="0" shrinkToFit="0" vertical="center" wrapText="0"/>
    </xf>
    <xf borderId="5" fillId="15" fontId="7" numFmtId="0" xfId="0" applyAlignment="1" applyBorder="1" applyFill="1" applyFont="1">
      <alignment horizontal="center" shrinkToFit="0" vertical="center" wrapText="0"/>
    </xf>
    <xf borderId="5" fillId="15" fontId="7" numFmtId="0" xfId="0" applyAlignment="1" applyBorder="1" applyFill="1" applyFont="1">
      <alignment shrinkToFit="0" vertical="center" wrapText="0"/>
    </xf>
    <xf borderId="5" fillId="15" fontId="10" numFmtId="0" xfId="0" applyAlignment="1" applyBorder="1" applyFill="1" applyFont="1">
      <alignment horizontal="center" shrinkToFit="0" vertical="center" wrapText="0"/>
    </xf>
    <xf borderId="5" fillId="15" fontId="6" numFmtId="0" xfId="0" applyAlignment="1" applyBorder="1" applyFill="1" applyFont="1">
      <alignment shrinkToFit="0" vertical="center" wrapText="0"/>
    </xf>
    <xf borderId="5" fillId="15" fontId="6" numFmtId="0" xfId="0" applyAlignment="1" applyBorder="1" applyFill="1" applyFont="1">
      <alignment horizontal="left" shrinkToFit="0" vertical="center" wrapText="0"/>
    </xf>
    <xf borderId="5" fillId="15" fontId="17" numFmtId="0" xfId="0" applyAlignment="1" applyBorder="1" applyFill="1" applyFont="1">
      <alignment horizontal="center" shrinkToFit="0" vertical="center" wrapText="0"/>
    </xf>
    <xf borderId="5" fillId="9" fontId="7" numFmtId="0" xfId="0" applyAlignment="1" applyBorder="1" applyFill="1" applyFont="1">
      <alignment shrinkToFit="0" vertical="center" wrapText="0"/>
    </xf>
    <xf borderId="0" fillId="9" fontId="6" numFmtId="0" xfId="0" applyAlignment="1" applyFill="1" applyFont="1">
      <alignment horizontal="center" shrinkToFit="0" vertical="center" wrapText="1"/>
    </xf>
    <xf borderId="5" fillId="9" fontId="6" numFmtId="0" xfId="0" applyAlignment="1" applyBorder="1" applyFill="1" applyFont="1">
      <alignment horizontal="left" shrinkToFit="0" vertical="center" wrapText="0"/>
    </xf>
    <xf quotePrefix="1" borderId="0" fillId="9" fontId="6" numFmtId="0" xfId="0" applyAlignment="1" applyFill="1" applyFont="1">
      <alignment horizontal="center" shrinkToFit="0" vertical="center" wrapText="0"/>
    </xf>
    <xf borderId="5" fillId="12" fontId="6" numFmtId="0" xfId="0" applyAlignment="1" applyBorder="1" applyFill="1" applyFont="1">
      <alignment horizontal="left" shrinkToFit="0" vertical="center" wrapText="0"/>
    </xf>
    <xf borderId="5" fillId="0" fontId="6" numFmtId="0" xfId="0" applyAlignment="1" applyBorder="1" applyFont="1">
      <alignment horizontal="left" shrinkToFit="0" vertical="center" wrapText="0"/>
    </xf>
    <xf borderId="0" fillId="12" fontId="6" numFmtId="0" xfId="0" applyAlignment="1" applyFill="1" applyFont="1">
      <alignment horizontal="left" shrinkToFit="0" vertical="center" wrapText="0"/>
    </xf>
    <xf borderId="5" fillId="12" fontId="7" numFmtId="0" xfId="0" applyAlignment="1" applyBorder="1" applyFill="1" applyFont="1">
      <alignment shrinkToFit="0" vertical="center" wrapText="0"/>
    </xf>
    <xf borderId="0" fillId="12" fontId="6" numFmtId="0" xfId="0" applyAlignment="1" applyFill="1" applyFont="1">
      <alignment horizontal="center" shrinkToFit="0" vertical="center" wrapText="1"/>
    </xf>
    <xf borderId="5" fillId="12" fontId="18" numFmtId="0" xfId="0" applyAlignment="1" applyBorder="1" applyFill="1" applyFont="1">
      <alignment shrinkToFit="0" vertical="center" wrapText="0"/>
    </xf>
    <xf borderId="5" fillId="12" fontId="18" numFmtId="0" xfId="0" applyAlignment="1" applyBorder="1" applyFill="1" applyFont="1">
      <alignment horizontal="left" shrinkToFit="0" vertical="center" wrapText="0"/>
    </xf>
    <xf borderId="0" fillId="12" fontId="10" numFmtId="0" xfId="0" applyAlignment="1" applyFill="1" applyFont="1">
      <alignment shrinkToFit="0" vertical="center" wrapText="0"/>
    </xf>
    <xf borderId="0" fillId="12" fontId="10" numFmtId="0" xfId="0" applyAlignment="1" applyFill="1" applyFont="1">
      <alignment horizontal="center" readingOrder="0" shrinkToFit="0" vertical="center" wrapText="0"/>
    </xf>
    <xf borderId="5" fillId="15" fontId="31" numFmtId="0" xfId="0" applyAlignment="1" applyBorder="1" applyFill="1" applyFont="1">
      <alignment horizontal="left" shrinkToFit="0" vertical="center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12" fontId="10" numFmtId="0" xfId="0" applyAlignment="1" applyFill="1" applyFont="1">
      <alignment horizontal="left" shrinkToFit="0" vertical="center" wrapText="0"/>
    </xf>
    <xf borderId="5" fillId="0" fontId="6" numFmtId="0" xfId="0" applyAlignment="1" applyBorder="1" applyFont="1">
      <alignment horizontal="center" shrinkToFit="0" vertical="center" wrapText="1"/>
    </xf>
    <xf borderId="0" fillId="9" fontId="7" numFmtId="0" xfId="0" applyAlignment="1" applyFill="1" applyFont="1">
      <alignment shrinkToFit="0" vertical="center" wrapText="0"/>
    </xf>
    <xf borderId="5" fillId="15" fontId="6" numFmtId="0" xfId="0" applyAlignment="1" applyBorder="1" applyFill="1" applyFont="1">
      <alignment horizontal="center" shrinkToFit="0" vertical="center" wrapText="0"/>
    </xf>
    <xf borderId="5" fillId="0" fontId="17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quotePrefix="1" borderId="0" fillId="12" fontId="8" numFmtId="0" xfId="0" applyAlignment="1" applyFill="1" applyFont="1">
      <alignment horizontal="center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0" fontId="28" numFmtId="0" xfId="0" applyAlignment="1" applyFont="1">
      <alignment horizontal="left" readingOrder="0" shrinkToFit="0" vertical="center" wrapText="0"/>
    </xf>
    <xf borderId="0" fillId="0" fontId="28" numFmtId="0" xfId="0" applyAlignment="1" applyFont="1">
      <alignment horizontal="left" shrinkToFit="0" vertical="center" wrapText="0"/>
    </xf>
    <xf borderId="0" fillId="15" fontId="29" numFmtId="0" xfId="0" applyAlignment="1" applyFill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1"/>
    </xf>
    <xf borderId="0" fillId="15" fontId="28" numFmtId="0" xfId="0" applyAlignment="1" applyFill="1" applyFont="1">
      <alignment horizontal="center" shrinkToFit="0" vertical="center" wrapText="0"/>
    </xf>
    <xf borderId="0" fillId="15" fontId="28" numFmtId="0" xfId="0" applyAlignment="1" applyFill="1" applyFont="1">
      <alignment shrinkToFit="0" vertical="center" wrapText="0"/>
    </xf>
    <xf borderId="0" fillId="15" fontId="28" numFmtId="0" xfId="0" applyAlignment="1" applyFill="1" applyFont="1">
      <alignment horizontal="left" shrinkToFit="0" vertical="center" wrapText="0"/>
    </xf>
    <xf quotePrefix="1" borderId="0" fillId="0" fontId="28" numFmtId="0" xfId="0" applyAlignment="1" applyFont="1">
      <alignment horizontal="center" shrinkToFit="0" vertical="center" wrapText="0"/>
    </xf>
    <xf borderId="5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6" fillId="6" fontId="9" numFmtId="0" xfId="0" applyAlignment="1" applyBorder="1" applyFill="1" applyFont="1">
      <alignment horizontal="center" readingOrder="0" shrinkToFit="0" vertical="center" wrapText="0"/>
    </xf>
    <xf borderId="7" fillId="6" fontId="9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</dxfs>
  <tableStyles count="2">
    <tableStyle count="4" pivot="0" name="allstaf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ity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879" displayName="Table4" name="Table4" id="1">
  <autoFilter ref="$A$1:$AI$879">
    <filterColumn colId="15">
      <filters>
        <filter val="SCOPE"/>
        <filter val="PCU หนองหาร"/>
      </filters>
    </filterColumn>
  </autoFilter>
  <tableColumns count="35">
    <tableColumn name="ที่แยกประเภท" id="1"/>
    <tableColumn name="คำนำหน้า" id="2"/>
    <tableColumn name="ชื่อ" id="3"/>
    <tableColumn name="นามสกุล" id="4"/>
    <tableColumn name="ตำแหน่ง" id="5"/>
    <tableColumn name="ตำแหน่งตามโครงสร้าง" id="6"/>
    <tableColumn name="ระดับ" id="7"/>
    <tableColumn name="ด้านความเชี่ยวชาญ" id="8"/>
    <tableColumn name="เลขที่ตำแหน่ง" id="9"/>
    <tableColumn name="ประเภทการจ้าง_x000a_ขรก./ พรก./ พกส./ รายวัน/ รายเดือน" id="10"/>
    <tableColumn name="วิชาชีพ/สนับสนุน" id="11"/>
    <tableColumn name="1=สายวิชาชีพ_x000a_2=สส.วชช_x000a_3=สายBack Off_x000a_4=สส.Back Off_x000a_5=ผู้ช่วยพยาบาล" id="12"/>
    <tableColumn name="Sub ย่อยวิชาชีพ/สนับสนุน" id="13"/>
    <tableColumn name="ป.งาน ตรงตัว ตรงจ.18" id="14"/>
    <tableColumn name="ป.จริง (เช่น อายุรกรรม)" id="15"/>
    <tableColumn name="ป.จริง (ตัวย่อ เช่น MB5)" id="16"/>
    <tableColumn name="ป.จริง (ชื่อกลุ่มงานตามโครงสร้าง)" id="17"/>
    <tableColumn name="ป.จริง (ภารกิจ)" id="18"/>
    <tableColumn name="งาน จ.18" id="19"/>
    <tableColumn name="กลุ่มงาน จ.18" id="20"/>
    <tableColumn name="สังกัด ตามจ.18" id="21"/>
    <tableColumn name="เลขกลุ่มงาน ป.จริง" id="22"/>
    <tableColumn name="ภารกิจ ตามจ.18" id="23"/>
    <tableColumn name="เลขภารกิจ ป.จริง" id="24"/>
    <tableColumn name="กรอบย่อย (ตน.ในกง.)" id="25"/>
    <tableColumn name="กรอบหลัก (รวมทั้งกลุ่มงาน)" id="26"/>
    <tableColumn name="กรอบอัตรากำลัง _x000a_ตามกลุ่มภารกิจ" id="27"/>
    <tableColumn name="กรอบอัตรากำลังตามตำแหน่ง" id="28"/>
    <tableColumn name="สถานะ_x000a_0=ไม่มีคนครอง_x000a_ 1=ทำงานปกติ_x000a_ 2=ลาศึกษา_x000a_ 3=มาช่วย _x000a_4=ไปช่วย_x000a_5=ไปช่วย-มาช่วย ภายใน" id="29"/>
    <tableColumn name="หมายเหตุ" id="30"/>
    <tableColumn name="ตำแหน่งบริหาร( หัวหน้ากลุ่มงาน...ระบุชื่อกลุ่มงาน)" id="31"/>
    <tableColumn name="จัดกลุ่มกรอบกำลังตามตำแหน่ง(กลุ่มที่ใช้กรอบเดียวกัน)" id="32"/>
    <tableColumn name="บัตรประชาชน" id="33"/>
    <tableColumn name="เบอร์โทรศัพท์" id="34"/>
    <tableColumn name="วันเกิด (พ.ศ.)" id="35"/>
  </tableColumns>
  <tableStyleInfo name="allstaff-style" showColumnStripes="0" showFirstColumn="1" showLastColumn="1" showRowStripes="1"/>
</table>
</file>

<file path=xl/tables/table2.xml><?xml version="1.0" encoding="utf-8"?>
<table xmlns="http://schemas.openxmlformats.org/spreadsheetml/2006/main" ref="A1:G56" displayName="Table3" name="Table3" id="2">
  <tableColumns count="7">
    <tableColumn name="เวลา" id="1"/>
    <tableColumn name="ประเภทกิจกรรม" id="2"/>
    <tableColumn name="บทบาท" id="3"/>
    <tableColumn name="กลุ่มงาน (ผู้เยี่ยมชม)" id="4"/>
    <tableColumn name="ผลลัพธ์" id="5"/>
    <tableColumn name="รายละเอียด" id="6"/>
    <tableColumn name="ยินยอมคุกกี้/ประวัติ" id="7"/>
  </tableColumns>
  <tableStyleInfo name="Activity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sansaihospital.go.th/s/AKfycbxbDTmoSluMcM35zptxZ26Nu4RchZK5MC8T-2IxkeUJzINymjJcbPgWw1aetOrq5hJcMg/exe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C3" s="1" t="s">
        <v>0</v>
      </c>
    </row>
    <row r="31">
      <c r="A31" s="2" t="s">
        <v>1</v>
      </c>
      <c r="C31" s="3" t="s">
        <v>3</v>
      </c>
    </row>
  </sheetData>
  <mergeCells count="3">
    <mergeCell ref="C3:O29"/>
    <mergeCell ref="A31:B35"/>
    <mergeCell ref="C31:G35"/>
  </mergeCells>
  <hyperlinks>
    <hyperlink r:id="rId1" ref="C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16.88"/>
    <col customWidth="1" min="2" max="2" width="13.13"/>
    <col customWidth="1" min="3" max="3" width="15.13"/>
    <col customWidth="1" min="4" max="4" width="18.75"/>
    <col customWidth="1" min="5" max="5" width="31.5"/>
    <col customWidth="1" min="6" max="6" width="17.38"/>
    <col customWidth="1" min="7" max="7" width="18.75"/>
    <col customWidth="1" min="8" max="8" width="14.5"/>
    <col customWidth="1" min="9" max="9" width="19.88"/>
    <col customWidth="1" min="10" max="10" width="10.75"/>
    <col customWidth="1" min="11" max="11" width="16.13"/>
    <col customWidth="1" min="12" max="12" width="19.88"/>
    <col customWidth="1" min="13" max="13" width="15.5"/>
    <col customWidth="1" min="14" max="14" width="11.5"/>
    <col customWidth="1" min="15" max="15" width="32.13"/>
    <col customWidth="1" min="16" max="16" width="17.75"/>
    <col customWidth="1" min="17" max="20" width="37.63"/>
    <col customWidth="1" min="21" max="21" width="17.0"/>
    <col customWidth="1" min="22" max="22" width="16.38"/>
    <col customWidth="1" min="23" max="23" width="37.63"/>
    <col customWidth="1" min="24" max="24" width="19.25"/>
    <col customWidth="1" min="25" max="25" width="14.25"/>
    <col customWidth="1" min="26" max="26" width="24.88"/>
    <col customWidth="1" min="27" max="27" width="24.13"/>
    <col customWidth="1" min="28" max="28" width="18.75"/>
    <col customWidth="1" min="29" max="29" width="19.25"/>
    <col customWidth="1" min="30" max="30" width="21.75"/>
    <col customWidth="1" min="31" max="31" width="29.88"/>
    <col customWidth="1" min="32" max="35" width="30.25"/>
  </cols>
  <sheetData>
    <row r="1" ht="120.75" customHeight="1">
      <c r="A1" s="13" t="s">
        <v>557</v>
      </c>
      <c r="B1" s="14" t="s">
        <v>579</v>
      </c>
      <c r="C1" s="14" t="s">
        <v>587</v>
      </c>
      <c r="D1" s="14" t="s">
        <v>595</v>
      </c>
      <c r="E1" s="14" t="s">
        <v>605</v>
      </c>
      <c r="F1" s="14" t="s">
        <v>615</v>
      </c>
      <c r="G1" s="16" t="s">
        <v>624</v>
      </c>
      <c r="H1" s="16" t="s">
        <v>636</v>
      </c>
      <c r="I1" s="17" t="s">
        <v>647</v>
      </c>
      <c r="J1" s="17" t="s">
        <v>675</v>
      </c>
      <c r="K1" s="16" t="s">
        <v>693</v>
      </c>
      <c r="L1" s="16" t="s">
        <v>707</v>
      </c>
      <c r="M1" s="16" t="s">
        <v>715</v>
      </c>
      <c r="N1" s="13" t="s">
        <v>723</v>
      </c>
      <c r="O1" s="14" t="s">
        <v>737</v>
      </c>
      <c r="P1" s="14" t="s">
        <v>758</v>
      </c>
      <c r="Q1" s="14" t="s">
        <v>767</v>
      </c>
      <c r="R1" s="14" t="s">
        <v>776</v>
      </c>
      <c r="S1" s="14" t="s">
        <v>782</v>
      </c>
      <c r="T1" s="14" t="s">
        <v>797</v>
      </c>
      <c r="U1" s="14" t="s">
        <v>809</v>
      </c>
      <c r="V1" s="13" t="s">
        <v>824</v>
      </c>
      <c r="W1" s="14" t="s">
        <v>835</v>
      </c>
      <c r="X1" s="13" t="s">
        <v>851</v>
      </c>
      <c r="Y1" s="20" t="s">
        <v>865</v>
      </c>
      <c r="Z1" s="20" t="s">
        <v>878</v>
      </c>
      <c r="AA1" s="20" t="s">
        <v>898</v>
      </c>
      <c r="AB1" s="20" t="s">
        <v>905</v>
      </c>
      <c r="AC1" s="21" t="s">
        <v>918</v>
      </c>
      <c r="AD1" s="14" t="s">
        <v>930</v>
      </c>
      <c r="AE1" s="14" t="s">
        <v>951</v>
      </c>
      <c r="AF1" s="22" t="s">
        <v>959</v>
      </c>
      <c r="AG1" s="23" t="s">
        <v>14</v>
      </c>
      <c r="AH1" s="23" t="s">
        <v>15</v>
      </c>
      <c r="AI1" s="24" t="s">
        <v>1005</v>
      </c>
    </row>
    <row r="2" ht="38.25" hidden="1" customHeight="1">
      <c r="A2" s="25">
        <v>1.0</v>
      </c>
      <c r="B2" s="26" t="s">
        <v>1037</v>
      </c>
      <c r="C2" s="26" t="s">
        <v>1049</v>
      </c>
      <c r="D2" s="26" t="s">
        <v>1065</v>
      </c>
      <c r="E2" s="26" t="s">
        <v>1072</v>
      </c>
      <c r="F2" s="26" t="s">
        <v>1072</v>
      </c>
      <c r="G2" s="27" t="s">
        <v>1099</v>
      </c>
      <c r="H2" s="27" t="s">
        <v>1110</v>
      </c>
      <c r="I2" s="28" t="s">
        <v>1117</v>
      </c>
      <c r="J2" s="29" t="s">
        <v>1125</v>
      </c>
      <c r="K2" s="27" t="s">
        <v>1137</v>
      </c>
      <c r="L2" s="25">
        <v>3.0</v>
      </c>
      <c r="M2" s="27" t="s">
        <v>1137</v>
      </c>
      <c r="N2" s="30" t="s">
        <v>1174</v>
      </c>
      <c r="O2" s="26" t="s">
        <v>817</v>
      </c>
      <c r="P2" s="26" t="s">
        <v>1208</v>
      </c>
      <c r="Q2" s="26" t="str">
        <f t="shared" ref="Q2:Q17" si="1">+T2</f>
        <v>กลุ่มงานการเงิน</v>
      </c>
      <c r="R2" s="26" t="str">
        <f t="shared" ref="R2:R17" si="2">+W2</f>
        <v>ภารกิจด้านอำนวยการ</v>
      </c>
      <c r="S2" s="26" t="str">
        <f t="shared" ref="S2:S17" si="3">+T2</f>
        <v>กลุ่มงานการเงิน</v>
      </c>
      <c r="T2" s="26" t="s">
        <v>816</v>
      </c>
      <c r="U2" s="26" t="s">
        <v>1302</v>
      </c>
      <c r="V2" s="25" t="s">
        <v>1312</v>
      </c>
      <c r="W2" s="26" t="s">
        <v>1323</v>
      </c>
      <c r="X2" s="25" t="s">
        <v>46</v>
      </c>
      <c r="Y2" s="31">
        <v>17.0</v>
      </c>
      <c r="Z2" s="31">
        <v>20.0</v>
      </c>
      <c r="AA2" s="31">
        <v>85.0</v>
      </c>
      <c r="AB2" s="31">
        <v>20.0</v>
      </c>
      <c r="AC2" s="32">
        <v>1.0</v>
      </c>
      <c r="AD2" s="26"/>
      <c r="AE2" s="26" t="s">
        <v>1404</v>
      </c>
      <c r="AF2" s="32">
        <v>27.0</v>
      </c>
      <c r="AG2" s="33">
        <v>1.500700130253E12</v>
      </c>
      <c r="AH2" s="33" t="s">
        <v>1433</v>
      </c>
      <c r="AI2" s="34" t="s">
        <v>1450</v>
      </c>
    </row>
    <row r="3" ht="38.25" hidden="1" customHeight="1">
      <c r="A3" s="32">
        <v>2.0</v>
      </c>
      <c r="B3" s="26" t="s">
        <v>1037</v>
      </c>
      <c r="C3" s="26" t="s">
        <v>1483</v>
      </c>
      <c r="D3" s="26" t="s">
        <v>1491</v>
      </c>
      <c r="E3" s="26" t="s">
        <v>1072</v>
      </c>
      <c r="F3" s="26" t="s">
        <v>1072</v>
      </c>
      <c r="G3" s="27" t="s">
        <v>1110</v>
      </c>
      <c r="H3" s="27" t="s">
        <v>1110</v>
      </c>
      <c r="I3" s="29">
        <v>4356.0</v>
      </c>
      <c r="J3" s="29" t="s">
        <v>1535</v>
      </c>
      <c r="K3" s="27" t="s">
        <v>1137</v>
      </c>
      <c r="L3" s="25">
        <v>3.0</v>
      </c>
      <c r="M3" s="27" t="s">
        <v>1137</v>
      </c>
      <c r="N3" s="30" t="s">
        <v>1174</v>
      </c>
      <c r="O3" s="26" t="s">
        <v>1557</v>
      </c>
      <c r="P3" s="26" t="s">
        <v>1567</v>
      </c>
      <c r="Q3" s="26" t="str">
        <f t="shared" si="1"/>
        <v>กลุ่มงานประกันสุขภาพ</v>
      </c>
      <c r="R3" s="26" t="str">
        <f t="shared" si="2"/>
        <v>ภารกิจด้านพัฒนาระบบบริการและสนับสนุนบริการสุขภาพ</v>
      </c>
      <c r="S3" s="26" t="str">
        <f t="shared" si="3"/>
        <v>กลุ่มงานประกันสุขภาพ</v>
      </c>
      <c r="T3" s="26" t="s">
        <v>1601</v>
      </c>
      <c r="U3" s="26" t="s">
        <v>1302</v>
      </c>
      <c r="V3" s="25" t="s">
        <v>46</v>
      </c>
      <c r="W3" s="26" t="s">
        <v>1616</v>
      </c>
      <c r="X3" s="25" t="s">
        <v>21</v>
      </c>
      <c r="Y3" s="31">
        <v>1.0</v>
      </c>
      <c r="Z3" s="31">
        <v>7.0</v>
      </c>
      <c r="AA3" s="31">
        <v>28.0</v>
      </c>
      <c r="AB3" s="31">
        <v>20.0</v>
      </c>
      <c r="AC3" s="32">
        <v>1.0</v>
      </c>
      <c r="AD3" s="26"/>
      <c r="AE3" s="26"/>
      <c r="AF3" s="32">
        <v>27.0</v>
      </c>
      <c r="AG3" s="37">
        <v>3.501400520002E12</v>
      </c>
      <c r="AH3" s="37" t="s">
        <v>1706</v>
      </c>
      <c r="AI3" s="38" t="s">
        <v>1716</v>
      </c>
    </row>
    <row r="4" ht="38.25" hidden="1" customHeight="1">
      <c r="A4" s="25">
        <v>3.0</v>
      </c>
      <c r="B4" s="26" t="s">
        <v>1037</v>
      </c>
      <c r="C4" s="26" t="s">
        <v>1746</v>
      </c>
      <c r="D4" s="26" t="s">
        <v>1751</v>
      </c>
      <c r="E4" s="26" t="s">
        <v>1072</v>
      </c>
      <c r="F4" s="26" t="s">
        <v>1072</v>
      </c>
      <c r="G4" s="27" t="s">
        <v>1110</v>
      </c>
      <c r="H4" s="27" t="s">
        <v>1110</v>
      </c>
      <c r="I4" s="29">
        <v>4344.0</v>
      </c>
      <c r="J4" s="29" t="s">
        <v>1535</v>
      </c>
      <c r="K4" s="27" t="s">
        <v>1137</v>
      </c>
      <c r="L4" s="25">
        <v>3.0</v>
      </c>
      <c r="M4" s="27" t="s">
        <v>1137</v>
      </c>
      <c r="N4" s="30" t="s">
        <v>1174</v>
      </c>
      <c r="O4" s="26" t="s">
        <v>817</v>
      </c>
      <c r="P4" s="26" t="s">
        <v>1208</v>
      </c>
      <c r="Q4" s="26" t="str">
        <f t="shared" si="1"/>
        <v>กลุ่มงานการเงิน</v>
      </c>
      <c r="R4" s="26" t="str">
        <f t="shared" si="2"/>
        <v>ภารกิจด้านอำนวยการ</v>
      </c>
      <c r="S4" s="26" t="str">
        <f t="shared" si="3"/>
        <v>กลุ่มงานการเงิน</v>
      </c>
      <c r="T4" s="26" t="s">
        <v>816</v>
      </c>
      <c r="U4" s="26" t="s">
        <v>1302</v>
      </c>
      <c r="V4" s="25" t="s">
        <v>1312</v>
      </c>
      <c r="W4" s="26" t="s">
        <v>1323</v>
      </c>
      <c r="X4" s="25" t="s">
        <v>46</v>
      </c>
      <c r="Y4" s="31">
        <v>17.0</v>
      </c>
      <c r="Z4" s="31">
        <v>20.0</v>
      </c>
      <c r="AA4" s="31">
        <v>85.0</v>
      </c>
      <c r="AB4" s="31">
        <v>20.0</v>
      </c>
      <c r="AC4" s="32">
        <v>1.0</v>
      </c>
      <c r="AD4" s="26"/>
      <c r="AE4" s="26"/>
      <c r="AF4" s="32">
        <v>27.0</v>
      </c>
      <c r="AG4" s="37">
        <v>1.500701261751E12</v>
      </c>
      <c r="AH4" s="37" t="s">
        <v>1353</v>
      </c>
      <c r="AI4" s="39">
        <v>234831.0</v>
      </c>
    </row>
    <row r="5" ht="38.25" hidden="1" customHeight="1">
      <c r="A5" s="32">
        <v>4.0</v>
      </c>
      <c r="B5" s="26" t="s">
        <v>1037</v>
      </c>
      <c r="C5" s="26" t="s">
        <v>2080</v>
      </c>
      <c r="D5" s="26" t="s">
        <v>2089</v>
      </c>
      <c r="E5" s="26" t="s">
        <v>1072</v>
      </c>
      <c r="F5" s="26" t="s">
        <v>1072</v>
      </c>
      <c r="G5" s="27" t="s">
        <v>1110</v>
      </c>
      <c r="H5" s="27" t="s">
        <v>1110</v>
      </c>
      <c r="I5" s="29">
        <v>4346.0</v>
      </c>
      <c r="J5" s="29" t="s">
        <v>1535</v>
      </c>
      <c r="K5" s="27" t="s">
        <v>1137</v>
      </c>
      <c r="L5" s="25">
        <v>3.0</v>
      </c>
      <c r="M5" s="27" t="s">
        <v>1137</v>
      </c>
      <c r="N5" s="30" t="s">
        <v>1174</v>
      </c>
      <c r="O5" s="26" t="s">
        <v>817</v>
      </c>
      <c r="P5" s="26" t="s">
        <v>1208</v>
      </c>
      <c r="Q5" s="26" t="str">
        <f t="shared" si="1"/>
        <v>กลุ่มงานการเงิน</v>
      </c>
      <c r="R5" s="26" t="str">
        <f t="shared" si="2"/>
        <v>ภารกิจด้านอำนวยการ</v>
      </c>
      <c r="S5" s="26" t="str">
        <f t="shared" si="3"/>
        <v>กลุ่มงานการเงิน</v>
      </c>
      <c r="T5" s="26" t="s">
        <v>816</v>
      </c>
      <c r="U5" s="26" t="s">
        <v>1302</v>
      </c>
      <c r="V5" s="25" t="s">
        <v>1312</v>
      </c>
      <c r="W5" s="26" t="s">
        <v>1323</v>
      </c>
      <c r="X5" s="25" t="s">
        <v>46</v>
      </c>
      <c r="Y5" s="31">
        <v>17.0</v>
      </c>
      <c r="Z5" s="31">
        <v>20.0</v>
      </c>
      <c r="AA5" s="31">
        <v>85.0</v>
      </c>
      <c r="AB5" s="31">
        <v>20.0</v>
      </c>
      <c r="AC5" s="32">
        <v>1.0</v>
      </c>
      <c r="AD5" s="26"/>
      <c r="AE5" s="26"/>
      <c r="AF5" s="32">
        <v>27.0</v>
      </c>
      <c r="AG5" s="33">
        <v>3.501400472482E12</v>
      </c>
      <c r="AH5" s="33" t="s">
        <v>2341</v>
      </c>
      <c r="AI5" s="40">
        <v>228830.0</v>
      </c>
    </row>
    <row r="6" ht="38.25" hidden="1" customHeight="1">
      <c r="A6" s="25">
        <v>5.0</v>
      </c>
      <c r="B6" s="26" t="s">
        <v>1037</v>
      </c>
      <c r="C6" s="26" t="s">
        <v>2396</v>
      </c>
      <c r="D6" s="26" t="s">
        <v>2403</v>
      </c>
      <c r="E6" s="26" t="s">
        <v>1072</v>
      </c>
      <c r="F6" s="26" t="s">
        <v>1072</v>
      </c>
      <c r="G6" s="27" t="s">
        <v>1110</v>
      </c>
      <c r="H6" s="27" t="s">
        <v>1110</v>
      </c>
      <c r="I6" s="29">
        <v>4348.0</v>
      </c>
      <c r="J6" s="29" t="s">
        <v>1535</v>
      </c>
      <c r="K6" s="27" t="s">
        <v>1137</v>
      </c>
      <c r="L6" s="25">
        <v>3.0</v>
      </c>
      <c r="M6" s="27" t="s">
        <v>1137</v>
      </c>
      <c r="N6" s="30" t="s">
        <v>1174</v>
      </c>
      <c r="O6" s="26" t="s">
        <v>817</v>
      </c>
      <c r="P6" s="26" t="s">
        <v>1208</v>
      </c>
      <c r="Q6" s="26" t="str">
        <f t="shared" si="1"/>
        <v>กลุ่มงานการเงิน</v>
      </c>
      <c r="R6" s="26" t="str">
        <f t="shared" si="2"/>
        <v>ภารกิจด้านอำนวยการ</v>
      </c>
      <c r="S6" s="26" t="str">
        <f t="shared" si="3"/>
        <v>กลุ่มงานการเงิน</v>
      </c>
      <c r="T6" s="26" t="s">
        <v>816</v>
      </c>
      <c r="U6" s="26" t="s">
        <v>1302</v>
      </c>
      <c r="V6" s="25" t="s">
        <v>1312</v>
      </c>
      <c r="W6" s="26" t="s">
        <v>1323</v>
      </c>
      <c r="X6" s="25" t="s">
        <v>46</v>
      </c>
      <c r="Y6" s="31">
        <v>17.0</v>
      </c>
      <c r="Z6" s="31">
        <v>20.0</v>
      </c>
      <c r="AA6" s="31">
        <v>85.0</v>
      </c>
      <c r="AB6" s="31">
        <v>20.0</v>
      </c>
      <c r="AC6" s="32">
        <v>1.0</v>
      </c>
      <c r="AD6" s="26"/>
      <c r="AE6" s="26"/>
      <c r="AF6" s="32">
        <v>27.0</v>
      </c>
      <c r="AG6" s="37">
        <v>1.509901507034E12</v>
      </c>
      <c r="AH6" s="37" t="s">
        <v>1490</v>
      </c>
      <c r="AI6" s="44">
        <v>232673.0</v>
      </c>
    </row>
    <row r="7" ht="38.25" hidden="1" customHeight="1">
      <c r="A7" s="32">
        <v>6.0</v>
      </c>
      <c r="B7" s="26" t="s">
        <v>1037</v>
      </c>
      <c r="C7" s="26" t="s">
        <v>2776</v>
      </c>
      <c r="D7" s="26" t="s">
        <v>2794</v>
      </c>
      <c r="E7" s="26" t="s">
        <v>1072</v>
      </c>
      <c r="F7" s="26" t="s">
        <v>1072</v>
      </c>
      <c r="G7" s="27" t="s">
        <v>1110</v>
      </c>
      <c r="H7" s="27" t="s">
        <v>1110</v>
      </c>
      <c r="I7" s="29">
        <v>4349.0</v>
      </c>
      <c r="J7" s="29" t="s">
        <v>1535</v>
      </c>
      <c r="K7" s="27" t="s">
        <v>1137</v>
      </c>
      <c r="L7" s="25">
        <v>3.0</v>
      </c>
      <c r="M7" s="27" t="s">
        <v>1137</v>
      </c>
      <c r="N7" s="30" t="s">
        <v>1174</v>
      </c>
      <c r="O7" s="26" t="s">
        <v>817</v>
      </c>
      <c r="P7" s="26" t="s">
        <v>1208</v>
      </c>
      <c r="Q7" s="26" t="str">
        <f t="shared" si="1"/>
        <v>กลุ่มงานการเงิน</v>
      </c>
      <c r="R7" s="26" t="str">
        <f t="shared" si="2"/>
        <v>ภารกิจด้านอำนวยการ</v>
      </c>
      <c r="S7" s="26" t="str">
        <f t="shared" si="3"/>
        <v>กลุ่มงานการเงิน</v>
      </c>
      <c r="T7" s="26" t="s">
        <v>816</v>
      </c>
      <c r="U7" s="26" t="s">
        <v>1302</v>
      </c>
      <c r="V7" s="25" t="s">
        <v>1312</v>
      </c>
      <c r="W7" s="26" t="s">
        <v>1323</v>
      </c>
      <c r="X7" s="25" t="s">
        <v>46</v>
      </c>
      <c r="Y7" s="31">
        <v>17.0</v>
      </c>
      <c r="Z7" s="31">
        <v>20.0</v>
      </c>
      <c r="AA7" s="31">
        <v>85.0</v>
      </c>
      <c r="AB7" s="31">
        <v>20.0</v>
      </c>
      <c r="AC7" s="32">
        <v>1.0</v>
      </c>
      <c r="AD7" s="26"/>
      <c r="AE7" s="26"/>
      <c r="AF7" s="32">
        <v>27.0</v>
      </c>
      <c r="AG7" s="33">
        <v>1.50070017384E12</v>
      </c>
      <c r="AH7" s="33" t="s">
        <v>1324</v>
      </c>
      <c r="AI7" s="34" t="s">
        <v>3096</v>
      </c>
    </row>
    <row r="8" ht="38.25" hidden="1" customHeight="1">
      <c r="A8" s="25">
        <v>7.0</v>
      </c>
      <c r="B8" s="26" t="s">
        <v>1037</v>
      </c>
      <c r="C8" s="26" t="s">
        <v>3125</v>
      </c>
      <c r="D8" s="26" t="s">
        <v>3131</v>
      </c>
      <c r="E8" s="26" t="s">
        <v>1072</v>
      </c>
      <c r="F8" s="26" t="s">
        <v>1072</v>
      </c>
      <c r="G8" s="27" t="s">
        <v>1110</v>
      </c>
      <c r="H8" s="27" t="s">
        <v>1110</v>
      </c>
      <c r="I8" s="29">
        <v>4347.0</v>
      </c>
      <c r="J8" s="29" t="s">
        <v>1535</v>
      </c>
      <c r="K8" s="27" t="s">
        <v>1137</v>
      </c>
      <c r="L8" s="25">
        <v>3.0</v>
      </c>
      <c r="M8" s="27" t="s">
        <v>1137</v>
      </c>
      <c r="N8" s="30" t="s">
        <v>1174</v>
      </c>
      <c r="O8" s="26" t="s">
        <v>817</v>
      </c>
      <c r="P8" s="26" t="s">
        <v>1208</v>
      </c>
      <c r="Q8" s="26" t="str">
        <f t="shared" si="1"/>
        <v>กลุ่มงานการเงิน</v>
      </c>
      <c r="R8" s="26" t="str">
        <f t="shared" si="2"/>
        <v>ภารกิจด้านอำนวยการ</v>
      </c>
      <c r="S8" s="26" t="str">
        <f t="shared" si="3"/>
        <v>กลุ่มงานการเงิน</v>
      </c>
      <c r="T8" s="26" t="s">
        <v>816</v>
      </c>
      <c r="U8" s="26" t="s">
        <v>1302</v>
      </c>
      <c r="V8" s="25" t="s">
        <v>1312</v>
      </c>
      <c r="W8" s="26" t="s">
        <v>1323</v>
      </c>
      <c r="X8" s="25" t="s">
        <v>46</v>
      </c>
      <c r="Y8" s="31">
        <v>17.0</v>
      </c>
      <c r="Z8" s="31">
        <v>20.0</v>
      </c>
      <c r="AA8" s="31">
        <v>85.0</v>
      </c>
      <c r="AB8" s="31">
        <v>20.0</v>
      </c>
      <c r="AC8" s="32">
        <v>1.0</v>
      </c>
      <c r="AD8" s="26"/>
      <c r="AE8" s="26"/>
      <c r="AF8" s="32">
        <v>27.0</v>
      </c>
      <c r="AG8" s="37">
        <v>3.530700328726E12</v>
      </c>
      <c r="AH8" s="37" t="s">
        <v>3243</v>
      </c>
      <c r="AI8" s="44">
        <v>228430.0</v>
      </c>
    </row>
    <row r="9" ht="38.25" hidden="1" customHeight="1">
      <c r="A9" s="32">
        <v>8.0</v>
      </c>
      <c r="B9" s="26" t="s">
        <v>1037</v>
      </c>
      <c r="C9" s="26" t="s">
        <v>3462</v>
      </c>
      <c r="D9" s="26" t="s">
        <v>3480</v>
      </c>
      <c r="E9" s="26" t="s">
        <v>1072</v>
      </c>
      <c r="F9" s="26" t="s">
        <v>1072</v>
      </c>
      <c r="G9" s="27" t="s">
        <v>1110</v>
      </c>
      <c r="H9" s="27" t="s">
        <v>1110</v>
      </c>
      <c r="I9" s="29">
        <v>4345.0</v>
      </c>
      <c r="J9" s="29" t="s">
        <v>1535</v>
      </c>
      <c r="K9" s="27" t="s">
        <v>1137</v>
      </c>
      <c r="L9" s="25">
        <v>3.0</v>
      </c>
      <c r="M9" s="27" t="s">
        <v>1137</v>
      </c>
      <c r="N9" s="30" t="s">
        <v>1174</v>
      </c>
      <c r="O9" s="26" t="s">
        <v>817</v>
      </c>
      <c r="P9" s="26" t="s">
        <v>1208</v>
      </c>
      <c r="Q9" s="26" t="str">
        <f t="shared" si="1"/>
        <v>กลุ่มงานการเงิน</v>
      </c>
      <c r="R9" s="26" t="str">
        <f t="shared" si="2"/>
        <v>ภารกิจด้านอำนวยการ</v>
      </c>
      <c r="S9" s="26" t="str">
        <f t="shared" si="3"/>
        <v>กลุ่มงานการเงิน</v>
      </c>
      <c r="T9" s="26" t="s">
        <v>816</v>
      </c>
      <c r="U9" s="26" t="s">
        <v>1302</v>
      </c>
      <c r="V9" s="25" t="s">
        <v>1312</v>
      </c>
      <c r="W9" s="26" t="s">
        <v>1323</v>
      </c>
      <c r="X9" s="25" t="s">
        <v>46</v>
      </c>
      <c r="Y9" s="31">
        <v>17.0</v>
      </c>
      <c r="Z9" s="31">
        <v>20.0</v>
      </c>
      <c r="AA9" s="31">
        <v>85.0</v>
      </c>
      <c r="AB9" s="31">
        <v>20.0</v>
      </c>
      <c r="AC9" s="32">
        <v>1.0</v>
      </c>
      <c r="AD9" s="26"/>
      <c r="AE9" s="26"/>
      <c r="AF9" s="32">
        <v>27.0</v>
      </c>
      <c r="AG9" s="33">
        <v>1.509901608728E12</v>
      </c>
      <c r="AH9" s="33" t="s">
        <v>2421</v>
      </c>
      <c r="AI9" s="40">
        <v>233246.0</v>
      </c>
    </row>
    <row r="10" ht="38.25" hidden="1" customHeight="1">
      <c r="A10" s="25">
        <v>9.0</v>
      </c>
      <c r="B10" s="26" t="s">
        <v>2692</v>
      </c>
      <c r="C10" s="26" t="s">
        <v>3749</v>
      </c>
      <c r="D10" s="26" t="s">
        <v>3759</v>
      </c>
      <c r="E10" s="26" t="s">
        <v>1072</v>
      </c>
      <c r="F10" s="26" t="s">
        <v>1072</v>
      </c>
      <c r="G10" s="27" t="s">
        <v>1110</v>
      </c>
      <c r="H10" s="27" t="s">
        <v>1110</v>
      </c>
      <c r="I10" s="29">
        <v>4350.0</v>
      </c>
      <c r="J10" s="29" t="s">
        <v>1535</v>
      </c>
      <c r="K10" s="27" t="s">
        <v>1137</v>
      </c>
      <c r="L10" s="25">
        <v>3.0</v>
      </c>
      <c r="M10" s="27" t="s">
        <v>1137</v>
      </c>
      <c r="N10" s="30" t="s">
        <v>1174</v>
      </c>
      <c r="O10" s="26" t="s">
        <v>817</v>
      </c>
      <c r="P10" s="26" t="s">
        <v>1208</v>
      </c>
      <c r="Q10" s="26" t="str">
        <f t="shared" si="1"/>
        <v>กลุ่มงานการเงิน</v>
      </c>
      <c r="R10" s="26" t="str">
        <f t="shared" si="2"/>
        <v>ภารกิจด้านอำนวยการ</v>
      </c>
      <c r="S10" s="26" t="str">
        <f t="shared" si="3"/>
        <v>กลุ่มงานการเงิน</v>
      </c>
      <c r="T10" s="26" t="s">
        <v>816</v>
      </c>
      <c r="U10" s="26" t="s">
        <v>1302</v>
      </c>
      <c r="V10" s="25" t="s">
        <v>1312</v>
      </c>
      <c r="W10" s="26" t="s">
        <v>1323</v>
      </c>
      <c r="X10" s="25" t="s">
        <v>46</v>
      </c>
      <c r="Y10" s="31">
        <v>17.0</v>
      </c>
      <c r="Z10" s="31">
        <v>20.0</v>
      </c>
      <c r="AA10" s="31">
        <v>85.0</v>
      </c>
      <c r="AB10" s="31">
        <v>20.0</v>
      </c>
      <c r="AC10" s="32">
        <v>1.0</v>
      </c>
      <c r="AD10" s="26"/>
      <c r="AE10" s="26"/>
      <c r="AF10" s="32">
        <v>27.0</v>
      </c>
      <c r="AG10" s="37">
        <v>1.509966010177E12</v>
      </c>
      <c r="AH10" s="37" t="s">
        <v>739</v>
      </c>
      <c r="AI10" s="44">
        <v>234285.0</v>
      </c>
    </row>
    <row r="11" ht="38.25" hidden="1" customHeight="1">
      <c r="A11" s="32">
        <v>10.0</v>
      </c>
      <c r="B11" s="26"/>
      <c r="C11" s="26"/>
      <c r="D11" s="26"/>
      <c r="E11" s="26" t="s">
        <v>1072</v>
      </c>
      <c r="F11" s="26" t="s">
        <v>1072</v>
      </c>
      <c r="G11" s="27" t="s">
        <v>1110</v>
      </c>
      <c r="H11" s="27" t="s">
        <v>1110</v>
      </c>
      <c r="I11" s="29">
        <v>4352.0</v>
      </c>
      <c r="J11" s="29" t="s">
        <v>1535</v>
      </c>
      <c r="K11" s="27" t="s">
        <v>1137</v>
      </c>
      <c r="L11" s="25">
        <v>3.0</v>
      </c>
      <c r="M11" s="27" t="s">
        <v>1137</v>
      </c>
      <c r="N11" s="30" t="s">
        <v>1174</v>
      </c>
      <c r="O11" s="26" t="s">
        <v>3940</v>
      </c>
      <c r="P11" s="26" t="s">
        <v>3940</v>
      </c>
      <c r="Q11" s="26" t="str">
        <f t="shared" si="1"/>
        <v>กลุ่มงานบัญชี</v>
      </c>
      <c r="R11" s="26" t="str">
        <f t="shared" si="2"/>
        <v>ภารกิจด้านอำนวยการ</v>
      </c>
      <c r="S11" s="26" t="str">
        <f t="shared" si="3"/>
        <v>กลุ่มงานบัญชี</v>
      </c>
      <c r="T11" s="26" t="s">
        <v>3944</v>
      </c>
      <c r="U11" s="26" t="s">
        <v>1302</v>
      </c>
      <c r="V11" s="25" t="s">
        <v>3945</v>
      </c>
      <c r="W11" s="26" t="s">
        <v>1323</v>
      </c>
      <c r="X11" s="25" t="s">
        <v>46</v>
      </c>
      <c r="Y11" s="31">
        <v>2.0</v>
      </c>
      <c r="Z11" s="31">
        <v>5.0</v>
      </c>
      <c r="AA11" s="31">
        <v>85.0</v>
      </c>
      <c r="AB11" s="31">
        <v>20.0</v>
      </c>
      <c r="AC11" s="32">
        <v>1.0</v>
      </c>
      <c r="AD11" s="26"/>
      <c r="AE11" s="26"/>
      <c r="AF11" s="32">
        <v>27.0</v>
      </c>
      <c r="AG11" s="46"/>
      <c r="AH11" s="46"/>
      <c r="AI11" s="47"/>
    </row>
    <row r="12" ht="38.25" hidden="1" customHeight="1">
      <c r="A12" s="25">
        <v>11.0</v>
      </c>
      <c r="B12" s="26" t="s">
        <v>1037</v>
      </c>
      <c r="C12" s="26" t="s">
        <v>3946</v>
      </c>
      <c r="D12" s="26" t="s">
        <v>3947</v>
      </c>
      <c r="E12" s="26" t="s">
        <v>1072</v>
      </c>
      <c r="F12" s="26" t="s">
        <v>1072</v>
      </c>
      <c r="G12" s="27" t="s">
        <v>1110</v>
      </c>
      <c r="H12" s="27" t="s">
        <v>1110</v>
      </c>
      <c r="I12" s="29" t="s">
        <v>3948</v>
      </c>
      <c r="J12" s="29" t="s">
        <v>3949</v>
      </c>
      <c r="K12" s="27" t="s">
        <v>1137</v>
      </c>
      <c r="L12" s="25">
        <v>3.0</v>
      </c>
      <c r="M12" s="27" t="s">
        <v>1137</v>
      </c>
      <c r="N12" s="30" t="s">
        <v>1174</v>
      </c>
      <c r="O12" s="26" t="s">
        <v>817</v>
      </c>
      <c r="P12" s="26" t="s">
        <v>1208</v>
      </c>
      <c r="Q12" s="26" t="str">
        <f t="shared" si="1"/>
        <v>กลุ่มงานการเงิน</v>
      </c>
      <c r="R12" s="26" t="str">
        <f t="shared" si="2"/>
        <v>ภารกิจด้านอำนวยการ</v>
      </c>
      <c r="S12" s="26" t="str">
        <f t="shared" si="3"/>
        <v>กลุ่มงานการเงิน</v>
      </c>
      <c r="T12" s="26" t="s">
        <v>816</v>
      </c>
      <c r="U12" s="26" t="s">
        <v>1302</v>
      </c>
      <c r="V12" s="25" t="s">
        <v>1312</v>
      </c>
      <c r="W12" s="26" t="s">
        <v>1323</v>
      </c>
      <c r="X12" s="25" t="s">
        <v>46</v>
      </c>
      <c r="Y12" s="31">
        <v>17.0</v>
      </c>
      <c r="Z12" s="31">
        <v>20.0</v>
      </c>
      <c r="AA12" s="31">
        <v>85.0</v>
      </c>
      <c r="AB12" s="31">
        <v>20.0</v>
      </c>
      <c r="AC12" s="32">
        <v>1.0</v>
      </c>
      <c r="AD12" s="26"/>
      <c r="AE12" s="26"/>
      <c r="AF12" s="32">
        <v>27.0</v>
      </c>
      <c r="AG12" s="33">
        <v>1.509900269351E12</v>
      </c>
      <c r="AH12" s="33" t="s">
        <v>1781</v>
      </c>
      <c r="AI12" s="40">
        <v>229567.0</v>
      </c>
    </row>
    <row r="13" ht="38.25" hidden="1" customHeight="1">
      <c r="A13" s="32">
        <v>12.0</v>
      </c>
      <c r="B13" s="26" t="s">
        <v>1037</v>
      </c>
      <c r="C13" s="26" t="s">
        <v>3950</v>
      </c>
      <c r="D13" s="26" t="s">
        <v>3951</v>
      </c>
      <c r="E13" s="26" t="s">
        <v>1072</v>
      </c>
      <c r="F13" s="26" t="s">
        <v>1072</v>
      </c>
      <c r="G13" s="27" t="s">
        <v>1110</v>
      </c>
      <c r="H13" s="27" t="s">
        <v>1110</v>
      </c>
      <c r="I13" s="29" t="s">
        <v>3952</v>
      </c>
      <c r="J13" s="29" t="s">
        <v>3949</v>
      </c>
      <c r="K13" s="27" t="s">
        <v>1137</v>
      </c>
      <c r="L13" s="25">
        <v>3.0</v>
      </c>
      <c r="M13" s="27" t="s">
        <v>1137</v>
      </c>
      <c r="N13" s="30" t="s">
        <v>1174</v>
      </c>
      <c r="O13" s="26" t="s">
        <v>817</v>
      </c>
      <c r="P13" s="26" t="s">
        <v>1208</v>
      </c>
      <c r="Q13" s="26" t="str">
        <f t="shared" si="1"/>
        <v>กลุ่มงานการเงิน</v>
      </c>
      <c r="R13" s="26" t="str">
        <f t="shared" si="2"/>
        <v>ภารกิจด้านอำนวยการ</v>
      </c>
      <c r="S13" s="26" t="str">
        <f t="shared" si="3"/>
        <v>กลุ่มงานการเงิน</v>
      </c>
      <c r="T13" s="26" t="s">
        <v>816</v>
      </c>
      <c r="U13" s="26" t="s">
        <v>1302</v>
      </c>
      <c r="V13" s="25" t="s">
        <v>1312</v>
      </c>
      <c r="W13" s="26" t="s">
        <v>1323</v>
      </c>
      <c r="X13" s="25" t="s">
        <v>46</v>
      </c>
      <c r="Y13" s="31">
        <v>17.0</v>
      </c>
      <c r="Z13" s="31">
        <v>20.0</v>
      </c>
      <c r="AA13" s="31">
        <v>85.0</v>
      </c>
      <c r="AB13" s="31">
        <v>20.0</v>
      </c>
      <c r="AC13" s="32">
        <v>1.0</v>
      </c>
      <c r="AD13" s="26"/>
      <c r="AE13" s="26"/>
      <c r="AF13" s="32">
        <v>27.0</v>
      </c>
      <c r="AG13" s="37">
        <v>1.501400072356E12</v>
      </c>
      <c r="AH13" s="37" t="s">
        <v>526</v>
      </c>
      <c r="AI13" s="38" t="s">
        <v>3953</v>
      </c>
    </row>
    <row r="14" ht="38.25" hidden="1" customHeight="1">
      <c r="A14" s="25">
        <v>13.0</v>
      </c>
      <c r="B14" s="26" t="s">
        <v>1037</v>
      </c>
      <c r="C14" s="26" t="s">
        <v>3954</v>
      </c>
      <c r="D14" s="26" t="s">
        <v>3955</v>
      </c>
      <c r="E14" s="26" t="s">
        <v>1072</v>
      </c>
      <c r="F14" s="26" t="s">
        <v>1072</v>
      </c>
      <c r="G14" s="27" t="s">
        <v>1110</v>
      </c>
      <c r="H14" s="27" t="s">
        <v>1110</v>
      </c>
      <c r="I14" s="28" t="s">
        <v>3956</v>
      </c>
      <c r="J14" s="29" t="s">
        <v>3949</v>
      </c>
      <c r="K14" s="27" t="s">
        <v>1137</v>
      </c>
      <c r="L14" s="25">
        <v>3.0</v>
      </c>
      <c r="M14" s="27" t="s">
        <v>1137</v>
      </c>
      <c r="N14" s="30" t="s">
        <v>1174</v>
      </c>
      <c r="O14" s="26" t="s">
        <v>817</v>
      </c>
      <c r="P14" s="26" t="s">
        <v>1208</v>
      </c>
      <c r="Q14" s="26" t="str">
        <f t="shared" si="1"/>
        <v>กลุ่มงานการเงิน</v>
      </c>
      <c r="R14" s="26" t="str">
        <f t="shared" si="2"/>
        <v>ภารกิจด้านอำนวยการ</v>
      </c>
      <c r="S14" s="26" t="str">
        <f t="shared" si="3"/>
        <v>กลุ่มงานการเงิน</v>
      </c>
      <c r="T14" s="26" t="s">
        <v>816</v>
      </c>
      <c r="U14" s="26" t="s">
        <v>1302</v>
      </c>
      <c r="V14" s="25" t="s">
        <v>1312</v>
      </c>
      <c r="W14" s="26" t="s">
        <v>1323</v>
      </c>
      <c r="X14" s="25" t="s">
        <v>46</v>
      </c>
      <c r="Y14" s="31">
        <v>17.0</v>
      </c>
      <c r="Z14" s="31">
        <v>20.0</v>
      </c>
      <c r="AA14" s="31">
        <v>85.0</v>
      </c>
      <c r="AB14" s="31">
        <v>20.0</v>
      </c>
      <c r="AC14" s="32">
        <v>1.0</v>
      </c>
      <c r="AD14" s="26"/>
      <c r="AE14" s="26"/>
      <c r="AF14" s="32">
        <v>27.0</v>
      </c>
      <c r="AG14" s="33">
        <v>1.840300075023E12</v>
      </c>
      <c r="AH14" s="33" t="s">
        <v>2536</v>
      </c>
      <c r="AI14" s="40">
        <v>233245.0</v>
      </c>
    </row>
    <row r="15" ht="38.25" hidden="1" customHeight="1">
      <c r="A15" s="32">
        <v>14.0</v>
      </c>
      <c r="B15" s="26" t="s">
        <v>1037</v>
      </c>
      <c r="C15" s="26" t="s">
        <v>3957</v>
      </c>
      <c r="D15" s="26" t="s">
        <v>3958</v>
      </c>
      <c r="E15" s="26" t="s">
        <v>1072</v>
      </c>
      <c r="F15" s="26" t="s">
        <v>1072</v>
      </c>
      <c r="G15" s="27" t="s">
        <v>1110</v>
      </c>
      <c r="H15" s="27" t="s">
        <v>1110</v>
      </c>
      <c r="I15" s="29" t="s">
        <v>3959</v>
      </c>
      <c r="J15" s="29" t="s">
        <v>3949</v>
      </c>
      <c r="K15" s="27" t="s">
        <v>1137</v>
      </c>
      <c r="L15" s="25">
        <v>3.0</v>
      </c>
      <c r="M15" s="27" t="s">
        <v>1137</v>
      </c>
      <c r="N15" s="30" t="s">
        <v>1174</v>
      </c>
      <c r="O15" s="26" t="s">
        <v>3940</v>
      </c>
      <c r="P15" s="26" t="s">
        <v>3940</v>
      </c>
      <c r="Q15" s="26" t="str">
        <f t="shared" si="1"/>
        <v>กลุ่มงานบัญชี</v>
      </c>
      <c r="R15" s="26" t="str">
        <f t="shared" si="2"/>
        <v>ภารกิจด้านอำนวยการ</v>
      </c>
      <c r="S15" s="26" t="str">
        <f t="shared" si="3"/>
        <v>กลุ่มงานบัญชี</v>
      </c>
      <c r="T15" s="26" t="s">
        <v>3944</v>
      </c>
      <c r="U15" s="26" t="s">
        <v>1302</v>
      </c>
      <c r="V15" s="25" t="s">
        <v>3945</v>
      </c>
      <c r="W15" s="26" t="s">
        <v>1323</v>
      </c>
      <c r="X15" s="25" t="s">
        <v>46</v>
      </c>
      <c r="Y15" s="31">
        <v>2.0</v>
      </c>
      <c r="Z15" s="31">
        <v>5.0</v>
      </c>
      <c r="AA15" s="31">
        <v>85.0</v>
      </c>
      <c r="AB15" s="31">
        <v>20.0</v>
      </c>
      <c r="AC15" s="32">
        <v>1.0</v>
      </c>
      <c r="AD15" s="26"/>
      <c r="AE15" s="26"/>
      <c r="AF15" s="32">
        <v>27.0</v>
      </c>
      <c r="AG15" s="37">
        <v>1.560200078333E12</v>
      </c>
      <c r="AH15" s="37" t="s">
        <v>650</v>
      </c>
      <c r="AI15" s="44">
        <v>232387.0</v>
      </c>
    </row>
    <row r="16" ht="38.25" hidden="1" customHeight="1">
      <c r="A16" s="25">
        <v>15.0</v>
      </c>
      <c r="B16" s="26" t="s">
        <v>1037</v>
      </c>
      <c r="C16" s="26" t="s">
        <v>3960</v>
      </c>
      <c r="D16" s="26" t="s">
        <v>3961</v>
      </c>
      <c r="E16" s="26" t="s">
        <v>1072</v>
      </c>
      <c r="F16" s="26" t="s">
        <v>1072</v>
      </c>
      <c r="G16" s="27" t="s">
        <v>1110</v>
      </c>
      <c r="H16" s="27" t="s">
        <v>1110</v>
      </c>
      <c r="I16" s="29" t="s">
        <v>3962</v>
      </c>
      <c r="J16" s="29" t="s">
        <v>3963</v>
      </c>
      <c r="K16" s="27" t="s">
        <v>1137</v>
      </c>
      <c r="L16" s="25">
        <v>3.0</v>
      </c>
      <c r="M16" s="27" t="s">
        <v>1137</v>
      </c>
      <c r="N16" s="30" t="s">
        <v>1174</v>
      </c>
      <c r="O16" s="26" t="s">
        <v>817</v>
      </c>
      <c r="P16" s="26" t="s">
        <v>1208</v>
      </c>
      <c r="Q16" s="26" t="str">
        <f t="shared" si="1"/>
        <v>กลุ่มงานการเงิน</v>
      </c>
      <c r="R16" s="26" t="str">
        <f t="shared" si="2"/>
        <v>ภารกิจด้านอำนวยการ</v>
      </c>
      <c r="S16" s="26" t="str">
        <f t="shared" si="3"/>
        <v>กลุ่มงานการเงิน</v>
      </c>
      <c r="T16" s="26" t="s">
        <v>816</v>
      </c>
      <c r="U16" s="26" t="s">
        <v>1302</v>
      </c>
      <c r="V16" s="25" t="s">
        <v>1312</v>
      </c>
      <c r="W16" s="26" t="s">
        <v>1323</v>
      </c>
      <c r="X16" s="25" t="s">
        <v>46</v>
      </c>
      <c r="Y16" s="31">
        <v>17.0</v>
      </c>
      <c r="Z16" s="31">
        <v>20.0</v>
      </c>
      <c r="AA16" s="31">
        <v>85.0</v>
      </c>
      <c r="AB16" s="31">
        <v>20.0</v>
      </c>
      <c r="AC16" s="32">
        <v>1.0</v>
      </c>
      <c r="AD16" s="26"/>
      <c r="AE16" s="26"/>
      <c r="AF16" s="32">
        <v>27.0</v>
      </c>
      <c r="AG16" s="33">
        <v>2.500401033009E12</v>
      </c>
      <c r="AH16" s="33" t="s">
        <v>937</v>
      </c>
      <c r="AI16" s="40">
        <v>234193.0</v>
      </c>
    </row>
    <row r="17" ht="38.25" hidden="1" customHeight="1">
      <c r="A17" s="32">
        <v>16.0</v>
      </c>
      <c r="B17" s="26" t="s">
        <v>1037</v>
      </c>
      <c r="C17" s="26" t="s">
        <v>3964</v>
      </c>
      <c r="D17" s="26" t="s">
        <v>3965</v>
      </c>
      <c r="E17" s="26" t="s">
        <v>1072</v>
      </c>
      <c r="F17" s="26" t="s">
        <v>1072</v>
      </c>
      <c r="G17" s="27" t="s">
        <v>1110</v>
      </c>
      <c r="H17" s="27" t="s">
        <v>1110</v>
      </c>
      <c r="I17" s="29" t="s">
        <v>3966</v>
      </c>
      <c r="J17" s="29" t="s">
        <v>3963</v>
      </c>
      <c r="K17" s="27" t="s">
        <v>1137</v>
      </c>
      <c r="L17" s="25">
        <v>3.0</v>
      </c>
      <c r="M17" s="27" t="s">
        <v>1137</v>
      </c>
      <c r="N17" s="30" t="s">
        <v>1174</v>
      </c>
      <c r="O17" s="26" t="s">
        <v>817</v>
      </c>
      <c r="P17" s="26" t="s">
        <v>1208</v>
      </c>
      <c r="Q17" s="26" t="str">
        <f t="shared" si="1"/>
        <v>กลุ่มงานการเงิน</v>
      </c>
      <c r="R17" s="26" t="str">
        <f t="shared" si="2"/>
        <v>ภารกิจด้านอำนวยการ</v>
      </c>
      <c r="S17" s="26" t="str">
        <f t="shared" si="3"/>
        <v>กลุ่มงานการเงิน</v>
      </c>
      <c r="T17" s="26" t="s">
        <v>816</v>
      </c>
      <c r="U17" s="26" t="s">
        <v>1302</v>
      </c>
      <c r="V17" s="25" t="s">
        <v>1312</v>
      </c>
      <c r="W17" s="26" t="s">
        <v>1323</v>
      </c>
      <c r="X17" s="25" t="s">
        <v>46</v>
      </c>
      <c r="Y17" s="31">
        <v>17.0</v>
      </c>
      <c r="Z17" s="31">
        <v>20.0</v>
      </c>
      <c r="AA17" s="31">
        <v>85.0</v>
      </c>
      <c r="AB17" s="31">
        <v>20.0</v>
      </c>
      <c r="AC17" s="32">
        <v>1.0</v>
      </c>
      <c r="AD17" s="26"/>
      <c r="AE17" s="26"/>
      <c r="AF17" s="32">
        <v>27.0</v>
      </c>
      <c r="AG17" s="37">
        <v>1.509900382505E12</v>
      </c>
      <c r="AH17" s="37" t="s">
        <v>436</v>
      </c>
      <c r="AI17" s="38" t="s">
        <v>3967</v>
      </c>
    </row>
    <row r="18" ht="38.25" hidden="1" customHeight="1">
      <c r="A18" s="25">
        <v>17.0</v>
      </c>
      <c r="B18" s="48" t="s">
        <v>2692</v>
      </c>
      <c r="C18" s="48" t="s">
        <v>3968</v>
      </c>
      <c r="D18" s="48" t="s">
        <v>3969</v>
      </c>
      <c r="E18" s="48" t="s">
        <v>3970</v>
      </c>
      <c r="F18" s="48" t="s">
        <v>3971</v>
      </c>
      <c r="G18" s="49" t="s">
        <v>1110</v>
      </c>
      <c r="H18" s="50" t="s">
        <v>1110</v>
      </c>
      <c r="I18" s="51">
        <v>101762.0</v>
      </c>
      <c r="J18" s="51" t="s">
        <v>3949</v>
      </c>
      <c r="K18" s="49" t="s">
        <v>1137</v>
      </c>
      <c r="L18" s="52">
        <v>3.0</v>
      </c>
      <c r="M18" s="50" t="s">
        <v>1137</v>
      </c>
      <c r="N18" s="53" t="s">
        <v>1174</v>
      </c>
      <c r="O18" s="48" t="s">
        <v>3972</v>
      </c>
      <c r="P18" s="48" t="s">
        <v>1321</v>
      </c>
      <c r="Q18" s="48" t="s">
        <v>3973</v>
      </c>
      <c r="R18" s="48" t="s">
        <v>3972</v>
      </c>
      <c r="S18" s="48" t="s">
        <v>3973</v>
      </c>
      <c r="T18" s="48" t="s">
        <v>3973</v>
      </c>
      <c r="U18" s="48" t="s">
        <v>1302</v>
      </c>
      <c r="V18" s="54">
        <v>1.0</v>
      </c>
      <c r="W18" s="48" t="s">
        <v>3972</v>
      </c>
      <c r="X18" s="55">
        <v>6.0</v>
      </c>
      <c r="Y18" s="56">
        <v>6.0</v>
      </c>
      <c r="Z18" s="56">
        <v>7.0</v>
      </c>
      <c r="AA18" s="56">
        <v>15.0</v>
      </c>
      <c r="AB18" s="56">
        <v>9.0</v>
      </c>
      <c r="AC18" s="57"/>
      <c r="AD18" s="57"/>
      <c r="AE18" s="57"/>
      <c r="AF18" s="48"/>
      <c r="AG18" s="58"/>
      <c r="AH18" s="33"/>
      <c r="AI18" s="40"/>
    </row>
    <row r="19" ht="38.25" hidden="1" customHeight="1">
      <c r="A19" s="32">
        <v>18.0</v>
      </c>
      <c r="B19" s="26" t="s">
        <v>806</v>
      </c>
      <c r="C19" s="26" t="s">
        <v>3974</v>
      </c>
      <c r="D19" s="26" t="s">
        <v>3975</v>
      </c>
      <c r="E19" s="26" t="s">
        <v>3976</v>
      </c>
      <c r="F19" s="26" t="s">
        <v>3976</v>
      </c>
      <c r="G19" s="27" t="s">
        <v>1110</v>
      </c>
      <c r="H19" s="27" t="s">
        <v>1110</v>
      </c>
      <c r="I19" s="29">
        <v>4357.0</v>
      </c>
      <c r="J19" s="29" t="s">
        <v>1535</v>
      </c>
      <c r="K19" s="27" t="s">
        <v>1137</v>
      </c>
      <c r="L19" s="25">
        <v>3.0</v>
      </c>
      <c r="M19" s="27" t="s">
        <v>1137</v>
      </c>
      <c r="N19" s="30" t="s">
        <v>1174</v>
      </c>
      <c r="O19" s="26" t="s">
        <v>1557</v>
      </c>
      <c r="P19" s="26" t="s">
        <v>1567</v>
      </c>
      <c r="Q19" s="26" t="str">
        <f t="shared" ref="Q19:Q20" si="4">+T19</f>
        <v>กลุ่มงานประกันสุขภาพ</v>
      </c>
      <c r="R19" s="26" t="str">
        <f t="shared" ref="R19:R20" si="5">+W19</f>
        <v>ภารกิจด้านพัฒนาระบบบริการและสนับสนุนบริการสุขภาพ</v>
      </c>
      <c r="S19" s="26" t="str">
        <f t="shared" ref="S19:S43" si="6">+T19</f>
        <v>กลุ่มงานประกันสุขภาพ</v>
      </c>
      <c r="T19" s="26" t="s">
        <v>1601</v>
      </c>
      <c r="U19" s="26" t="s">
        <v>1302</v>
      </c>
      <c r="V19" s="25" t="s">
        <v>46</v>
      </c>
      <c r="W19" s="26" t="s">
        <v>1616</v>
      </c>
      <c r="X19" s="25" t="s">
        <v>21</v>
      </c>
      <c r="Y19" s="31">
        <v>1.0</v>
      </c>
      <c r="Z19" s="31">
        <v>7.0</v>
      </c>
      <c r="AA19" s="31">
        <v>28.0</v>
      </c>
      <c r="AB19" s="31">
        <v>15.0</v>
      </c>
      <c r="AC19" s="32">
        <v>1.0</v>
      </c>
      <c r="AD19" s="26"/>
      <c r="AE19" s="26"/>
      <c r="AF19" s="32">
        <v>36.0</v>
      </c>
      <c r="AG19" s="33">
        <v>3.500700352392E12</v>
      </c>
      <c r="AH19" s="33" t="s">
        <v>3199</v>
      </c>
      <c r="AI19" s="40">
        <v>226612.0</v>
      </c>
    </row>
    <row r="20" ht="38.25" hidden="1" customHeight="1">
      <c r="A20" s="25">
        <v>19.0</v>
      </c>
      <c r="B20" s="26" t="s">
        <v>806</v>
      </c>
      <c r="C20" s="26" t="s">
        <v>3977</v>
      </c>
      <c r="D20" s="26" t="s">
        <v>3965</v>
      </c>
      <c r="E20" s="26" t="s">
        <v>3976</v>
      </c>
      <c r="F20" s="26" t="s">
        <v>3976</v>
      </c>
      <c r="G20" s="27" t="s">
        <v>1110</v>
      </c>
      <c r="H20" s="27" t="s">
        <v>1110</v>
      </c>
      <c r="I20" s="29">
        <v>4360.0</v>
      </c>
      <c r="J20" s="29" t="s">
        <v>1535</v>
      </c>
      <c r="K20" s="27" t="s">
        <v>1137</v>
      </c>
      <c r="L20" s="25">
        <v>3.0</v>
      </c>
      <c r="M20" s="27" t="s">
        <v>1137</v>
      </c>
      <c r="N20" s="30" t="s">
        <v>1174</v>
      </c>
      <c r="O20" s="26" t="str">
        <f>+T20</f>
        <v>กลุ่มงานพัฒนาคุณภาพบริการและมาตรฐาน</v>
      </c>
      <c r="P20" s="26" t="s">
        <v>1567</v>
      </c>
      <c r="Q20" s="26" t="str">
        <f t="shared" si="4"/>
        <v>กลุ่มงานพัฒนาคุณภาพบริการและมาตรฐาน</v>
      </c>
      <c r="R20" s="26" t="str">
        <f t="shared" si="5"/>
        <v>ภารกิจด้านพัฒนาระบบบริการและสนับสนุนบริการสุขภาพ</v>
      </c>
      <c r="S20" s="26" t="str">
        <f t="shared" si="6"/>
        <v>กลุ่มงานพัฒนาคุณภาพบริการและมาตรฐาน</v>
      </c>
      <c r="T20" s="26" t="s">
        <v>754</v>
      </c>
      <c r="U20" s="26" t="s">
        <v>1302</v>
      </c>
      <c r="V20" s="25" t="s">
        <v>3978</v>
      </c>
      <c r="W20" s="26" t="s">
        <v>1616</v>
      </c>
      <c r="X20" s="25" t="s">
        <v>21</v>
      </c>
      <c r="Y20" s="31">
        <v>1.0</v>
      </c>
      <c r="Z20" s="31">
        <v>7.0</v>
      </c>
      <c r="AA20" s="31">
        <v>28.0</v>
      </c>
      <c r="AB20" s="31">
        <v>15.0</v>
      </c>
      <c r="AC20" s="32">
        <v>1.0</v>
      </c>
      <c r="AD20" s="26"/>
      <c r="AE20" s="26"/>
      <c r="AF20" s="32">
        <v>38.0</v>
      </c>
      <c r="AG20" s="33">
        <v>1.50990069244E12</v>
      </c>
      <c r="AH20" s="33" t="s">
        <v>3128</v>
      </c>
      <c r="AI20" s="40">
        <v>231017.0</v>
      </c>
    </row>
    <row r="21" ht="38.25" hidden="1" customHeight="1">
      <c r="A21" s="32">
        <v>20.0</v>
      </c>
      <c r="B21" s="26" t="s">
        <v>1037</v>
      </c>
      <c r="C21" s="26" t="s">
        <v>3979</v>
      </c>
      <c r="D21" s="26" t="s">
        <v>3980</v>
      </c>
      <c r="E21" s="26" t="s">
        <v>3976</v>
      </c>
      <c r="F21" s="26" t="s">
        <v>3976</v>
      </c>
      <c r="G21" s="27" t="s">
        <v>1110</v>
      </c>
      <c r="H21" s="27" t="s">
        <v>1110</v>
      </c>
      <c r="I21" s="29">
        <v>4358.0</v>
      </c>
      <c r="J21" s="29" t="s">
        <v>1535</v>
      </c>
      <c r="K21" s="27" t="s">
        <v>1137</v>
      </c>
      <c r="L21" s="25">
        <v>3.0</v>
      </c>
      <c r="M21" s="27" t="s">
        <v>1137</v>
      </c>
      <c r="N21" s="59" t="s">
        <v>3981</v>
      </c>
      <c r="O21" s="26" t="s">
        <v>3982</v>
      </c>
      <c r="P21" s="26" t="str">
        <f>+O22</f>
        <v>ทรัพยากรบุคคล</v>
      </c>
      <c r="Q21" s="26" t="s">
        <v>1616</v>
      </c>
      <c r="R21" s="26" t="s">
        <v>1616</v>
      </c>
      <c r="S21" s="26" t="str">
        <f t="shared" si="6"/>
        <v>กลุ่มงานพัฒนาทรัพยากรบุคคล</v>
      </c>
      <c r="T21" s="26" t="s">
        <v>2344</v>
      </c>
      <c r="U21" s="26" t="s">
        <v>1302</v>
      </c>
      <c r="V21" s="25" t="s">
        <v>21</v>
      </c>
      <c r="W21" s="26" t="s">
        <v>1616</v>
      </c>
      <c r="X21" s="25" t="s">
        <v>21</v>
      </c>
      <c r="Y21" s="31">
        <v>2.0</v>
      </c>
      <c r="Z21" s="31">
        <v>5.0</v>
      </c>
      <c r="AA21" s="31">
        <v>28.0</v>
      </c>
      <c r="AB21" s="31">
        <v>15.0</v>
      </c>
      <c r="AC21" s="32">
        <v>1.0</v>
      </c>
      <c r="AD21" s="26"/>
      <c r="AE21" s="26"/>
      <c r="AF21" s="32">
        <v>36.0</v>
      </c>
      <c r="AG21" s="33">
        <v>1.509900798078E12</v>
      </c>
      <c r="AH21" s="33" t="s">
        <v>3152</v>
      </c>
      <c r="AI21" s="60">
        <v>231180.0</v>
      </c>
    </row>
    <row r="22" ht="38.25" hidden="1" customHeight="1">
      <c r="A22" s="25">
        <v>21.0</v>
      </c>
      <c r="B22" s="26" t="s">
        <v>1037</v>
      </c>
      <c r="C22" s="26" t="s">
        <v>3983</v>
      </c>
      <c r="D22" s="26" t="s">
        <v>3984</v>
      </c>
      <c r="E22" s="26" t="s">
        <v>3976</v>
      </c>
      <c r="F22" s="26" t="s">
        <v>3976</v>
      </c>
      <c r="G22" s="27" t="s">
        <v>1110</v>
      </c>
      <c r="H22" s="27" t="s">
        <v>1110</v>
      </c>
      <c r="I22" s="29">
        <v>4342.0</v>
      </c>
      <c r="J22" s="29" t="s">
        <v>1535</v>
      </c>
      <c r="K22" s="27" t="s">
        <v>1137</v>
      </c>
      <c r="L22" s="25">
        <v>3.0</v>
      </c>
      <c r="M22" s="27" t="s">
        <v>1137</v>
      </c>
      <c r="N22" s="30" t="s">
        <v>1174</v>
      </c>
      <c r="O22" s="26" t="s">
        <v>814</v>
      </c>
      <c r="P22" s="26" t="s">
        <v>3985</v>
      </c>
      <c r="Q22" s="26" t="str">
        <f>+T22</f>
        <v>กลุ่มงานทรัพยากรบุคคล</v>
      </c>
      <c r="R22" s="26" t="str">
        <f>+W22</f>
        <v>ภารกิจด้านอำนวยการ</v>
      </c>
      <c r="S22" s="26" t="str">
        <f t="shared" si="6"/>
        <v>กลุ่มงานทรัพยากรบุคคล</v>
      </c>
      <c r="T22" s="26" t="s">
        <v>812</v>
      </c>
      <c r="U22" s="26" t="s">
        <v>1302</v>
      </c>
      <c r="V22" s="25" t="s">
        <v>3978</v>
      </c>
      <c r="W22" s="26" t="s">
        <v>1323</v>
      </c>
      <c r="X22" s="25" t="s">
        <v>46</v>
      </c>
      <c r="Y22" s="31">
        <v>5.0</v>
      </c>
      <c r="Z22" s="31">
        <v>10.0</v>
      </c>
      <c r="AA22" s="31">
        <v>85.0</v>
      </c>
      <c r="AB22" s="31">
        <v>15.0</v>
      </c>
      <c r="AC22" s="32">
        <v>1.0</v>
      </c>
      <c r="AD22" s="26"/>
      <c r="AE22" s="26"/>
      <c r="AF22" s="32">
        <v>36.0</v>
      </c>
      <c r="AG22" s="33">
        <v>1.509900420032E12</v>
      </c>
      <c r="AH22" s="33" t="s">
        <v>3100</v>
      </c>
      <c r="AI22" s="34" t="s">
        <v>3986</v>
      </c>
    </row>
    <row r="23" ht="38.25" hidden="1" customHeight="1">
      <c r="A23" s="32">
        <v>22.0</v>
      </c>
      <c r="B23" s="26" t="s">
        <v>1037</v>
      </c>
      <c r="C23" s="26" t="s">
        <v>3987</v>
      </c>
      <c r="D23" s="26" t="s">
        <v>3988</v>
      </c>
      <c r="E23" s="26" t="s">
        <v>3976</v>
      </c>
      <c r="F23" s="26" t="s">
        <v>3976</v>
      </c>
      <c r="G23" s="27" t="s">
        <v>1110</v>
      </c>
      <c r="H23" s="27" t="s">
        <v>1110</v>
      </c>
      <c r="I23" s="29">
        <v>4313.0</v>
      </c>
      <c r="J23" s="29" t="s">
        <v>1535</v>
      </c>
      <c r="K23" s="27" t="s">
        <v>1137</v>
      </c>
      <c r="L23" s="25">
        <v>3.0</v>
      </c>
      <c r="M23" s="27" t="s">
        <v>1137</v>
      </c>
      <c r="N23" s="59" t="s">
        <v>3981</v>
      </c>
      <c r="O23" s="26" t="s">
        <v>3989</v>
      </c>
      <c r="P23" s="26" t="s">
        <v>3989</v>
      </c>
      <c r="Q23" s="26" t="s">
        <v>3990</v>
      </c>
      <c r="R23" s="26" t="s">
        <v>3991</v>
      </c>
      <c r="S23" s="26" t="str">
        <f t="shared" si="6"/>
        <v>กลุ่มงานบริหารทั่วไป</v>
      </c>
      <c r="T23" s="26" t="s">
        <v>3992</v>
      </c>
      <c r="U23" s="26" t="s">
        <v>1302</v>
      </c>
      <c r="V23" s="25" t="s">
        <v>46</v>
      </c>
      <c r="W23" s="26" t="s">
        <v>1323</v>
      </c>
      <c r="X23" s="25" t="s">
        <v>46</v>
      </c>
      <c r="Y23" s="31">
        <v>4.0</v>
      </c>
      <c r="Z23" s="31">
        <v>15.0</v>
      </c>
      <c r="AA23" s="31">
        <v>85.0</v>
      </c>
      <c r="AB23" s="31">
        <v>15.0</v>
      </c>
      <c r="AC23" s="32">
        <v>1.0</v>
      </c>
      <c r="AD23" s="26"/>
      <c r="AE23" s="26"/>
      <c r="AF23" s="32">
        <v>36.0</v>
      </c>
      <c r="AG23" s="33">
        <v>1.509900554241E12</v>
      </c>
      <c r="AH23" s="33" t="s">
        <v>3073</v>
      </c>
      <c r="AI23" s="34" t="s">
        <v>3993</v>
      </c>
    </row>
    <row r="24" ht="38.25" hidden="1" customHeight="1">
      <c r="A24" s="25">
        <v>23.0</v>
      </c>
      <c r="B24" s="26" t="s">
        <v>1037</v>
      </c>
      <c r="C24" s="26" t="s">
        <v>3994</v>
      </c>
      <c r="D24" s="26" t="s">
        <v>3995</v>
      </c>
      <c r="E24" s="26" t="s">
        <v>3976</v>
      </c>
      <c r="F24" s="26" t="s">
        <v>3976</v>
      </c>
      <c r="G24" s="27" t="s">
        <v>1110</v>
      </c>
      <c r="H24" s="27" t="s">
        <v>1110</v>
      </c>
      <c r="I24" s="29">
        <v>4341.0</v>
      </c>
      <c r="J24" s="29" t="s">
        <v>1535</v>
      </c>
      <c r="K24" s="27" t="s">
        <v>1137</v>
      </c>
      <c r="L24" s="25">
        <v>3.0</v>
      </c>
      <c r="M24" s="27" t="s">
        <v>1137</v>
      </c>
      <c r="N24" s="30" t="s">
        <v>1174</v>
      </c>
      <c r="O24" s="26" t="s">
        <v>3996</v>
      </c>
      <c r="P24" s="26" t="s">
        <v>3996</v>
      </c>
      <c r="Q24" s="26" t="str">
        <f t="shared" ref="Q24:Q27" si="7">+T24</f>
        <v>กลุ่มงานบริหารทั่วไป</v>
      </c>
      <c r="R24" s="26" t="str">
        <f t="shared" ref="R24:R27" si="8">+W24</f>
        <v>ภารกิจด้านอำนวยการ</v>
      </c>
      <c r="S24" s="26" t="str">
        <f t="shared" si="6"/>
        <v>กลุ่มงานบริหารทั่วไป</v>
      </c>
      <c r="T24" s="26" t="s">
        <v>3992</v>
      </c>
      <c r="U24" s="26" t="s">
        <v>1302</v>
      </c>
      <c r="V24" s="25" t="s">
        <v>46</v>
      </c>
      <c r="W24" s="26" t="s">
        <v>1323</v>
      </c>
      <c r="X24" s="25" t="s">
        <v>46</v>
      </c>
      <c r="Y24" s="31">
        <v>4.0</v>
      </c>
      <c r="Z24" s="31">
        <v>15.0</v>
      </c>
      <c r="AA24" s="31">
        <v>85.0</v>
      </c>
      <c r="AB24" s="31">
        <v>15.0</v>
      </c>
      <c r="AC24" s="32">
        <v>1.0</v>
      </c>
      <c r="AD24" s="26"/>
      <c r="AE24" s="26"/>
      <c r="AF24" s="32">
        <v>36.0</v>
      </c>
      <c r="AG24" s="33">
        <v>3.501400666856E12</v>
      </c>
      <c r="AH24" s="33" t="s">
        <v>3134</v>
      </c>
      <c r="AI24" s="60">
        <v>227527.0</v>
      </c>
    </row>
    <row r="25" ht="38.25" hidden="1" customHeight="1">
      <c r="A25" s="32">
        <v>24.0</v>
      </c>
      <c r="B25" s="26" t="s">
        <v>2692</v>
      </c>
      <c r="C25" s="26" t="s">
        <v>3997</v>
      </c>
      <c r="D25" s="26" t="s">
        <v>3998</v>
      </c>
      <c r="E25" s="26" t="s">
        <v>3976</v>
      </c>
      <c r="F25" s="26" t="s">
        <v>3976</v>
      </c>
      <c r="G25" s="27" t="s">
        <v>1110</v>
      </c>
      <c r="H25" s="27" t="s">
        <v>1110</v>
      </c>
      <c r="I25" s="29" t="s">
        <v>3999</v>
      </c>
      <c r="J25" s="29" t="s">
        <v>3949</v>
      </c>
      <c r="K25" s="27" t="s">
        <v>1137</v>
      </c>
      <c r="L25" s="25">
        <v>3.0</v>
      </c>
      <c r="M25" s="27" t="s">
        <v>1137</v>
      </c>
      <c r="N25" s="30" t="s">
        <v>1174</v>
      </c>
      <c r="O25" s="26" t="s">
        <v>1557</v>
      </c>
      <c r="P25" s="26" t="s">
        <v>1567</v>
      </c>
      <c r="Q25" s="26" t="str">
        <f t="shared" si="7"/>
        <v>กลุ่มงานประกันสุขภาพ</v>
      </c>
      <c r="R25" s="26" t="str">
        <f t="shared" si="8"/>
        <v>ภารกิจด้านพัฒนาระบบบริการและสนับสนุนบริการสุขภาพ</v>
      </c>
      <c r="S25" s="26" t="str">
        <f t="shared" si="6"/>
        <v>กลุ่มงานประกันสุขภาพ</v>
      </c>
      <c r="T25" s="26" t="s">
        <v>1601</v>
      </c>
      <c r="U25" s="26" t="s">
        <v>1302</v>
      </c>
      <c r="V25" s="25" t="s">
        <v>46</v>
      </c>
      <c r="W25" s="26" t="s">
        <v>1616</v>
      </c>
      <c r="X25" s="25" t="s">
        <v>21</v>
      </c>
      <c r="Y25" s="31">
        <v>1.0</v>
      </c>
      <c r="Z25" s="31">
        <v>7.0</v>
      </c>
      <c r="AA25" s="31">
        <v>28.0</v>
      </c>
      <c r="AB25" s="31">
        <v>15.0</v>
      </c>
      <c r="AC25" s="32">
        <v>1.0</v>
      </c>
      <c r="AD25" s="26"/>
      <c r="AE25" s="26"/>
      <c r="AF25" s="32">
        <v>36.0</v>
      </c>
      <c r="AG25" s="33">
        <v>1.5051000025E12</v>
      </c>
      <c r="AH25" s="46"/>
      <c r="AI25" s="34" t="s">
        <v>4000</v>
      </c>
    </row>
    <row r="26" ht="38.25" hidden="1" customHeight="1">
      <c r="A26" s="25">
        <v>25.0</v>
      </c>
      <c r="B26" s="26" t="s">
        <v>1037</v>
      </c>
      <c r="C26" s="26" t="s">
        <v>4001</v>
      </c>
      <c r="D26" s="26" t="s">
        <v>4002</v>
      </c>
      <c r="E26" s="26" t="s">
        <v>3976</v>
      </c>
      <c r="F26" s="26" t="s">
        <v>3976</v>
      </c>
      <c r="G26" s="27" t="s">
        <v>1110</v>
      </c>
      <c r="H26" s="27" t="s">
        <v>1110</v>
      </c>
      <c r="I26" s="29" t="s">
        <v>4003</v>
      </c>
      <c r="J26" s="29" t="s">
        <v>3949</v>
      </c>
      <c r="K26" s="27" t="s">
        <v>1137</v>
      </c>
      <c r="L26" s="25">
        <v>3.0</v>
      </c>
      <c r="M26" s="27" t="s">
        <v>1137</v>
      </c>
      <c r="N26" s="30" t="s">
        <v>1174</v>
      </c>
      <c r="O26" s="26" t="s">
        <v>1557</v>
      </c>
      <c r="P26" s="26" t="s">
        <v>1567</v>
      </c>
      <c r="Q26" s="26" t="str">
        <f t="shared" si="7"/>
        <v>กลุ่มงานประกันสุขภาพ</v>
      </c>
      <c r="R26" s="26" t="str">
        <f t="shared" si="8"/>
        <v>ภารกิจด้านพัฒนาระบบบริการและสนับสนุนบริการสุขภาพ</v>
      </c>
      <c r="S26" s="26" t="str">
        <f t="shared" si="6"/>
        <v>กลุ่มงานประกันสุขภาพ</v>
      </c>
      <c r="T26" s="26" t="s">
        <v>1601</v>
      </c>
      <c r="U26" s="26" t="s">
        <v>1302</v>
      </c>
      <c r="V26" s="25" t="s">
        <v>46</v>
      </c>
      <c r="W26" s="26" t="s">
        <v>1616</v>
      </c>
      <c r="X26" s="25" t="s">
        <v>21</v>
      </c>
      <c r="Y26" s="31">
        <v>1.0</v>
      </c>
      <c r="Z26" s="31">
        <v>7.0</v>
      </c>
      <c r="AA26" s="31">
        <v>28.0</v>
      </c>
      <c r="AB26" s="31">
        <v>15.0</v>
      </c>
      <c r="AC26" s="32">
        <v>1.0</v>
      </c>
      <c r="AD26" s="26"/>
      <c r="AE26" s="26"/>
      <c r="AF26" s="32">
        <v>36.0</v>
      </c>
      <c r="AG26" s="37">
        <v>1.729900210982E12</v>
      </c>
      <c r="AH26" s="37" t="s">
        <v>2265</v>
      </c>
      <c r="AI26" s="38" t="s">
        <v>4004</v>
      </c>
    </row>
    <row r="27" ht="38.25" hidden="1" customHeight="1">
      <c r="A27" s="32">
        <v>26.0</v>
      </c>
      <c r="B27" s="26" t="s">
        <v>1037</v>
      </c>
      <c r="C27" s="26" t="s">
        <v>4005</v>
      </c>
      <c r="D27" s="26" t="s">
        <v>4006</v>
      </c>
      <c r="E27" s="26" t="s">
        <v>3976</v>
      </c>
      <c r="F27" s="26" t="s">
        <v>3976</v>
      </c>
      <c r="G27" s="27" t="s">
        <v>1110</v>
      </c>
      <c r="H27" s="27" t="s">
        <v>1110</v>
      </c>
      <c r="I27" s="29" t="s">
        <v>4007</v>
      </c>
      <c r="J27" s="29" t="s">
        <v>3949</v>
      </c>
      <c r="K27" s="27" t="s">
        <v>1137</v>
      </c>
      <c r="L27" s="25">
        <v>3.0</v>
      </c>
      <c r="M27" s="27" t="s">
        <v>1137</v>
      </c>
      <c r="N27" s="30" t="s">
        <v>1174</v>
      </c>
      <c r="O27" s="26" t="s">
        <v>1557</v>
      </c>
      <c r="P27" s="26" t="s">
        <v>1567</v>
      </c>
      <c r="Q27" s="26" t="str">
        <f t="shared" si="7"/>
        <v>กลุ่มงานประกันสุขภาพ</v>
      </c>
      <c r="R27" s="26" t="str">
        <f t="shared" si="8"/>
        <v>ภารกิจด้านพัฒนาระบบบริการและสนับสนุนบริการสุขภาพ</v>
      </c>
      <c r="S27" s="26" t="str">
        <f t="shared" si="6"/>
        <v>กลุ่มงานประกันสุขภาพ</v>
      </c>
      <c r="T27" s="26" t="s">
        <v>1601</v>
      </c>
      <c r="U27" s="26" t="s">
        <v>1302</v>
      </c>
      <c r="V27" s="25" t="s">
        <v>46</v>
      </c>
      <c r="W27" s="26" t="s">
        <v>1616</v>
      </c>
      <c r="X27" s="25" t="s">
        <v>21</v>
      </c>
      <c r="Y27" s="31">
        <v>1.0</v>
      </c>
      <c r="Z27" s="31">
        <v>7.0</v>
      </c>
      <c r="AA27" s="31">
        <v>28.0</v>
      </c>
      <c r="AB27" s="31">
        <v>15.0</v>
      </c>
      <c r="AC27" s="32">
        <v>1.0</v>
      </c>
      <c r="AD27" s="26"/>
      <c r="AE27" s="26"/>
      <c r="AF27" s="32">
        <v>36.0</v>
      </c>
      <c r="AG27" s="61"/>
      <c r="AH27" s="61"/>
      <c r="AI27" s="62"/>
    </row>
    <row r="28" ht="38.25" hidden="1" customHeight="1">
      <c r="A28" s="25">
        <v>27.0</v>
      </c>
      <c r="B28" s="26" t="s">
        <v>1037</v>
      </c>
      <c r="C28" s="26" t="s">
        <v>4008</v>
      </c>
      <c r="D28" s="26" t="s">
        <v>4009</v>
      </c>
      <c r="E28" s="26" t="s">
        <v>3976</v>
      </c>
      <c r="F28" s="26" t="s">
        <v>3976</v>
      </c>
      <c r="G28" s="27" t="s">
        <v>1110</v>
      </c>
      <c r="H28" s="27" t="s">
        <v>1110</v>
      </c>
      <c r="I28" s="29" t="s">
        <v>4010</v>
      </c>
      <c r="J28" s="29" t="s">
        <v>3949</v>
      </c>
      <c r="K28" s="27" t="s">
        <v>1137</v>
      </c>
      <c r="L28" s="25">
        <v>3.0</v>
      </c>
      <c r="M28" s="27" t="s">
        <v>1137</v>
      </c>
      <c r="N28" s="59" t="s">
        <v>3981</v>
      </c>
      <c r="O28" s="26" t="s">
        <v>4011</v>
      </c>
      <c r="P28" s="26" t="str">
        <f>+O29</f>
        <v>ประกัน</v>
      </c>
      <c r="Q28" s="26" t="s">
        <v>1616</v>
      </c>
      <c r="R28" s="26" t="s">
        <v>1616</v>
      </c>
      <c r="S28" s="26" t="str">
        <f t="shared" si="6"/>
        <v>กลุ่มงานพัฒนาทรัพยากรบุคคล</v>
      </c>
      <c r="T28" s="26" t="s">
        <v>2344</v>
      </c>
      <c r="U28" s="26" t="s">
        <v>1302</v>
      </c>
      <c r="V28" s="25" t="s">
        <v>21</v>
      </c>
      <c r="W28" s="26" t="s">
        <v>1616</v>
      </c>
      <c r="X28" s="25" t="s">
        <v>21</v>
      </c>
      <c r="Y28" s="31">
        <v>2.0</v>
      </c>
      <c r="Z28" s="31">
        <v>5.0</v>
      </c>
      <c r="AA28" s="31">
        <v>28.0</v>
      </c>
      <c r="AB28" s="31">
        <v>15.0</v>
      </c>
      <c r="AC28" s="32">
        <v>1.0</v>
      </c>
      <c r="AD28" s="26"/>
      <c r="AE28" s="26"/>
      <c r="AF28" s="32">
        <v>36.0</v>
      </c>
      <c r="AG28" s="37">
        <v>1.500700188936E12</v>
      </c>
      <c r="AH28" s="37" t="s">
        <v>1969</v>
      </c>
      <c r="AI28" s="44">
        <v>233427.0</v>
      </c>
    </row>
    <row r="29" ht="38.25" hidden="1" customHeight="1">
      <c r="A29" s="32">
        <v>28.0</v>
      </c>
      <c r="B29" s="26" t="s">
        <v>1037</v>
      </c>
      <c r="C29" s="26" t="s">
        <v>4012</v>
      </c>
      <c r="D29" s="26" t="s">
        <v>4013</v>
      </c>
      <c r="E29" s="26" t="s">
        <v>3976</v>
      </c>
      <c r="F29" s="26" t="s">
        <v>3976</v>
      </c>
      <c r="G29" s="27" t="s">
        <v>1110</v>
      </c>
      <c r="H29" s="27" t="s">
        <v>1110</v>
      </c>
      <c r="I29" s="29" t="s">
        <v>4014</v>
      </c>
      <c r="J29" s="29" t="s">
        <v>3949</v>
      </c>
      <c r="K29" s="27" t="s">
        <v>1137</v>
      </c>
      <c r="L29" s="25">
        <v>3.0</v>
      </c>
      <c r="M29" s="27" t="s">
        <v>1137</v>
      </c>
      <c r="N29" s="30" t="s">
        <v>1174</v>
      </c>
      <c r="O29" s="26" t="s">
        <v>1557</v>
      </c>
      <c r="P29" s="26" t="s">
        <v>1567</v>
      </c>
      <c r="Q29" s="26" t="str">
        <f t="shared" ref="Q29:Q31" si="9">+T29</f>
        <v>กลุ่มงานประกันสุขภาพ</v>
      </c>
      <c r="R29" s="26" t="str">
        <f t="shared" ref="R29:R31" si="10">+W29</f>
        <v>ภารกิจด้านพัฒนาระบบบริการและสนับสนุนบริการสุขภาพ</v>
      </c>
      <c r="S29" s="26" t="str">
        <f t="shared" si="6"/>
        <v>กลุ่มงานประกันสุขภาพ</v>
      </c>
      <c r="T29" s="26" t="s">
        <v>1601</v>
      </c>
      <c r="U29" s="26" t="s">
        <v>1302</v>
      </c>
      <c r="V29" s="25" t="s">
        <v>46</v>
      </c>
      <c r="W29" s="26" t="s">
        <v>1616</v>
      </c>
      <c r="X29" s="25" t="s">
        <v>21</v>
      </c>
      <c r="Y29" s="31">
        <v>1.0</v>
      </c>
      <c r="Z29" s="31">
        <v>7.0</v>
      </c>
      <c r="AA29" s="31">
        <v>28.0</v>
      </c>
      <c r="AB29" s="31">
        <v>15.0</v>
      </c>
      <c r="AC29" s="32">
        <v>1.0</v>
      </c>
      <c r="AD29" s="26"/>
      <c r="AE29" s="26"/>
      <c r="AF29" s="32">
        <v>36.0</v>
      </c>
      <c r="AG29" s="37">
        <v>1.919900094981E12</v>
      </c>
      <c r="AH29" s="61"/>
      <c r="AI29" s="38" t="s">
        <v>4015</v>
      </c>
    </row>
    <row r="30" ht="38.25" hidden="1" customHeight="1">
      <c r="A30" s="25">
        <v>29.0</v>
      </c>
      <c r="B30" s="26" t="s">
        <v>1037</v>
      </c>
      <c r="C30" s="26" t="s">
        <v>4016</v>
      </c>
      <c r="D30" s="26" t="s">
        <v>4017</v>
      </c>
      <c r="E30" s="26" t="s">
        <v>3976</v>
      </c>
      <c r="F30" s="26" t="s">
        <v>3976</v>
      </c>
      <c r="G30" s="27" t="s">
        <v>1110</v>
      </c>
      <c r="H30" s="27" t="s">
        <v>1110</v>
      </c>
      <c r="I30" s="29" t="s">
        <v>4018</v>
      </c>
      <c r="J30" s="29" t="s">
        <v>3949</v>
      </c>
      <c r="K30" s="27" t="s">
        <v>1137</v>
      </c>
      <c r="L30" s="25">
        <v>3.0</v>
      </c>
      <c r="M30" s="27" t="s">
        <v>1137</v>
      </c>
      <c r="N30" s="30" t="s">
        <v>1174</v>
      </c>
      <c r="O30" s="26" t="s">
        <v>1557</v>
      </c>
      <c r="P30" s="26" t="s">
        <v>1567</v>
      </c>
      <c r="Q30" s="26" t="str">
        <f t="shared" si="9"/>
        <v>กลุ่มงานประกันสุขภาพ</v>
      </c>
      <c r="R30" s="26" t="str">
        <f t="shared" si="10"/>
        <v>ภารกิจด้านพัฒนาระบบบริการและสนับสนุนบริการสุขภาพ</v>
      </c>
      <c r="S30" s="26" t="str">
        <f t="shared" si="6"/>
        <v>กลุ่มงานประกันสุขภาพ</v>
      </c>
      <c r="T30" s="26" t="s">
        <v>1601</v>
      </c>
      <c r="U30" s="26" t="s">
        <v>1302</v>
      </c>
      <c r="V30" s="25" t="s">
        <v>46</v>
      </c>
      <c r="W30" s="26" t="s">
        <v>1616</v>
      </c>
      <c r="X30" s="25" t="s">
        <v>21</v>
      </c>
      <c r="Y30" s="31">
        <v>1.0</v>
      </c>
      <c r="Z30" s="31">
        <v>7.0</v>
      </c>
      <c r="AA30" s="31">
        <v>28.0</v>
      </c>
      <c r="AB30" s="31">
        <v>15.0</v>
      </c>
      <c r="AC30" s="32">
        <v>1.0</v>
      </c>
      <c r="AD30" s="26"/>
      <c r="AE30" s="26"/>
      <c r="AF30" s="32">
        <v>36.0</v>
      </c>
      <c r="AG30" s="33">
        <v>1.509901495761E12</v>
      </c>
      <c r="AH30" s="33" t="s">
        <v>2429</v>
      </c>
      <c r="AI30" s="34" t="s">
        <v>4019</v>
      </c>
    </row>
    <row r="31" ht="38.25" hidden="1" customHeight="1">
      <c r="A31" s="32">
        <v>30.0</v>
      </c>
      <c r="B31" s="26" t="s">
        <v>1037</v>
      </c>
      <c r="C31" s="26" t="s">
        <v>4020</v>
      </c>
      <c r="D31" s="26" t="s">
        <v>4021</v>
      </c>
      <c r="E31" s="26" t="s">
        <v>3976</v>
      </c>
      <c r="F31" s="26" t="s">
        <v>3976</v>
      </c>
      <c r="G31" s="27" t="s">
        <v>1110</v>
      </c>
      <c r="H31" s="27" t="s">
        <v>1110</v>
      </c>
      <c r="I31" s="29" t="s">
        <v>4022</v>
      </c>
      <c r="J31" s="29" t="s">
        <v>3949</v>
      </c>
      <c r="K31" s="27" t="s">
        <v>1137</v>
      </c>
      <c r="L31" s="25">
        <v>3.0</v>
      </c>
      <c r="M31" s="27" t="s">
        <v>1137</v>
      </c>
      <c r="N31" s="30" t="s">
        <v>1174</v>
      </c>
      <c r="O31" s="26" t="s">
        <v>1557</v>
      </c>
      <c r="P31" s="26" t="s">
        <v>1567</v>
      </c>
      <c r="Q31" s="26" t="str">
        <f t="shared" si="9"/>
        <v>กลุ่มงานประกันสุขภาพ</v>
      </c>
      <c r="R31" s="26" t="str">
        <f t="shared" si="10"/>
        <v>ภารกิจด้านพัฒนาระบบบริการและสนับสนุนบริการสุขภาพ</v>
      </c>
      <c r="S31" s="26" t="str">
        <f t="shared" si="6"/>
        <v>กลุ่มงานประกันสุขภาพ</v>
      </c>
      <c r="T31" s="26" t="s">
        <v>1601</v>
      </c>
      <c r="U31" s="26" t="s">
        <v>1302</v>
      </c>
      <c r="V31" s="25" t="s">
        <v>46</v>
      </c>
      <c r="W31" s="26" t="s">
        <v>1616</v>
      </c>
      <c r="X31" s="25" t="s">
        <v>21</v>
      </c>
      <c r="Y31" s="31">
        <v>1.0</v>
      </c>
      <c r="Z31" s="31">
        <v>7.0</v>
      </c>
      <c r="AA31" s="31">
        <v>28.0</v>
      </c>
      <c r="AB31" s="31">
        <v>15.0</v>
      </c>
      <c r="AC31" s="32">
        <v>1.0</v>
      </c>
      <c r="AD31" s="26"/>
      <c r="AE31" s="26"/>
      <c r="AF31" s="32">
        <v>36.0</v>
      </c>
      <c r="AG31" s="33">
        <v>1.509901200826E12</v>
      </c>
      <c r="AH31" s="33" t="s">
        <v>2270</v>
      </c>
      <c r="AI31" s="34" t="s">
        <v>4023</v>
      </c>
    </row>
    <row r="32" ht="38.25" hidden="1" customHeight="1">
      <c r="A32" s="25">
        <v>31.0</v>
      </c>
      <c r="B32" s="26" t="s">
        <v>1037</v>
      </c>
      <c r="C32" s="26" t="s">
        <v>4024</v>
      </c>
      <c r="D32" s="26" t="s">
        <v>4025</v>
      </c>
      <c r="E32" s="26" t="s">
        <v>3976</v>
      </c>
      <c r="F32" s="26" t="s">
        <v>3976</v>
      </c>
      <c r="G32" s="27" t="s">
        <v>1110</v>
      </c>
      <c r="H32" s="27" t="s">
        <v>1110</v>
      </c>
      <c r="I32" s="29" t="s">
        <v>4026</v>
      </c>
      <c r="J32" s="29" t="s">
        <v>3949</v>
      </c>
      <c r="K32" s="27" t="s">
        <v>1137</v>
      </c>
      <c r="L32" s="25">
        <v>3.0</v>
      </c>
      <c r="M32" s="27" t="s">
        <v>1137</v>
      </c>
      <c r="N32" s="59" t="s">
        <v>3981</v>
      </c>
      <c r="O32" s="26" t="s">
        <v>4027</v>
      </c>
      <c r="P32" s="26" t="s">
        <v>4027</v>
      </c>
      <c r="Q32" s="26" t="s">
        <v>4028</v>
      </c>
      <c r="R32" s="26" t="s">
        <v>3991</v>
      </c>
      <c r="S32" s="26" t="str">
        <f t="shared" si="6"/>
        <v>กลุ่มงานบริหารทั่วไป</v>
      </c>
      <c r="T32" s="26" t="s">
        <v>3992</v>
      </c>
      <c r="U32" s="26" t="s">
        <v>1302</v>
      </c>
      <c r="V32" s="25">
        <v>15.0</v>
      </c>
      <c r="W32" s="26" t="s">
        <v>1323</v>
      </c>
      <c r="X32" s="25" t="s">
        <v>46</v>
      </c>
      <c r="Y32" s="31">
        <v>4.0</v>
      </c>
      <c r="Z32" s="31">
        <v>15.0</v>
      </c>
      <c r="AA32" s="31">
        <v>85.0</v>
      </c>
      <c r="AB32" s="31">
        <v>15.0</v>
      </c>
      <c r="AC32" s="32">
        <v>1.0</v>
      </c>
      <c r="AD32" s="26"/>
      <c r="AE32" s="26"/>
      <c r="AF32" s="32">
        <v>36.0</v>
      </c>
      <c r="AG32" s="37">
        <v>1.50990157565E12</v>
      </c>
      <c r="AH32" s="61"/>
      <c r="AI32" s="38" t="s">
        <v>4029</v>
      </c>
    </row>
    <row r="33" ht="38.25" hidden="1" customHeight="1">
      <c r="A33" s="32">
        <v>32.0</v>
      </c>
      <c r="B33" s="26" t="s">
        <v>1037</v>
      </c>
      <c r="C33" s="26" t="s">
        <v>4030</v>
      </c>
      <c r="D33" s="26" t="s">
        <v>4031</v>
      </c>
      <c r="E33" s="26" t="s">
        <v>3976</v>
      </c>
      <c r="F33" s="26" t="s">
        <v>3976</v>
      </c>
      <c r="G33" s="27" t="s">
        <v>1110</v>
      </c>
      <c r="H33" s="27" t="s">
        <v>1110</v>
      </c>
      <c r="I33" s="29" t="s">
        <v>4032</v>
      </c>
      <c r="J33" s="29" t="s">
        <v>3963</v>
      </c>
      <c r="K33" s="27" t="s">
        <v>1137</v>
      </c>
      <c r="L33" s="25">
        <v>3.0</v>
      </c>
      <c r="M33" s="27" t="s">
        <v>1137</v>
      </c>
      <c r="N33" s="30" t="s">
        <v>1174</v>
      </c>
      <c r="O33" s="26" t="s">
        <v>814</v>
      </c>
      <c r="P33" s="26" t="s">
        <v>3985</v>
      </c>
      <c r="Q33" s="26" t="str">
        <f t="shared" ref="Q33:Q38" si="11">+T33</f>
        <v>กลุ่มงานทรัพยากรบุคคล</v>
      </c>
      <c r="R33" s="26" t="str">
        <f t="shared" ref="R33:R38" si="12">+W33</f>
        <v>ภารกิจด้านอำนวยการ</v>
      </c>
      <c r="S33" s="26" t="str">
        <f t="shared" si="6"/>
        <v>กลุ่มงานทรัพยากรบุคคล</v>
      </c>
      <c r="T33" s="26" t="s">
        <v>812</v>
      </c>
      <c r="U33" s="26" t="s">
        <v>1302</v>
      </c>
      <c r="V33" s="25" t="s">
        <v>3978</v>
      </c>
      <c r="W33" s="26" t="s">
        <v>1323</v>
      </c>
      <c r="X33" s="25" t="s">
        <v>46</v>
      </c>
      <c r="Y33" s="31">
        <v>5.0</v>
      </c>
      <c r="Z33" s="31">
        <v>10.0</v>
      </c>
      <c r="AA33" s="31">
        <v>85.0</v>
      </c>
      <c r="AB33" s="31">
        <v>15.0</v>
      </c>
      <c r="AC33" s="32">
        <v>1.0</v>
      </c>
      <c r="AD33" s="26"/>
      <c r="AE33" s="26"/>
      <c r="AF33" s="32">
        <v>36.0</v>
      </c>
      <c r="AG33" s="33">
        <v>1.509966251956E12</v>
      </c>
      <c r="AH33" s="33" t="s">
        <v>510</v>
      </c>
      <c r="AI33" s="40">
        <v>235949.0</v>
      </c>
    </row>
    <row r="34" ht="38.25" hidden="1" customHeight="1">
      <c r="A34" s="25">
        <v>33.0</v>
      </c>
      <c r="B34" s="26" t="s">
        <v>1037</v>
      </c>
      <c r="C34" s="26" t="s">
        <v>4033</v>
      </c>
      <c r="D34" s="26" t="s">
        <v>4034</v>
      </c>
      <c r="E34" s="26" t="s">
        <v>3976</v>
      </c>
      <c r="F34" s="26" t="s">
        <v>3976</v>
      </c>
      <c r="G34" s="27" t="s">
        <v>1110</v>
      </c>
      <c r="H34" s="27" t="s">
        <v>1110</v>
      </c>
      <c r="I34" s="29" t="s">
        <v>4035</v>
      </c>
      <c r="J34" s="29" t="s">
        <v>3963</v>
      </c>
      <c r="K34" s="27" t="s">
        <v>1137</v>
      </c>
      <c r="L34" s="25">
        <v>3.0</v>
      </c>
      <c r="M34" s="27" t="s">
        <v>1137</v>
      </c>
      <c r="N34" s="30" t="s">
        <v>1174</v>
      </c>
      <c r="O34" s="26" t="s">
        <v>814</v>
      </c>
      <c r="P34" s="26" t="s">
        <v>3985</v>
      </c>
      <c r="Q34" s="26" t="str">
        <f t="shared" si="11"/>
        <v>กลุ่มงานทรัพยากรบุคคล</v>
      </c>
      <c r="R34" s="26" t="str">
        <f t="shared" si="12"/>
        <v>ภารกิจด้านอำนวยการ</v>
      </c>
      <c r="S34" s="26" t="str">
        <f t="shared" si="6"/>
        <v>กลุ่มงานทรัพยากรบุคคล</v>
      </c>
      <c r="T34" s="26" t="s">
        <v>812</v>
      </c>
      <c r="U34" s="26" t="s">
        <v>1302</v>
      </c>
      <c r="V34" s="25" t="s">
        <v>3978</v>
      </c>
      <c r="W34" s="26" t="s">
        <v>1323</v>
      </c>
      <c r="X34" s="25" t="s">
        <v>46</v>
      </c>
      <c r="Y34" s="31">
        <v>5.0</v>
      </c>
      <c r="Z34" s="31">
        <v>10.0</v>
      </c>
      <c r="AA34" s="31">
        <v>85.0</v>
      </c>
      <c r="AB34" s="31">
        <v>15.0</v>
      </c>
      <c r="AC34" s="32">
        <v>1.0</v>
      </c>
      <c r="AD34" s="26"/>
      <c r="AE34" s="26"/>
      <c r="AF34" s="32">
        <v>36.0</v>
      </c>
      <c r="AG34" s="37">
        <v>1.508000001971E12</v>
      </c>
      <c r="AH34" s="37" t="s">
        <v>454</v>
      </c>
      <c r="AI34" s="38" t="s">
        <v>4036</v>
      </c>
    </row>
    <row r="35" ht="38.25" hidden="1" customHeight="1">
      <c r="A35" s="32">
        <v>34.0</v>
      </c>
      <c r="B35" s="26" t="s">
        <v>2692</v>
      </c>
      <c r="C35" s="26" t="s">
        <v>4037</v>
      </c>
      <c r="D35" s="26" t="s">
        <v>4038</v>
      </c>
      <c r="E35" s="26" t="s">
        <v>3976</v>
      </c>
      <c r="F35" s="26" t="s">
        <v>3976</v>
      </c>
      <c r="G35" s="27" t="s">
        <v>1110</v>
      </c>
      <c r="H35" s="27" t="s">
        <v>1110</v>
      </c>
      <c r="I35" s="29" t="s">
        <v>4039</v>
      </c>
      <c r="J35" s="29" t="s">
        <v>3963</v>
      </c>
      <c r="K35" s="27" t="s">
        <v>1137</v>
      </c>
      <c r="L35" s="25">
        <v>3.0</v>
      </c>
      <c r="M35" s="27" t="s">
        <v>1137</v>
      </c>
      <c r="N35" s="30" t="s">
        <v>1174</v>
      </c>
      <c r="O35" s="26" t="s">
        <v>814</v>
      </c>
      <c r="P35" s="26" t="s">
        <v>3985</v>
      </c>
      <c r="Q35" s="26" t="str">
        <f t="shared" si="11"/>
        <v>กลุ่มงานทรัพยากรบุคคล</v>
      </c>
      <c r="R35" s="26" t="str">
        <f t="shared" si="12"/>
        <v>ภารกิจด้านอำนวยการ</v>
      </c>
      <c r="S35" s="26" t="str">
        <f t="shared" si="6"/>
        <v>กลุ่มงานทรัพยากรบุคคล</v>
      </c>
      <c r="T35" s="26" t="s">
        <v>812</v>
      </c>
      <c r="U35" s="26" t="s">
        <v>1302</v>
      </c>
      <c r="V35" s="25" t="s">
        <v>3978</v>
      </c>
      <c r="W35" s="26" t="s">
        <v>1323</v>
      </c>
      <c r="X35" s="25" t="s">
        <v>46</v>
      </c>
      <c r="Y35" s="31">
        <v>5.0</v>
      </c>
      <c r="Z35" s="31">
        <v>10.0</v>
      </c>
      <c r="AA35" s="31">
        <v>85.0</v>
      </c>
      <c r="AB35" s="31">
        <v>15.0</v>
      </c>
      <c r="AC35" s="32">
        <v>1.0</v>
      </c>
      <c r="AD35" s="26"/>
      <c r="AE35" s="26"/>
      <c r="AF35" s="32">
        <v>36.0</v>
      </c>
      <c r="AG35" s="33">
        <v>1.539900812119E12</v>
      </c>
      <c r="AH35" s="33" t="s">
        <v>676</v>
      </c>
      <c r="AI35" s="34" t="s">
        <v>4040</v>
      </c>
    </row>
    <row r="36" ht="38.25" hidden="1" customHeight="1">
      <c r="A36" s="25">
        <v>35.0</v>
      </c>
      <c r="B36" s="26" t="s">
        <v>1037</v>
      </c>
      <c r="C36" s="26" t="s">
        <v>4041</v>
      </c>
      <c r="D36" s="26" t="s">
        <v>4042</v>
      </c>
      <c r="E36" s="26" t="s">
        <v>3976</v>
      </c>
      <c r="F36" s="26" t="s">
        <v>3976</v>
      </c>
      <c r="G36" s="27" t="s">
        <v>1110</v>
      </c>
      <c r="H36" s="27" t="s">
        <v>1110</v>
      </c>
      <c r="I36" s="29" t="s">
        <v>4043</v>
      </c>
      <c r="J36" s="29" t="s">
        <v>3963</v>
      </c>
      <c r="K36" s="27" t="s">
        <v>1137</v>
      </c>
      <c r="L36" s="25">
        <v>3.0</v>
      </c>
      <c r="M36" s="27" t="s">
        <v>1137</v>
      </c>
      <c r="N36" s="30" t="s">
        <v>1174</v>
      </c>
      <c r="O36" s="26" t="s">
        <v>1557</v>
      </c>
      <c r="P36" s="26" t="s">
        <v>1567</v>
      </c>
      <c r="Q36" s="26" t="str">
        <f t="shared" si="11"/>
        <v>กลุ่มงานประกันสุขภาพ</v>
      </c>
      <c r="R36" s="26" t="str">
        <f t="shared" si="12"/>
        <v>ภารกิจด้านพัฒนาระบบบริการและสนับสนุนบริการสุขภาพ</v>
      </c>
      <c r="S36" s="26" t="str">
        <f t="shared" si="6"/>
        <v>กลุ่มงานประกันสุขภาพ</v>
      </c>
      <c r="T36" s="26" t="s">
        <v>1601</v>
      </c>
      <c r="U36" s="26" t="s">
        <v>1302</v>
      </c>
      <c r="V36" s="25" t="s">
        <v>46</v>
      </c>
      <c r="W36" s="26" t="s">
        <v>1616</v>
      </c>
      <c r="X36" s="25" t="s">
        <v>21</v>
      </c>
      <c r="Y36" s="31">
        <v>5.0</v>
      </c>
      <c r="Z36" s="31">
        <v>7.0</v>
      </c>
      <c r="AA36" s="31">
        <v>28.0</v>
      </c>
      <c r="AB36" s="31">
        <v>15.0</v>
      </c>
      <c r="AC36" s="32">
        <v>1.0</v>
      </c>
      <c r="AD36" s="26"/>
      <c r="AE36" s="26"/>
      <c r="AF36" s="32">
        <v>36.0</v>
      </c>
      <c r="AG36" s="37">
        <v>1.500701286249E12</v>
      </c>
      <c r="AH36" s="37" t="s">
        <v>1039</v>
      </c>
      <c r="AI36" s="44">
        <v>235436.0</v>
      </c>
    </row>
    <row r="37" ht="38.25" hidden="1" customHeight="1">
      <c r="A37" s="32">
        <v>36.0</v>
      </c>
      <c r="B37" s="26" t="s">
        <v>1037</v>
      </c>
      <c r="C37" s="26" t="s">
        <v>4044</v>
      </c>
      <c r="D37" s="26" t="s">
        <v>4045</v>
      </c>
      <c r="E37" s="26" t="s">
        <v>3976</v>
      </c>
      <c r="F37" s="26" t="s">
        <v>3976</v>
      </c>
      <c r="G37" s="27" t="s">
        <v>1110</v>
      </c>
      <c r="H37" s="27" t="s">
        <v>1110</v>
      </c>
      <c r="I37" s="29" t="s">
        <v>4046</v>
      </c>
      <c r="J37" s="29" t="s">
        <v>3963</v>
      </c>
      <c r="K37" s="27" t="s">
        <v>1137</v>
      </c>
      <c r="L37" s="25">
        <v>3.0</v>
      </c>
      <c r="M37" s="27" t="s">
        <v>1137</v>
      </c>
      <c r="N37" s="30" t="s">
        <v>1174</v>
      </c>
      <c r="O37" s="26" t="s">
        <v>1557</v>
      </c>
      <c r="P37" s="26" t="s">
        <v>1567</v>
      </c>
      <c r="Q37" s="26" t="str">
        <f t="shared" si="11"/>
        <v>กลุ่มงานประกันสุขภาพ</v>
      </c>
      <c r="R37" s="26" t="str">
        <f t="shared" si="12"/>
        <v>ภารกิจด้านพัฒนาระบบบริการและสนับสนุนบริการสุขภาพ</v>
      </c>
      <c r="S37" s="26" t="str">
        <f t="shared" si="6"/>
        <v>กลุ่มงานประกันสุขภาพ</v>
      </c>
      <c r="T37" s="26" t="s">
        <v>1601</v>
      </c>
      <c r="U37" s="26" t="s">
        <v>1302</v>
      </c>
      <c r="V37" s="25" t="s">
        <v>46</v>
      </c>
      <c r="W37" s="26" t="s">
        <v>1616</v>
      </c>
      <c r="X37" s="25" t="s">
        <v>21</v>
      </c>
      <c r="Y37" s="31">
        <v>1.0</v>
      </c>
      <c r="Z37" s="31">
        <v>7.0</v>
      </c>
      <c r="AA37" s="31">
        <v>28.0</v>
      </c>
      <c r="AB37" s="31">
        <v>15.0</v>
      </c>
      <c r="AC37" s="32">
        <v>1.0</v>
      </c>
      <c r="AD37" s="26"/>
      <c r="AE37" s="26"/>
      <c r="AF37" s="32">
        <v>36.0</v>
      </c>
      <c r="AG37" s="33">
        <v>1.509901667236E12</v>
      </c>
      <c r="AH37" s="33" t="s">
        <v>1034</v>
      </c>
      <c r="AI37" s="40">
        <v>233482.0</v>
      </c>
    </row>
    <row r="38" ht="38.25" hidden="1" customHeight="1">
      <c r="A38" s="25">
        <v>37.0</v>
      </c>
      <c r="B38" s="26" t="s">
        <v>1037</v>
      </c>
      <c r="C38" s="26" t="s">
        <v>4047</v>
      </c>
      <c r="D38" s="26" t="s">
        <v>4048</v>
      </c>
      <c r="E38" s="26" t="s">
        <v>3976</v>
      </c>
      <c r="F38" s="26" t="s">
        <v>3976</v>
      </c>
      <c r="G38" s="27" t="s">
        <v>1110</v>
      </c>
      <c r="H38" s="27" t="s">
        <v>1110</v>
      </c>
      <c r="I38" s="29" t="s">
        <v>4049</v>
      </c>
      <c r="J38" s="29" t="s">
        <v>3963</v>
      </c>
      <c r="K38" s="27" t="s">
        <v>1137</v>
      </c>
      <c r="L38" s="25">
        <v>3.0</v>
      </c>
      <c r="M38" s="27" t="s">
        <v>1137</v>
      </c>
      <c r="N38" s="30" t="s">
        <v>1174</v>
      </c>
      <c r="O38" s="26" t="s">
        <v>1557</v>
      </c>
      <c r="P38" s="26" t="s">
        <v>1567</v>
      </c>
      <c r="Q38" s="26" t="str">
        <f t="shared" si="11"/>
        <v>กลุ่มงานประกันสุขภาพ</v>
      </c>
      <c r="R38" s="26" t="str">
        <f t="shared" si="12"/>
        <v>ภารกิจด้านพัฒนาระบบบริการและสนับสนุนบริการสุขภาพ</v>
      </c>
      <c r="S38" s="26" t="str">
        <f t="shared" si="6"/>
        <v>กลุ่มงานประกันสุขภาพ</v>
      </c>
      <c r="T38" s="26" t="s">
        <v>1601</v>
      </c>
      <c r="U38" s="26" t="s">
        <v>1302</v>
      </c>
      <c r="V38" s="25" t="s">
        <v>46</v>
      </c>
      <c r="W38" s="26" t="s">
        <v>1616</v>
      </c>
      <c r="X38" s="25" t="s">
        <v>21</v>
      </c>
      <c r="Y38" s="31">
        <v>1.0</v>
      </c>
      <c r="Z38" s="31">
        <v>7.0</v>
      </c>
      <c r="AA38" s="31">
        <v>28.0</v>
      </c>
      <c r="AB38" s="31">
        <v>15.0</v>
      </c>
      <c r="AC38" s="32">
        <v>1.0</v>
      </c>
      <c r="AD38" s="26"/>
      <c r="AE38" s="26"/>
      <c r="AF38" s="32">
        <v>36.0</v>
      </c>
      <c r="AG38" s="37">
        <v>1.500601120781E12</v>
      </c>
      <c r="AH38" s="37" t="s">
        <v>1246</v>
      </c>
      <c r="AI38" s="44">
        <v>233765.0</v>
      </c>
    </row>
    <row r="39" ht="38.25" hidden="1" customHeight="1">
      <c r="A39" s="32">
        <v>38.0</v>
      </c>
      <c r="B39" s="26" t="s">
        <v>806</v>
      </c>
      <c r="C39" s="26" t="s">
        <v>4050</v>
      </c>
      <c r="D39" s="26" t="s">
        <v>4051</v>
      </c>
      <c r="E39" s="26" t="s">
        <v>3976</v>
      </c>
      <c r="F39" s="26" t="s">
        <v>3976</v>
      </c>
      <c r="G39" s="27" t="s">
        <v>1110</v>
      </c>
      <c r="H39" s="27" t="s">
        <v>1110</v>
      </c>
      <c r="I39" s="29" t="s">
        <v>4052</v>
      </c>
      <c r="J39" s="29" t="s">
        <v>3963</v>
      </c>
      <c r="K39" s="27" t="s">
        <v>1137</v>
      </c>
      <c r="L39" s="25">
        <v>3.0</v>
      </c>
      <c r="M39" s="27" t="s">
        <v>1137</v>
      </c>
      <c r="N39" s="59" t="s">
        <v>3981</v>
      </c>
      <c r="O39" s="26" t="s">
        <v>4053</v>
      </c>
      <c r="P39" s="26" t="s">
        <v>4053</v>
      </c>
      <c r="Q39" s="26" t="s">
        <v>4054</v>
      </c>
      <c r="R39" s="26" t="s">
        <v>4054</v>
      </c>
      <c r="S39" s="26" t="str">
        <f t="shared" si="6"/>
        <v>กลุ่มงานบริหารทั่วไป</v>
      </c>
      <c r="T39" s="26" t="s">
        <v>3992</v>
      </c>
      <c r="U39" s="26" t="s">
        <v>1302</v>
      </c>
      <c r="V39" s="25" t="s">
        <v>46</v>
      </c>
      <c r="W39" s="26" t="s">
        <v>1323</v>
      </c>
      <c r="X39" s="25" t="s">
        <v>46</v>
      </c>
      <c r="Y39" s="31">
        <v>4.0</v>
      </c>
      <c r="Z39" s="31">
        <v>15.0</v>
      </c>
      <c r="AA39" s="31">
        <v>85.0</v>
      </c>
      <c r="AB39" s="31">
        <v>15.0</v>
      </c>
      <c r="AC39" s="32">
        <v>1.0</v>
      </c>
      <c r="AD39" s="26"/>
      <c r="AE39" s="26"/>
      <c r="AF39" s="32">
        <v>36.0</v>
      </c>
      <c r="AG39" s="37">
        <v>1.341500202881E12</v>
      </c>
      <c r="AH39" s="37" t="s">
        <v>1533</v>
      </c>
      <c r="AI39" s="44">
        <v>232448.0</v>
      </c>
    </row>
    <row r="40" ht="38.25" hidden="1" customHeight="1">
      <c r="A40" s="25">
        <v>39.0</v>
      </c>
      <c r="B40" s="26" t="s">
        <v>1037</v>
      </c>
      <c r="C40" s="26" t="s">
        <v>4055</v>
      </c>
      <c r="D40" s="26" t="s">
        <v>4056</v>
      </c>
      <c r="E40" s="26" t="s">
        <v>3976</v>
      </c>
      <c r="F40" s="26" t="s">
        <v>3976</v>
      </c>
      <c r="G40" s="27" t="s">
        <v>1110</v>
      </c>
      <c r="H40" s="27" t="s">
        <v>1110</v>
      </c>
      <c r="I40" s="29" t="s">
        <v>4057</v>
      </c>
      <c r="J40" s="29" t="s">
        <v>3963</v>
      </c>
      <c r="K40" s="27" t="s">
        <v>1137</v>
      </c>
      <c r="L40" s="25">
        <v>3.0</v>
      </c>
      <c r="M40" s="27" t="s">
        <v>1137</v>
      </c>
      <c r="N40" s="30" t="s">
        <v>1174</v>
      </c>
      <c r="O40" s="26" t="s">
        <v>3996</v>
      </c>
      <c r="P40" s="26" t="s">
        <v>3996</v>
      </c>
      <c r="Q40" s="26" t="str">
        <f>+T40</f>
        <v>กลุ่มงานบริหารทั่วไป</v>
      </c>
      <c r="R40" s="26" t="str">
        <f>+W40</f>
        <v>ภารกิจด้านอำนวยการ</v>
      </c>
      <c r="S40" s="26" t="str">
        <f t="shared" si="6"/>
        <v>กลุ่มงานบริหารทั่วไป</v>
      </c>
      <c r="T40" s="26" t="s">
        <v>3992</v>
      </c>
      <c r="U40" s="26" t="s">
        <v>1302</v>
      </c>
      <c r="V40" s="25" t="s">
        <v>46</v>
      </c>
      <c r="W40" s="26" t="s">
        <v>1323</v>
      </c>
      <c r="X40" s="25" t="s">
        <v>46</v>
      </c>
      <c r="Y40" s="31">
        <v>4.0</v>
      </c>
      <c r="Z40" s="31">
        <v>15.0</v>
      </c>
      <c r="AA40" s="31">
        <v>85.0</v>
      </c>
      <c r="AB40" s="31">
        <v>15.0</v>
      </c>
      <c r="AC40" s="32">
        <v>1.0</v>
      </c>
      <c r="AD40" s="26"/>
      <c r="AE40" s="26"/>
      <c r="AF40" s="32">
        <v>36.0</v>
      </c>
      <c r="AG40" s="33">
        <v>8.50068401929E12</v>
      </c>
      <c r="AH40" s="33" t="s">
        <v>1695</v>
      </c>
      <c r="AI40" s="34" t="s">
        <v>4058</v>
      </c>
    </row>
    <row r="41" ht="38.25" hidden="1" customHeight="1">
      <c r="A41" s="32">
        <v>40.0</v>
      </c>
      <c r="B41" s="26" t="s">
        <v>1037</v>
      </c>
      <c r="C41" s="26" t="s">
        <v>4059</v>
      </c>
      <c r="D41" s="26" t="s">
        <v>4060</v>
      </c>
      <c r="E41" s="26" t="s">
        <v>3976</v>
      </c>
      <c r="F41" s="26" t="s">
        <v>3976</v>
      </c>
      <c r="G41" s="27" t="s">
        <v>1110</v>
      </c>
      <c r="H41" s="27" t="s">
        <v>1110</v>
      </c>
      <c r="I41" s="29" t="s">
        <v>4061</v>
      </c>
      <c r="J41" s="29" t="s">
        <v>3963</v>
      </c>
      <c r="K41" s="27" t="s">
        <v>1137</v>
      </c>
      <c r="L41" s="25">
        <v>3.0</v>
      </c>
      <c r="M41" s="27" t="s">
        <v>1137</v>
      </c>
      <c r="N41" s="59" t="s">
        <v>3981</v>
      </c>
      <c r="O41" s="26" t="s">
        <v>4062</v>
      </c>
      <c r="P41" s="26" t="str">
        <f t="shared" ref="P41:P42" si="13">+O42</f>
        <v>เลขา รองอำนวยการ</v>
      </c>
      <c r="Q41" s="26" t="s">
        <v>4063</v>
      </c>
      <c r="R41" s="26" t="s">
        <v>4064</v>
      </c>
      <c r="S41" s="26" t="str">
        <f t="shared" si="6"/>
        <v>กลุ่มงานบริหารทั่วไป</v>
      </c>
      <c r="T41" s="26" t="s">
        <v>3992</v>
      </c>
      <c r="U41" s="26" t="s">
        <v>1302</v>
      </c>
      <c r="V41" s="25" t="s">
        <v>46</v>
      </c>
      <c r="W41" s="26" t="s">
        <v>1323</v>
      </c>
      <c r="X41" s="25" t="s">
        <v>3935</v>
      </c>
      <c r="Y41" s="31">
        <v>4.0</v>
      </c>
      <c r="Z41" s="31">
        <v>15.0</v>
      </c>
      <c r="AA41" s="63">
        <v>85.0</v>
      </c>
      <c r="AB41" s="31">
        <v>15.0</v>
      </c>
      <c r="AC41" s="32">
        <v>1.0</v>
      </c>
      <c r="AD41" s="26"/>
      <c r="AE41" s="26"/>
      <c r="AF41" s="32">
        <v>36.0</v>
      </c>
      <c r="AG41" s="37">
        <v>1.509901105726E12</v>
      </c>
      <c r="AH41" s="37" t="s">
        <v>1528</v>
      </c>
      <c r="AI41" s="38" t="s">
        <v>4065</v>
      </c>
    </row>
    <row r="42" ht="38.25" hidden="1" customHeight="1">
      <c r="A42" s="25">
        <v>41.0</v>
      </c>
      <c r="B42" s="26" t="s">
        <v>1037</v>
      </c>
      <c r="C42" s="26" t="s">
        <v>4066</v>
      </c>
      <c r="D42" s="26" t="s">
        <v>4067</v>
      </c>
      <c r="E42" s="26" t="s">
        <v>3976</v>
      </c>
      <c r="F42" s="26" t="s">
        <v>3976</v>
      </c>
      <c r="G42" s="27" t="s">
        <v>1110</v>
      </c>
      <c r="H42" s="27" t="s">
        <v>1110</v>
      </c>
      <c r="I42" s="29" t="s">
        <v>4068</v>
      </c>
      <c r="J42" s="29" t="s">
        <v>3963</v>
      </c>
      <c r="K42" s="27" t="s">
        <v>1137</v>
      </c>
      <c r="L42" s="25">
        <v>3.0</v>
      </c>
      <c r="M42" s="27" t="s">
        <v>1137</v>
      </c>
      <c r="N42" s="30" t="s">
        <v>1174</v>
      </c>
      <c r="O42" s="26" t="s">
        <v>4069</v>
      </c>
      <c r="P42" s="26" t="str">
        <f t="shared" si="13"/>
        <v>ทรัพยากรบุคคล</v>
      </c>
      <c r="Q42" s="26" t="str">
        <f t="shared" ref="Q42:Q44" si="14">+T42</f>
        <v>กลุ่มงานบริหารทั่วไป</v>
      </c>
      <c r="R42" s="26" t="str">
        <f t="shared" ref="R42:R44" si="15">+W42</f>
        <v>ภารกิจด้านอำนวยการ</v>
      </c>
      <c r="S42" s="26" t="str">
        <f t="shared" si="6"/>
        <v>กลุ่มงานบริหารทั่วไป</v>
      </c>
      <c r="T42" s="26" t="s">
        <v>3992</v>
      </c>
      <c r="U42" s="26" t="s">
        <v>1302</v>
      </c>
      <c r="V42" s="25" t="s">
        <v>46</v>
      </c>
      <c r="W42" s="26" t="s">
        <v>1323</v>
      </c>
      <c r="X42" s="25" t="s">
        <v>46</v>
      </c>
      <c r="Y42" s="31">
        <v>4.0</v>
      </c>
      <c r="Z42" s="31">
        <v>15.0</v>
      </c>
      <c r="AA42" s="31">
        <v>85.0</v>
      </c>
      <c r="AB42" s="31">
        <v>15.0</v>
      </c>
      <c r="AC42" s="32">
        <v>1.0</v>
      </c>
      <c r="AD42" s="26"/>
      <c r="AE42" s="26"/>
      <c r="AF42" s="32">
        <v>36.0</v>
      </c>
      <c r="AG42" s="33">
        <v>1.52990209907E12</v>
      </c>
      <c r="AH42" s="33" t="s">
        <v>514</v>
      </c>
      <c r="AI42" s="34" t="s">
        <v>4070</v>
      </c>
    </row>
    <row r="43" ht="38.25" hidden="1" customHeight="1">
      <c r="A43" s="32">
        <v>42.0</v>
      </c>
      <c r="B43" s="26" t="s">
        <v>1037</v>
      </c>
      <c r="C43" s="26" t="s">
        <v>4071</v>
      </c>
      <c r="D43" s="26" t="s">
        <v>4072</v>
      </c>
      <c r="E43" s="26" t="s">
        <v>3976</v>
      </c>
      <c r="F43" s="26" t="s">
        <v>3976</v>
      </c>
      <c r="G43" s="27" t="s">
        <v>1110</v>
      </c>
      <c r="H43" s="27" t="s">
        <v>1110</v>
      </c>
      <c r="I43" s="29" t="s">
        <v>4073</v>
      </c>
      <c r="J43" s="29" t="s">
        <v>3963</v>
      </c>
      <c r="K43" s="27" t="s">
        <v>1137</v>
      </c>
      <c r="L43" s="25">
        <v>3.0</v>
      </c>
      <c r="M43" s="27" t="s">
        <v>1137</v>
      </c>
      <c r="N43" s="30" t="s">
        <v>1174</v>
      </c>
      <c r="O43" s="26" t="s">
        <v>814</v>
      </c>
      <c r="P43" s="26" t="s">
        <v>3985</v>
      </c>
      <c r="Q43" s="26" t="str">
        <f t="shared" si="14"/>
        <v>กลุ่มงานทรัพยากรบุคคล</v>
      </c>
      <c r="R43" s="26" t="str">
        <f t="shared" si="15"/>
        <v>ภารกิจด้านอำนวยการ</v>
      </c>
      <c r="S43" s="26" t="str">
        <f t="shared" si="6"/>
        <v>กลุ่มงานทรัพยากรบุคคล</v>
      </c>
      <c r="T43" s="26" t="s">
        <v>812</v>
      </c>
      <c r="U43" s="26" t="s">
        <v>1302</v>
      </c>
      <c r="V43" s="25" t="s">
        <v>3978</v>
      </c>
      <c r="W43" s="26" t="s">
        <v>1323</v>
      </c>
      <c r="X43" s="25" t="s">
        <v>46</v>
      </c>
      <c r="Y43" s="31">
        <v>5.0</v>
      </c>
      <c r="Z43" s="31">
        <v>10.0</v>
      </c>
      <c r="AA43" s="31">
        <v>85.0</v>
      </c>
      <c r="AB43" s="31">
        <v>15.0</v>
      </c>
      <c r="AC43" s="32">
        <v>1.0</v>
      </c>
      <c r="AD43" s="26"/>
      <c r="AE43" s="26"/>
      <c r="AF43" s="32">
        <v>36.0</v>
      </c>
      <c r="AG43" s="37">
        <v>1.520500124918E12</v>
      </c>
      <c r="AH43" s="37" t="s">
        <v>601</v>
      </c>
      <c r="AI43" s="38" t="s">
        <v>4074</v>
      </c>
    </row>
    <row r="44" ht="38.25" hidden="1" customHeight="1">
      <c r="A44" s="25">
        <v>43.0</v>
      </c>
      <c r="B44" s="26" t="s">
        <v>1037</v>
      </c>
      <c r="C44" s="26" t="s">
        <v>4075</v>
      </c>
      <c r="D44" s="26" t="s">
        <v>4076</v>
      </c>
      <c r="E44" s="26" t="s">
        <v>3976</v>
      </c>
      <c r="F44" s="26" t="s">
        <v>3976</v>
      </c>
      <c r="G44" s="27" t="s">
        <v>1110</v>
      </c>
      <c r="H44" s="27" t="s">
        <v>1110</v>
      </c>
      <c r="I44" s="29" t="s">
        <v>4077</v>
      </c>
      <c r="J44" s="29" t="s">
        <v>3963</v>
      </c>
      <c r="K44" s="27" t="s">
        <v>1137</v>
      </c>
      <c r="L44" s="25">
        <v>3.0</v>
      </c>
      <c r="M44" s="27" t="s">
        <v>1137</v>
      </c>
      <c r="N44" s="30" t="s">
        <v>1174</v>
      </c>
      <c r="O44" s="26" t="str">
        <f>+S44</f>
        <v>กลุ่มงานเทคโนโลยีสารสนเทศ</v>
      </c>
      <c r="P44" s="26" t="s">
        <v>1321</v>
      </c>
      <c r="Q44" s="26" t="str">
        <f t="shared" si="14"/>
        <v>กลุ่มงานเทคโนโลยีสารสนเทศ</v>
      </c>
      <c r="R44" s="26" t="str">
        <f t="shared" si="15"/>
        <v>ภารกิจสุขภาพดิจิทัล</v>
      </c>
      <c r="S44" s="26" t="s">
        <v>3973</v>
      </c>
      <c r="T44" s="26" t="s">
        <v>3973</v>
      </c>
      <c r="U44" s="26" t="s">
        <v>1302</v>
      </c>
      <c r="V44" s="25" t="s">
        <v>46</v>
      </c>
      <c r="W44" s="26" t="s">
        <v>3972</v>
      </c>
      <c r="X44" s="25" t="s">
        <v>3945</v>
      </c>
      <c r="Y44" s="31">
        <v>1.0</v>
      </c>
      <c r="Z44" s="31">
        <v>7.0</v>
      </c>
      <c r="AA44" s="31">
        <v>15.0</v>
      </c>
      <c r="AB44" s="31">
        <v>15.0</v>
      </c>
      <c r="AC44" s="32">
        <v>1.0</v>
      </c>
      <c r="AD44" s="26"/>
      <c r="AE44" s="26"/>
      <c r="AF44" s="32">
        <v>36.0</v>
      </c>
      <c r="AG44" s="37">
        <v>1.471000191278E12</v>
      </c>
      <c r="AH44" s="37" t="s">
        <v>1139</v>
      </c>
      <c r="AI44" s="39">
        <v>234833.0</v>
      </c>
    </row>
    <row r="45" ht="38.25" hidden="1" customHeight="1">
      <c r="A45" s="32">
        <v>44.0</v>
      </c>
      <c r="B45" s="26" t="s">
        <v>1037</v>
      </c>
      <c r="C45" s="26" t="s">
        <v>4078</v>
      </c>
      <c r="D45" s="26" t="s">
        <v>4079</v>
      </c>
      <c r="E45" s="26" t="s">
        <v>3976</v>
      </c>
      <c r="F45" s="26" t="s">
        <v>3976</v>
      </c>
      <c r="G45" s="27" t="s">
        <v>1110</v>
      </c>
      <c r="H45" s="27" t="s">
        <v>1110</v>
      </c>
      <c r="I45" s="29" t="s">
        <v>4080</v>
      </c>
      <c r="J45" s="29" t="s">
        <v>3963</v>
      </c>
      <c r="K45" s="27" t="s">
        <v>1137</v>
      </c>
      <c r="L45" s="25">
        <v>3.0</v>
      </c>
      <c r="M45" s="27" t="s">
        <v>1137</v>
      </c>
      <c r="N45" s="59" t="s">
        <v>3981</v>
      </c>
      <c r="O45" s="26" t="s">
        <v>4081</v>
      </c>
      <c r="P45" s="26" t="s">
        <v>4082</v>
      </c>
      <c r="Q45" s="26" t="s">
        <v>1616</v>
      </c>
      <c r="R45" s="26" t="s">
        <v>1616</v>
      </c>
      <c r="S45" s="26" t="str">
        <f t="shared" ref="S45:S161" si="16">+T45</f>
        <v>กลุ่มงานพัฒนาคุณภาพบริการและมาตรฐาน</v>
      </c>
      <c r="T45" s="26" t="s">
        <v>754</v>
      </c>
      <c r="U45" s="26" t="s">
        <v>1302</v>
      </c>
      <c r="V45" s="25" t="s">
        <v>3978</v>
      </c>
      <c r="W45" s="26" t="s">
        <v>1616</v>
      </c>
      <c r="X45" s="25" t="s">
        <v>21</v>
      </c>
      <c r="Y45" s="31">
        <v>1.0</v>
      </c>
      <c r="Z45" s="31">
        <v>7.0</v>
      </c>
      <c r="AA45" s="31">
        <v>28.0</v>
      </c>
      <c r="AB45" s="31">
        <v>15.0</v>
      </c>
      <c r="AC45" s="32">
        <v>1.0</v>
      </c>
      <c r="AD45" s="26"/>
      <c r="AE45" s="26"/>
      <c r="AF45" s="32">
        <v>38.0</v>
      </c>
      <c r="AG45" s="37">
        <v>1.500701262412E12</v>
      </c>
      <c r="AH45" s="37" t="s">
        <v>1347</v>
      </c>
      <c r="AI45" s="38" t="s">
        <v>4083</v>
      </c>
    </row>
    <row r="46" ht="38.25" hidden="1" customHeight="1">
      <c r="A46" s="25">
        <v>45.0</v>
      </c>
      <c r="B46" s="26"/>
      <c r="C46" s="26"/>
      <c r="D46" s="64">
        <v>1.0</v>
      </c>
      <c r="E46" s="26" t="s">
        <v>3976</v>
      </c>
      <c r="F46" s="26" t="s">
        <v>3976</v>
      </c>
      <c r="G46" s="27" t="s">
        <v>1110</v>
      </c>
      <c r="H46" s="27" t="s">
        <v>1110</v>
      </c>
      <c r="I46" s="29" t="s">
        <v>4084</v>
      </c>
      <c r="J46" s="29" t="s">
        <v>3963</v>
      </c>
      <c r="K46" s="27" t="s">
        <v>1137</v>
      </c>
      <c r="L46" s="25">
        <v>3.0</v>
      </c>
      <c r="M46" s="27" t="s">
        <v>1137</v>
      </c>
      <c r="N46" s="30" t="s">
        <v>1174</v>
      </c>
      <c r="O46" s="26" t="s">
        <v>3996</v>
      </c>
      <c r="P46" s="26" t="s">
        <v>3996</v>
      </c>
      <c r="Q46" s="26" t="str">
        <f t="shared" ref="Q46:Q47" si="17">+T46</f>
        <v>กลุ่มงานบริหารทั่วไป</v>
      </c>
      <c r="R46" s="26" t="str">
        <f t="shared" ref="R46:R47" si="18">+W46</f>
        <v>ภารกิจด้านอำนวยการ</v>
      </c>
      <c r="S46" s="26" t="str">
        <f t="shared" si="16"/>
        <v>กลุ่มงานบริหารทั่วไป</v>
      </c>
      <c r="T46" s="26" t="s">
        <v>3992</v>
      </c>
      <c r="U46" s="26" t="s">
        <v>1302</v>
      </c>
      <c r="V46" s="25" t="s">
        <v>46</v>
      </c>
      <c r="W46" s="26" t="s">
        <v>1323</v>
      </c>
      <c r="X46" s="25" t="s">
        <v>46</v>
      </c>
      <c r="Y46" s="31">
        <v>4.0</v>
      </c>
      <c r="Z46" s="31">
        <v>15.0</v>
      </c>
      <c r="AA46" s="31">
        <v>85.0</v>
      </c>
      <c r="AB46" s="31">
        <v>15.0</v>
      </c>
      <c r="AC46" s="32">
        <v>1.0</v>
      </c>
      <c r="AD46" s="26"/>
      <c r="AE46" s="26"/>
      <c r="AF46" s="32">
        <v>36.0</v>
      </c>
      <c r="AG46" s="33">
        <v>1.549900388431E12</v>
      </c>
      <c r="AH46" s="33" t="s">
        <v>1152</v>
      </c>
      <c r="AI46" s="34" t="s">
        <v>4085</v>
      </c>
    </row>
    <row r="47" ht="38.25" hidden="1" customHeight="1">
      <c r="A47" s="32">
        <v>46.0</v>
      </c>
      <c r="B47" s="26" t="s">
        <v>1037</v>
      </c>
      <c r="C47" s="26" t="s">
        <v>4086</v>
      </c>
      <c r="D47" s="26" t="s">
        <v>4087</v>
      </c>
      <c r="E47" s="26" t="s">
        <v>4088</v>
      </c>
      <c r="F47" s="26" t="s">
        <v>4088</v>
      </c>
      <c r="G47" s="27" t="s">
        <v>1110</v>
      </c>
      <c r="H47" s="27" t="s">
        <v>1110</v>
      </c>
      <c r="I47" s="29" t="s">
        <v>4089</v>
      </c>
      <c r="J47" s="29" t="s">
        <v>3963</v>
      </c>
      <c r="K47" s="27" t="s">
        <v>1137</v>
      </c>
      <c r="L47" s="25">
        <v>3.0</v>
      </c>
      <c r="M47" s="27" t="s">
        <v>1137</v>
      </c>
      <c r="N47" s="30" t="s">
        <v>1174</v>
      </c>
      <c r="O47" s="26" t="s">
        <v>4090</v>
      </c>
      <c r="P47" s="26" t="s">
        <v>4090</v>
      </c>
      <c r="Q47" s="26" t="str">
        <f t="shared" si="17"/>
        <v>กลุ่มงานโครงสร้างพื้นฐานและวิศวกรรมทางการแพทย์</v>
      </c>
      <c r="R47" s="26" t="str">
        <f t="shared" si="18"/>
        <v>ภารกิจด้านอำนวยการ</v>
      </c>
      <c r="S47" s="26" t="str">
        <f t="shared" si="16"/>
        <v>กลุ่มงานโครงสร้างพื้นฐานและวิศวกรรมทางการแพทย์</v>
      </c>
      <c r="T47" s="26" t="s">
        <v>4091</v>
      </c>
      <c r="U47" s="26" t="s">
        <v>1302</v>
      </c>
      <c r="V47" s="25" t="s">
        <v>21</v>
      </c>
      <c r="W47" s="26" t="s">
        <v>1323</v>
      </c>
      <c r="X47" s="25" t="s">
        <v>46</v>
      </c>
      <c r="Y47" s="31">
        <v>1.0</v>
      </c>
      <c r="Z47" s="31">
        <v>20.0</v>
      </c>
      <c r="AA47" s="31">
        <v>85.0</v>
      </c>
      <c r="AB47" s="31">
        <v>15.0</v>
      </c>
      <c r="AC47" s="32">
        <v>1.0</v>
      </c>
      <c r="AD47" s="26"/>
      <c r="AE47" s="26"/>
      <c r="AF47" s="32">
        <v>36.0</v>
      </c>
      <c r="AG47" s="37">
        <v>1.190201110404E12</v>
      </c>
      <c r="AH47" s="37" t="s">
        <v>1251</v>
      </c>
      <c r="AI47" s="38" t="s">
        <v>4092</v>
      </c>
    </row>
    <row r="48" ht="38.25" hidden="1" customHeight="1">
      <c r="A48" s="25">
        <v>47.0</v>
      </c>
      <c r="B48" s="26" t="s">
        <v>1037</v>
      </c>
      <c r="C48" s="26" t="s">
        <v>3994</v>
      </c>
      <c r="D48" s="26" t="s">
        <v>4093</v>
      </c>
      <c r="E48" s="26" t="s">
        <v>3976</v>
      </c>
      <c r="F48" s="26" t="s">
        <v>3976</v>
      </c>
      <c r="G48" s="27" t="s">
        <v>1110</v>
      </c>
      <c r="H48" s="27" t="s">
        <v>1110</v>
      </c>
      <c r="I48" s="29" t="s">
        <v>4094</v>
      </c>
      <c r="J48" s="29" t="s">
        <v>3949</v>
      </c>
      <c r="K48" s="27" t="s">
        <v>1137</v>
      </c>
      <c r="L48" s="25">
        <v>3.0</v>
      </c>
      <c r="M48" s="27" t="s">
        <v>1137</v>
      </c>
      <c r="N48" s="59" t="s">
        <v>3981</v>
      </c>
      <c r="O48" s="26" t="s">
        <v>4095</v>
      </c>
      <c r="P48" s="26" t="str">
        <f>+O48</f>
        <v>กลุ่มงานทันตกรรม</v>
      </c>
      <c r="Q48" s="26" t="s">
        <v>4095</v>
      </c>
      <c r="R48" s="26" t="s">
        <v>4054</v>
      </c>
      <c r="S48" s="26" t="str">
        <f t="shared" si="16"/>
        <v>กลุ่มงานบริหารทั่วไป</v>
      </c>
      <c r="T48" s="26" t="s">
        <v>3992</v>
      </c>
      <c r="U48" s="26" t="s">
        <v>1302</v>
      </c>
      <c r="V48" s="25" t="s">
        <v>46</v>
      </c>
      <c r="W48" s="26" t="s">
        <v>1323</v>
      </c>
      <c r="X48" s="25" t="s">
        <v>46</v>
      </c>
      <c r="Y48" s="31">
        <v>4.0</v>
      </c>
      <c r="Z48" s="31">
        <v>15.0</v>
      </c>
      <c r="AA48" s="31">
        <v>85.0</v>
      </c>
      <c r="AB48" s="31">
        <v>15.0</v>
      </c>
      <c r="AC48" s="32">
        <v>1.0</v>
      </c>
      <c r="AD48" s="26"/>
      <c r="AE48" s="26"/>
      <c r="AF48" s="32">
        <v>36.0</v>
      </c>
      <c r="AG48" s="37">
        <v>1.509901698476E12</v>
      </c>
      <c r="AH48" s="37" t="s">
        <v>1820</v>
      </c>
      <c r="AI48" s="38" t="s">
        <v>4096</v>
      </c>
    </row>
    <row r="49" ht="38.25" hidden="1" customHeight="1">
      <c r="A49" s="32">
        <v>48.0</v>
      </c>
      <c r="B49" s="26" t="s">
        <v>4097</v>
      </c>
      <c r="C49" s="26" t="s">
        <v>4098</v>
      </c>
      <c r="D49" s="26" t="s">
        <v>4099</v>
      </c>
      <c r="E49" s="26" t="s">
        <v>4100</v>
      </c>
      <c r="F49" s="26" t="s">
        <v>4100</v>
      </c>
      <c r="G49" s="27" t="s">
        <v>1110</v>
      </c>
      <c r="H49" s="27" t="s">
        <v>1110</v>
      </c>
      <c r="I49" s="29">
        <v>4314.0</v>
      </c>
      <c r="J49" s="29" t="s">
        <v>1535</v>
      </c>
      <c r="K49" s="27" t="s">
        <v>1137</v>
      </c>
      <c r="L49" s="25">
        <v>3.0</v>
      </c>
      <c r="M49" s="27" t="s">
        <v>1137</v>
      </c>
      <c r="N49" s="30" t="s">
        <v>1174</v>
      </c>
      <c r="O49" s="26" t="s">
        <v>4101</v>
      </c>
      <c r="P49" s="26" t="s">
        <v>4102</v>
      </c>
      <c r="Q49" s="26" t="str">
        <f t="shared" ref="Q49:Q76" si="19">+T49</f>
        <v>กลุ่มงานบริหารทั่วไป</v>
      </c>
      <c r="R49" s="26" t="str">
        <f t="shared" ref="R49:R76" si="20">+W49</f>
        <v>ภารกิจด้านอำนวยการ</v>
      </c>
      <c r="S49" s="26" t="str">
        <f t="shared" si="16"/>
        <v>กลุ่มงานบริหารทั่วไป</v>
      </c>
      <c r="T49" s="26" t="s">
        <v>3992</v>
      </c>
      <c r="U49" s="26" t="s">
        <v>1302</v>
      </c>
      <c r="V49" s="25" t="s">
        <v>46</v>
      </c>
      <c r="W49" s="26" t="s">
        <v>1323</v>
      </c>
      <c r="X49" s="25" t="s">
        <v>46</v>
      </c>
      <c r="Y49" s="31">
        <v>1.0</v>
      </c>
      <c r="Z49" s="31">
        <v>15.0</v>
      </c>
      <c r="AA49" s="31">
        <v>85.0</v>
      </c>
      <c r="AB49" s="31">
        <v>1.0</v>
      </c>
      <c r="AC49" s="32">
        <v>1.0</v>
      </c>
      <c r="AD49" s="26"/>
      <c r="AE49" s="26"/>
      <c r="AF49" s="32">
        <v>35.0</v>
      </c>
      <c r="AG49" s="33">
        <v>1.579900283795E12</v>
      </c>
      <c r="AH49" s="33" t="s">
        <v>2975</v>
      </c>
      <c r="AI49" s="34" t="s">
        <v>4103</v>
      </c>
    </row>
    <row r="50" ht="38.25" hidden="1" customHeight="1">
      <c r="A50" s="25">
        <v>49.0</v>
      </c>
      <c r="B50" s="26" t="s">
        <v>1037</v>
      </c>
      <c r="C50" s="26" t="s">
        <v>4104</v>
      </c>
      <c r="D50" s="26" t="s">
        <v>4105</v>
      </c>
      <c r="E50" s="26" t="s">
        <v>4106</v>
      </c>
      <c r="F50" s="26" t="s">
        <v>4106</v>
      </c>
      <c r="G50" s="27" t="s">
        <v>1110</v>
      </c>
      <c r="H50" s="27" t="s">
        <v>1110</v>
      </c>
      <c r="I50" s="29">
        <v>4336.0</v>
      </c>
      <c r="J50" s="29" t="s">
        <v>1535</v>
      </c>
      <c r="K50" s="27" t="s">
        <v>1137</v>
      </c>
      <c r="L50" s="25">
        <v>3.0</v>
      </c>
      <c r="M50" s="27" t="s">
        <v>1137</v>
      </c>
      <c r="N50" s="30" t="s">
        <v>1174</v>
      </c>
      <c r="O50" s="26" t="s">
        <v>4107</v>
      </c>
      <c r="P50" s="26" t="s">
        <v>4108</v>
      </c>
      <c r="Q50" s="26" t="str">
        <f t="shared" si="19"/>
        <v>กลุ่มงานพัสดุ</v>
      </c>
      <c r="R50" s="26" t="str">
        <f t="shared" si="20"/>
        <v>ภารกิจด้านอำนวยการ</v>
      </c>
      <c r="S50" s="26" t="str">
        <f t="shared" si="16"/>
        <v>กลุ่มงานพัสดุ</v>
      </c>
      <c r="T50" s="26" t="s">
        <v>4107</v>
      </c>
      <c r="U50" s="26" t="s">
        <v>1302</v>
      </c>
      <c r="V50" s="25" t="s">
        <v>3935</v>
      </c>
      <c r="W50" s="26" t="s">
        <v>1323</v>
      </c>
      <c r="X50" s="25" t="s">
        <v>46</v>
      </c>
      <c r="Y50" s="31">
        <v>10.0</v>
      </c>
      <c r="Z50" s="31">
        <v>15.0</v>
      </c>
      <c r="AA50" s="31">
        <v>85.0</v>
      </c>
      <c r="AB50" s="31">
        <v>85.0</v>
      </c>
      <c r="AC50" s="32">
        <v>1.0</v>
      </c>
      <c r="AD50" s="26"/>
      <c r="AE50" s="26"/>
      <c r="AF50" s="32">
        <v>29.0</v>
      </c>
      <c r="AG50" s="33">
        <v>3.410400108616E12</v>
      </c>
      <c r="AH50" s="33" t="s">
        <v>2545</v>
      </c>
      <c r="AI50" s="34" t="s">
        <v>4109</v>
      </c>
    </row>
    <row r="51" ht="38.25" hidden="1" customHeight="1">
      <c r="A51" s="32">
        <v>50.0</v>
      </c>
      <c r="B51" s="26" t="s">
        <v>1037</v>
      </c>
      <c r="C51" s="26" t="s">
        <v>4110</v>
      </c>
      <c r="D51" s="26" t="s">
        <v>4111</v>
      </c>
      <c r="E51" s="26" t="s">
        <v>4106</v>
      </c>
      <c r="F51" s="26" t="s">
        <v>4106</v>
      </c>
      <c r="G51" s="27" t="s">
        <v>1110</v>
      </c>
      <c r="H51" s="27" t="s">
        <v>1110</v>
      </c>
      <c r="I51" s="29">
        <v>4337.0</v>
      </c>
      <c r="J51" s="29" t="s">
        <v>1535</v>
      </c>
      <c r="K51" s="27" t="s">
        <v>1137</v>
      </c>
      <c r="L51" s="25">
        <v>3.0</v>
      </c>
      <c r="M51" s="27" t="s">
        <v>1137</v>
      </c>
      <c r="N51" s="30" t="s">
        <v>1174</v>
      </c>
      <c r="O51" s="26" t="s">
        <v>4107</v>
      </c>
      <c r="P51" s="26" t="s">
        <v>4108</v>
      </c>
      <c r="Q51" s="26" t="str">
        <f t="shared" si="19"/>
        <v>กลุ่มงานพัสดุ</v>
      </c>
      <c r="R51" s="26" t="str">
        <f t="shared" si="20"/>
        <v>ภารกิจด้านอำนวยการ</v>
      </c>
      <c r="S51" s="26" t="str">
        <f t="shared" si="16"/>
        <v>กลุ่มงานพัสดุ</v>
      </c>
      <c r="T51" s="26" t="s">
        <v>4107</v>
      </c>
      <c r="U51" s="26" t="s">
        <v>1302</v>
      </c>
      <c r="V51" s="25" t="s">
        <v>3935</v>
      </c>
      <c r="W51" s="26" t="s">
        <v>1323</v>
      </c>
      <c r="X51" s="25" t="s">
        <v>46</v>
      </c>
      <c r="Y51" s="31">
        <v>10.0</v>
      </c>
      <c r="Z51" s="31">
        <v>15.0</v>
      </c>
      <c r="AA51" s="31">
        <v>85.0</v>
      </c>
      <c r="AB51" s="31">
        <v>85.0</v>
      </c>
      <c r="AC51" s="32">
        <v>1.0</v>
      </c>
      <c r="AD51" s="26"/>
      <c r="AE51" s="26"/>
      <c r="AF51" s="32">
        <v>29.0</v>
      </c>
      <c r="AG51" s="37">
        <v>1.509901356681E12</v>
      </c>
      <c r="AH51" s="37" t="s">
        <v>2966</v>
      </c>
      <c r="AI51" s="38" t="s">
        <v>4112</v>
      </c>
    </row>
    <row r="52" ht="38.25" hidden="1" customHeight="1">
      <c r="A52" s="25">
        <v>51.0</v>
      </c>
      <c r="B52" s="26" t="s">
        <v>1037</v>
      </c>
      <c r="C52" s="26" t="s">
        <v>4113</v>
      </c>
      <c r="D52" s="26" t="s">
        <v>4114</v>
      </c>
      <c r="E52" s="26" t="s">
        <v>4106</v>
      </c>
      <c r="F52" s="26" t="s">
        <v>4106</v>
      </c>
      <c r="G52" s="27" t="s">
        <v>1110</v>
      </c>
      <c r="H52" s="27" t="s">
        <v>1110</v>
      </c>
      <c r="I52" s="29">
        <v>4334.0</v>
      </c>
      <c r="J52" s="29" t="s">
        <v>1535</v>
      </c>
      <c r="K52" s="27" t="s">
        <v>1137</v>
      </c>
      <c r="L52" s="25">
        <v>3.0</v>
      </c>
      <c r="M52" s="27" t="s">
        <v>1137</v>
      </c>
      <c r="N52" s="30" t="s">
        <v>1174</v>
      </c>
      <c r="O52" s="26" t="s">
        <v>4107</v>
      </c>
      <c r="P52" s="26" t="s">
        <v>4108</v>
      </c>
      <c r="Q52" s="26" t="str">
        <f t="shared" si="19"/>
        <v>กลุ่มงานพัสดุ</v>
      </c>
      <c r="R52" s="26" t="str">
        <f t="shared" si="20"/>
        <v>ภารกิจด้านอำนวยการ</v>
      </c>
      <c r="S52" s="26" t="str">
        <f t="shared" si="16"/>
        <v>กลุ่มงานพัสดุ</v>
      </c>
      <c r="T52" s="26" t="s">
        <v>4107</v>
      </c>
      <c r="U52" s="26" t="s">
        <v>1302</v>
      </c>
      <c r="V52" s="25" t="s">
        <v>3935</v>
      </c>
      <c r="W52" s="26" t="s">
        <v>1323</v>
      </c>
      <c r="X52" s="25" t="s">
        <v>46</v>
      </c>
      <c r="Y52" s="31">
        <v>10.0</v>
      </c>
      <c r="Z52" s="31">
        <v>15.0</v>
      </c>
      <c r="AA52" s="31">
        <v>85.0</v>
      </c>
      <c r="AB52" s="31">
        <v>85.0</v>
      </c>
      <c r="AC52" s="32">
        <v>1.0</v>
      </c>
      <c r="AD52" s="26"/>
      <c r="AE52" s="26"/>
      <c r="AF52" s="32">
        <v>29.0</v>
      </c>
      <c r="AG52" s="33">
        <v>3.50070026101E12</v>
      </c>
      <c r="AH52" s="33" t="s">
        <v>3248</v>
      </c>
      <c r="AI52" s="34" t="s">
        <v>4115</v>
      </c>
    </row>
    <row r="53" ht="38.25" hidden="1" customHeight="1">
      <c r="A53" s="32">
        <v>52.0</v>
      </c>
      <c r="B53" s="26" t="s">
        <v>1037</v>
      </c>
      <c r="C53" s="26" t="s">
        <v>4116</v>
      </c>
      <c r="D53" s="26" t="s">
        <v>4117</v>
      </c>
      <c r="E53" s="26" t="s">
        <v>4106</v>
      </c>
      <c r="F53" s="26" t="s">
        <v>4106</v>
      </c>
      <c r="G53" s="27" t="s">
        <v>1110</v>
      </c>
      <c r="H53" s="27" t="s">
        <v>1110</v>
      </c>
      <c r="I53" s="29">
        <v>4335.0</v>
      </c>
      <c r="J53" s="29" t="s">
        <v>1535</v>
      </c>
      <c r="K53" s="27" t="s">
        <v>1137</v>
      </c>
      <c r="L53" s="25">
        <v>3.0</v>
      </c>
      <c r="M53" s="27" t="s">
        <v>1137</v>
      </c>
      <c r="N53" s="30" t="s">
        <v>1174</v>
      </c>
      <c r="O53" s="26" t="s">
        <v>4107</v>
      </c>
      <c r="P53" s="26" t="s">
        <v>4108</v>
      </c>
      <c r="Q53" s="26" t="str">
        <f t="shared" si="19"/>
        <v>กลุ่มงานพัสดุ</v>
      </c>
      <c r="R53" s="26" t="str">
        <f t="shared" si="20"/>
        <v>ภารกิจด้านอำนวยการ</v>
      </c>
      <c r="S53" s="26" t="str">
        <f t="shared" si="16"/>
        <v>กลุ่มงานพัสดุ</v>
      </c>
      <c r="T53" s="26" t="s">
        <v>4107</v>
      </c>
      <c r="U53" s="26" t="s">
        <v>1302</v>
      </c>
      <c r="V53" s="25" t="s">
        <v>3935</v>
      </c>
      <c r="W53" s="26" t="s">
        <v>1323</v>
      </c>
      <c r="X53" s="25" t="s">
        <v>46</v>
      </c>
      <c r="Y53" s="31">
        <v>10.0</v>
      </c>
      <c r="Z53" s="31">
        <v>15.0</v>
      </c>
      <c r="AA53" s="31">
        <v>85.0</v>
      </c>
      <c r="AB53" s="31">
        <v>85.0</v>
      </c>
      <c r="AC53" s="32">
        <v>1.0</v>
      </c>
      <c r="AD53" s="26"/>
      <c r="AE53" s="26"/>
      <c r="AF53" s="32">
        <v>29.0</v>
      </c>
      <c r="AG53" s="37">
        <v>3.530300174802E12</v>
      </c>
      <c r="AH53" s="37" t="s">
        <v>3216</v>
      </c>
      <c r="AI53" s="38" t="s">
        <v>4118</v>
      </c>
    </row>
    <row r="54" ht="38.25" hidden="1" customHeight="1">
      <c r="A54" s="25">
        <v>53.0</v>
      </c>
      <c r="B54" s="26" t="s">
        <v>1037</v>
      </c>
      <c r="C54" s="26" t="s">
        <v>4119</v>
      </c>
      <c r="D54" s="26" t="s">
        <v>4120</v>
      </c>
      <c r="E54" s="26" t="s">
        <v>4106</v>
      </c>
      <c r="F54" s="26" t="s">
        <v>4106</v>
      </c>
      <c r="G54" s="27" t="s">
        <v>1110</v>
      </c>
      <c r="H54" s="27" t="s">
        <v>1110</v>
      </c>
      <c r="I54" s="29" t="s">
        <v>4121</v>
      </c>
      <c r="J54" s="29" t="s">
        <v>3963</v>
      </c>
      <c r="K54" s="27" t="s">
        <v>1137</v>
      </c>
      <c r="L54" s="25">
        <v>3.0</v>
      </c>
      <c r="M54" s="27" t="s">
        <v>1137</v>
      </c>
      <c r="N54" s="30" t="s">
        <v>1174</v>
      </c>
      <c r="O54" s="26" t="s">
        <v>4107</v>
      </c>
      <c r="P54" s="26" t="s">
        <v>4108</v>
      </c>
      <c r="Q54" s="26" t="str">
        <f t="shared" si="19"/>
        <v>กลุ่มงานพัสดุ</v>
      </c>
      <c r="R54" s="26" t="str">
        <f t="shared" si="20"/>
        <v>ภารกิจด้านอำนวยการ</v>
      </c>
      <c r="S54" s="26" t="str">
        <f t="shared" si="16"/>
        <v>กลุ่มงานพัสดุ</v>
      </c>
      <c r="T54" s="26" t="s">
        <v>4107</v>
      </c>
      <c r="U54" s="26" t="s">
        <v>1302</v>
      </c>
      <c r="V54" s="25" t="s">
        <v>3935</v>
      </c>
      <c r="W54" s="26" t="s">
        <v>1323</v>
      </c>
      <c r="X54" s="25" t="s">
        <v>46</v>
      </c>
      <c r="Y54" s="31">
        <v>10.0</v>
      </c>
      <c r="Z54" s="31">
        <v>15.0</v>
      </c>
      <c r="AA54" s="31">
        <v>85.0</v>
      </c>
      <c r="AB54" s="31">
        <v>85.0</v>
      </c>
      <c r="AC54" s="32">
        <v>1.0</v>
      </c>
      <c r="AD54" s="26"/>
      <c r="AE54" s="26"/>
      <c r="AF54" s="32">
        <v>29.0</v>
      </c>
      <c r="AG54" s="37">
        <v>2.240401040288E12</v>
      </c>
      <c r="AH54" s="37" t="s">
        <v>522</v>
      </c>
      <c r="AI54" s="44">
        <v>233604.0</v>
      </c>
    </row>
    <row r="55" ht="38.25" hidden="1" customHeight="1">
      <c r="A55" s="32">
        <v>54.0</v>
      </c>
      <c r="B55" s="26" t="s">
        <v>2692</v>
      </c>
      <c r="C55" s="26" t="s">
        <v>4122</v>
      </c>
      <c r="D55" s="26" t="s">
        <v>4123</v>
      </c>
      <c r="E55" s="26" t="s">
        <v>4106</v>
      </c>
      <c r="F55" s="26" t="s">
        <v>4106</v>
      </c>
      <c r="G55" s="27" t="s">
        <v>1110</v>
      </c>
      <c r="H55" s="27" t="s">
        <v>1110</v>
      </c>
      <c r="I55" s="29" t="s">
        <v>4124</v>
      </c>
      <c r="J55" s="29" t="s">
        <v>3963</v>
      </c>
      <c r="K55" s="27" t="s">
        <v>1137</v>
      </c>
      <c r="L55" s="25">
        <v>3.0</v>
      </c>
      <c r="M55" s="27" t="s">
        <v>1137</v>
      </c>
      <c r="N55" s="30" t="s">
        <v>1174</v>
      </c>
      <c r="O55" s="26" t="s">
        <v>4107</v>
      </c>
      <c r="P55" s="26" t="s">
        <v>4108</v>
      </c>
      <c r="Q55" s="26" t="str">
        <f t="shared" si="19"/>
        <v>กลุ่มงานพัสดุ</v>
      </c>
      <c r="R55" s="26" t="str">
        <f t="shared" si="20"/>
        <v>ภารกิจด้านอำนวยการ</v>
      </c>
      <c r="S55" s="26" t="str">
        <f t="shared" si="16"/>
        <v>กลุ่มงานพัสดุ</v>
      </c>
      <c r="T55" s="26" t="s">
        <v>4107</v>
      </c>
      <c r="U55" s="26" t="s">
        <v>1302</v>
      </c>
      <c r="V55" s="25" t="s">
        <v>3935</v>
      </c>
      <c r="W55" s="26" t="s">
        <v>1323</v>
      </c>
      <c r="X55" s="25" t="s">
        <v>46</v>
      </c>
      <c r="Y55" s="31">
        <v>10.0</v>
      </c>
      <c r="Z55" s="31">
        <v>15.0</v>
      </c>
      <c r="AA55" s="31">
        <v>85.0</v>
      </c>
      <c r="AB55" s="31">
        <v>85.0</v>
      </c>
      <c r="AC55" s="32">
        <v>1.0</v>
      </c>
      <c r="AD55" s="26"/>
      <c r="AE55" s="26"/>
      <c r="AF55" s="32">
        <v>29.0</v>
      </c>
      <c r="AG55" s="33">
        <v>1.505200030718E12</v>
      </c>
      <c r="AH55" s="33" t="s">
        <v>2042</v>
      </c>
      <c r="AI55" s="34" t="s">
        <v>4125</v>
      </c>
    </row>
    <row r="56" ht="38.25" hidden="1" customHeight="1">
      <c r="A56" s="25">
        <v>55.0</v>
      </c>
      <c r="B56" s="26" t="s">
        <v>1037</v>
      </c>
      <c r="C56" s="26" t="s">
        <v>4126</v>
      </c>
      <c r="D56" s="26" t="s">
        <v>4127</v>
      </c>
      <c r="E56" s="26" t="s">
        <v>4106</v>
      </c>
      <c r="F56" s="26" t="s">
        <v>4106</v>
      </c>
      <c r="G56" s="27" t="s">
        <v>1110</v>
      </c>
      <c r="H56" s="27" t="s">
        <v>1110</v>
      </c>
      <c r="I56" s="29" t="s">
        <v>4128</v>
      </c>
      <c r="J56" s="29" t="s">
        <v>3963</v>
      </c>
      <c r="K56" s="27" t="s">
        <v>1137</v>
      </c>
      <c r="L56" s="25">
        <v>3.0</v>
      </c>
      <c r="M56" s="27" t="s">
        <v>1137</v>
      </c>
      <c r="N56" s="30" t="s">
        <v>1174</v>
      </c>
      <c r="O56" s="26" t="s">
        <v>4107</v>
      </c>
      <c r="P56" s="26" t="s">
        <v>4108</v>
      </c>
      <c r="Q56" s="26" t="str">
        <f t="shared" si="19"/>
        <v>กลุ่มงานพัสดุ</v>
      </c>
      <c r="R56" s="26" t="str">
        <f t="shared" si="20"/>
        <v>ภารกิจด้านอำนวยการ</v>
      </c>
      <c r="S56" s="26" t="str">
        <f t="shared" si="16"/>
        <v>กลุ่มงานพัสดุ</v>
      </c>
      <c r="T56" s="26" t="s">
        <v>4107</v>
      </c>
      <c r="U56" s="26" t="s">
        <v>1302</v>
      </c>
      <c r="V56" s="25" t="s">
        <v>3935</v>
      </c>
      <c r="W56" s="26" t="s">
        <v>1323</v>
      </c>
      <c r="X56" s="25" t="s">
        <v>46</v>
      </c>
      <c r="Y56" s="31">
        <v>10.0</v>
      </c>
      <c r="Z56" s="31">
        <v>15.0</v>
      </c>
      <c r="AA56" s="31">
        <v>85.0</v>
      </c>
      <c r="AB56" s="31">
        <v>85.0</v>
      </c>
      <c r="AC56" s="32">
        <v>1.0</v>
      </c>
      <c r="AD56" s="26"/>
      <c r="AE56" s="26"/>
      <c r="AF56" s="32">
        <v>29.0</v>
      </c>
      <c r="AG56" s="37">
        <v>1.100700829188E12</v>
      </c>
      <c r="AH56" s="37" t="s">
        <v>1342</v>
      </c>
      <c r="AI56" s="38" t="s">
        <v>4129</v>
      </c>
    </row>
    <row r="57" ht="38.25" hidden="1" customHeight="1">
      <c r="A57" s="32">
        <v>56.0</v>
      </c>
      <c r="B57" s="26" t="s">
        <v>2692</v>
      </c>
      <c r="C57" s="26" t="s">
        <v>4130</v>
      </c>
      <c r="D57" s="26" t="s">
        <v>4131</v>
      </c>
      <c r="E57" s="26" t="s">
        <v>4106</v>
      </c>
      <c r="F57" s="26" t="s">
        <v>4106</v>
      </c>
      <c r="G57" s="27" t="s">
        <v>1110</v>
      </c>
      <c r="H57" s="27" t="s">
        <v>1110</v>
      </c>
      <c r="I57" s="29" t="s">
        <v>4132</v>
      </c>
      <c r="J57" s="29" t="s">
        <v>3963</v>
      </c>
      <c r="K57" s="27" t="s">
        <v>1137</v>
      </c>
      <c r="L57" s="25">
        <v>3.0</v>
      </c>
      <c r="M57" s="27" t="s">
        <v>1137</v>
      </c>
      <c r="N57" s="30" t="s">
        <v>1174</v>
      </c>
      <c r="O57" s="26" t="s">
        <v>4107</v>
      </c>
      <c r="P57" s="26" t="s">
        <v>4108</v>
      </c>
      <c r="Q57" s="26" t="str">
        <f t="shared" si="19"/>
        <v>กลุ่มงานพัสดุ</v>
      </c>
      <c r="R57" s="26" t="str">
        <f t="shared" si="20"/>
        <v>ภารกิจด้านอำนวยการ</v>
      </c>
      <c r="S57" s="26" t="str">
        <f t="shared" si="16"/>
        <v>กลุ่มงานพัสดุ</v>
      </c>
      <c r="T57" s="26" t="s">
        <v>4107</v>
      </c>
      <c r="U57" s="26" t="s">
        <v>1302</v>
      </c>
      <c r="V57" s="25" t="s">
        <v>3935</v>
      </c>
      <c r="W57" s="26" t="s">
        <v>1323</v>
      </c>
      <c r="X57" s="25" t="s">
        <v>46</v>
      </c>
      <c r="Y57" s="31">
        <v>10.0</v>
      </c>
      <c r="Z57" s="31">
        <v>15.0</v>
      </c>
      <c r="AA57" s="31">
        <v>85.0</v>
      </c>
      <c r="AB57" s="31">
        <v>85.0</v>
      </c>
      <c r="AC57" s="32">
        <v>1.0</v>
      </c>
      <c r="AD57" s="26"/>
      <c r="AE57" s="26"/>
      <c r="AF57" s="32">
        <v>29.0</v>
      </c>
      <c r="AG57" s="33">
        <v>1.509901439152E12</v>
      </c>
      <c r="AH57" s="33" t="s">
        <v>2356</v>
      </c>
      <c r="AI57" s="40">
        <v>232755.0</v>
      </c>
    </row>
    <row r="58" ht="38.25" hidden="1" customHeight="1">
      <c r="A58" s="25">
        <v>57.0</v>
      </c>
      <c r="B58" s="26" t="s">
        <v>2692</v>
      </c>
      <c r="C58" s="26" t="s">
        <v>4133</v>
      </c>
      <c r="D58" s="26" t="s">
        <v>4134</v>
      </c>
      <c r="E58" s="26" t="s">
        <v>4106</v>
      </c>
      <c r="F58" s="26" t="s">
        <v>4106</v>
      </c>
      <c r="G58" s="27" t="s">
        <v>1110</v>
      </c>
      <c r="H58" s="27" t="s">
        <v>1110</v>
      </c>
      <c r="I58" s="29" t="s">
        <v>4135</v>
      </c>
      <c r="J58" s="29" t="s">
        <v>3963</v>
      </c>
      <c r="K58" s="27" t="s">
        <v>1137</v>
      </c>
      <c r="L58" s="25">
        <v>3.0</v>
      </c>
      <c r="M58" s="27" t="s">
        <v>1137</v>
      </c>
      <c r="N58" s="30" t="s">
        <v>1174</v>
      </c>
      <c r="O58" s="26" t="s">
        <v>4107</v>
      </c>
      <c r="P58" s="26" t="s">
        <v>4108</v>
      </c>
      <c r="Q58" s="26" t="str">
        <f t="shared" si="19"/>
        <v>กลุ่มงานพัสดุ</v>
      </c>
      <c r="R58" s="26" t="str">
        <f t="shared" si="20"/>
        <v>ภารกิจด้านอำนวยการ</v>
      </c>
      <c r="S58" s="26" t="str">
        <f t="shared" si="16"/>
        <v>กลุ่มงานพัสดุ</v>
      </c>
      <c r="T58" s="26" t="s">
        <v>4107</v>
      </c>
      <c r="U58" s="26" t="s">
        <v>1302</v>
      </c>
      <c r="V58" s="25" t="s">
        <v>3935</v>
      </c>
      <c r="W58" s="26" t="s">
        <v>1323</v>
      </c>
      <c r="X58" s="25" t="s">
        <v>46</v>
      </c>
      <c r="Y58" s="31">
        <v>10.0</v>
      </c>
      <c r="Z58" s="31">
        <v>15.0</v>
      </c>
      <c r="AA58" s="31">
        <v>85.0</v>
      </c>
      <c r="AB58" s="31">
        <v>85.0</v>
      </c>
      <c r="AC58" s="32">
        <v>1.0</v>
      </c>
      <c r="AD58" s="26"/>
      <c r="AE58" s="26"/>
      <c r="AF58" s="32">
        <v>29.0</v>
      </c>
      <c r="AG58" s="37">
        <v>1.50090018439E12</v>
      </c>
      <c r="AH58" s="37" t="s">
        <v>1012</v>
      </c>
      <c r="AI58" s="38" t="s">
        <v>4136</v>
      </c>
    </row>
    <row r="59" ht="38.25" hidden="1" customHeight="1">
      <c r="A59" s="32">
        <v>58.0</v>
      </c>
      <c r="B59" s="26" t="s">
        <v>1037</v>
      </c>
      <c r="C59" s="64" t="s">
        <v>4137</v>
      </c>
      <c r="D59" s="64" t="s">
        <v>4138</v>
      </c>
      <c r="E59" s="26" t="s">
        <v>4106</v>
      </c>
      <c r="F59" s="26" t="s">
        <v>4106</v>
      </c>
      <c r="G59" s="27" t="s">
        <v>1110</v>
      </c>
      <c r="H59" s="27" t="s">
        <v>1110</v>
      </c>
      <c r="I59" s="29" t="s">
        <v>4139</v>
      </c>
      <c r="J59" s="29" t="s">
        <v>3963</v>
      </c>
      <c r="K59" s="27" t="s">
        <v>1137</v>
      </c>
      <c r="L59" s="25">
        <v>3.0</v>
      </c>
      <c r="M59" s="27" t="s">
        <v>1137</v>
      </c>
      <c r="N59" s="30" t="s">
        <v>1174</v>
      </c>
      <c r="O59" s="26" t="s">
        <v>4107</v>
      </c>
      <c r="P59" s="26" t="s">
        <v>4108</v>
      </c>
      <c r="Q59" s="26" t="str">
        <f t="shared" si="19"/>
        <v>กลุ่มงานพัสดุ</v>
      </c>
      <c r="R59" s="26" t="str">
        <f t="shared" si="20"/>
        <v>ภารกิจด้านอำนวยการ</v>
      </c>
      <c r="S59" s="26" t="str">
        <f t="shared" si="16"/>
        <v>กลุ่มงานพัสดุ</v>
      </c>
      <c r="T59" s="26" t="s">
        <v>4107</v>
      </c>
      <c r="U59" s="26" t="s">
        <v>1302</v>
      </c>
      <c r="V59" s="25" t="s">
        <v>3935</v>
      </c>
      <c r="W59" s="26" t="s">
        <v>1323</v>
      </c>
      <c r="X59" s="25" t="s">
        <v>46</v>
      </c>
      <c r="Y59" s="31">
        <v>10.0</v>
      </c>
      <c r="Z59" s="31">
        <v>15.0</v>
      </c>
      <c r="AA59" s="31">
        <v>85.0</v>
      </c>
      <c r="AB59" s="31">
        <v>85.0</v>
      </c>
      <c r="AC59" s="32">
        <v>1.0</v>
      </c>
      <c r="AD59" s="26"/>
      <c r="AE59" s="26"/>
      <c r="AF59" s="32">
        <v>29.0</v>
      </c>
      <c r="AG59" s="33">
        <v>1.509901639011E12</v>
      </c>
      <c r="AH59" s="33" t="s">
        <v>1272</v>
      </c>
      <c r="AI59" s="60">
        <v>233341.0</v>
      </c>
    </row>
    <row r="60" ht="38.25" hidden="1" customHeight="1">
      <c r="A60" s="25">
        <v>59.0</v>
      </c>
      <c r="B60" s="26" t="s">
        <v>1037</v>
      </c>
      <c r="C60" s="26" t="s">
        <v>4140</v>
      </c>
      <c r="D60" s="26" t="s">
        <v>4141</v>
      </c>
      <c r="E60" s="26" t="s">
        <v>4106</v>
      </c>
      <c r="F60" s="26" t="s">
        <v>4106</v>
      </c>
      <c r="G60" s="27" t="s">
        <v>1110</v>
      </c>
      <c r="H60" s="27" t="s">
        <v>1110</v>
      </c>
      <c r="I60" s="29" t="s">
        <v>4142</v>
      </c>
      <c r="J60" s="29" t="s">
        <v>3963</v>
      </c>
      <c r="K60" s="27" t="s">
        <v>1137</v>
      </c>
      <c r="L60" s="25">
        <v>3.0</v>
      </c>
      <c r="M60" s="27" t="s">
        <v>1137</v>
      </c>
      <c r="N60" s="30" t="s">
        <v>1174</v>
      </c>
      <c r="O60" s="26" t="s">
        <v>4107</v>
      </c>
      <c r="P60" s="26" t="s">
        <v>4108</v>
      </c>
      <c r="Q60" s="26" t="str">
        <f t="shared" si="19"/>
        <v>กลุ่มงานพัสดุ</v>
      </c>
      <c r="R60" s="26" t="str">
        <f t="shared" si="20"/>
        <v>ภารกิจด้านอำนวยการ</v>
      </c>
      <c r="S60" s="26" t="str">
        <f t="shared" si="16"/>
        <v>กลุ่มงานพัสดุ</v>
      </c>
      <c r="T60" s="26" t="s">
        <v>4107</v>
      </c>
      <c r="U60" s="26" t="s">
        <v>1302</v>
      </c>
      <c r="V60" s="25" t="s">
        <v>3935</v>
      </c>
      <c r="W60" s="26" t="s">
        <v>1323</v>
      </c>
      <c r="X60" s="25" t="s">
        <v>46</v>
      </c>
      <c r="Y60" s="31">
        <v>10.0</v>
      </c>
      <c r="Z60" s="31">
        <v>15.0</v>
      </c>
      <c r="AA60" s="31">
        <v>85.0</v>
      </c>
      <c r="AB60" s="31">
        <v>85.0</v>
      </c>
      <c r="AC60" s="32">
        <v>1.0</v>
      </c>
      <c r="AD60" s="26"/>
      <c r="AE60" s="26"/>
      <c r="AF60" s="32">
        <v>29.0</v>
      </c>
      <c r="AG60" s="37">
        <v>1.50990150955E12</v>
      </c>
      <c r="AH60" s="37" t="s">
        <v>924</v>
      </c>
      <c r="AI60" s="38" t="s">
        <v>4143</v>
      </c>
    </row>
    <row r="61" ht="38.25" hidden="1" customHeight="1">
      <c r="A61" s="32">
        <v>60.0</v>
      </c>
      <c r="B61" s="26" t="s">
        <v>2692</v>
      </c>
      <c r="C61" s="26" t="s">
        <v>4144</v>
      </c>
      <c r="D61" s="26" t="s">
        <v>4145</v>
      </c>
      <c r="E61" s="26" t="s">
        <v>4106</v>
      </c>
      <c r="F61" s="26" t="s">
        <v>4106</v>
      </c>
      <c r="G61" s="27" t="s">
        <v>1110</v>
      </c>
      <c r="H61" s="27" t="s">
        <v>1110</v>
      </c>
      <c r="I61" s="29" t="s">
        <v>4146</v>
      </c>
      <c r="J61" s="29" t="s">
        <v>3963</v>
      </c>
      <c r="K61" s="27" t="s">
        <v>1137</v>
      </c>
      <c r="L61" s="25">
        <v>3.0</v>
      </c>
      <c r="M61" s="27" t="s">
        <v>1137</v>
      </c>
      <c r="N61" s="30" t="s">
        <v>1174</v>
      </c>
      <c r="O61" s="26" t="s">
        <v>4107</v>
      </c>
      <c r="P61" s="26" t="s">
        <v>4108</v>
      </c>
      <c r="Q61" s="26" t="str">
        <f t="shared" si="19"/>
        <v>กลุ่มงานพัสดุ</v>
      </c>
      <c r="R61" s="26" t="str">
        <f t="shared" si="20"/>
        <v>ภารกิจด้านอำนวยการ</v>
      </c>
      <c r="S61" s="26" t="str">
        <f t="shared" si="16"/>
        <v>กลุ่มงานพัสดุ</v>
      </c>
      <c r="T61" s="26" t="s">
        <v>4107</v>
      </c>
      <c r="U61" s="26" t="s">
        <v>1302</v>
      </c>
      <c r="V61" s="25" t="s">
        <v>3935</v>
      </c>
      <c r="W61" s="26" t="s">
        <v>1323</v>
      </c>
      <c r="X61" s="25" t="s">
        <v>46</v>
      </c>
      <c r="Y61" s="31">
        <v>10.0</v>
      </c>
      <c r="Z61" s="31">
        <v>15.0</v>
      </c>
      <c r="AA61" s="31">
        <v>85.0</v>
      </c>
      <c r="AB61" s="31">
        <v>85.0</v>
      </c>
      <c r="AC61" s="32">
        <v>1.0</v>
      </c>
      <c r="AD61" s="26"/>
      <c r="AE61" s="26"/>
      <c r="AF61" s="32">
        <v>29.0</v>
      </c>
      <c r="AG61" s="33">
        <v>1.509901370799E12</v>
      </c>
      <c r="AH61" s="33" t="s">
        <v>2286</v>
      </c>
      <c r="AI61" s="40">
        <v>232306.0</v>
      </c>
    </row>
    <row r="62" ht="38.25" hidden="1" customHeight="1">
      <c r="A62" s="25">
        <v>61.0</v>
      </c>
      <c r="B62" s="26" t="s">
        <v>1037</v>
      </c>
      <c r="C62" s="26" t="s">
        <v>4147</v>
      </c>
      <c r="D62" s="26" t="s">
        <v>4148</v>
      </c>
      <c r="E62" s="26" t="s">
        <v>4106</v>
      </c>
      <c r="F62" s="26" t="s">
        <v>4106</v>
      </c>
      <c r="G62" s="27" t="s">
        <v>1110</v>
      </c>
      <c r="H62" s="27" t="s">
        <v>1110</v>
      </c>
      <c r="I62" s="29" t="s">
        <v>4149</v>
      </c>
      <c r="J62" s="29" t="s">
        <v>3963</v>
      </c>
      <c r="K62" s="27" t="s">
        <v>1137</v>
      </c>
      <c r="L62" s="25">
        <v>3.0</v>
      </c>
      <c r="M62" s="27" t="s">
        <v>1137</v>
      </c>
      <c r="N62" s="30" t="s">
        <v>1174</v>
      </c>
      <c r="O62" s="26" t="s">
        <v>4107</v>
      </c>
      <c r="P62" s="26" t="s">
        <v>4108</v>
      </c>
      <c r="Q62" s="26" t="str">
        <f t="shared" si="19"/>
        <v>กลุ่มงานพัสดุ</v>
      </c>
      <c r="R62" s="26" t="str">
        <f t="shared" si="20"/>
        <v>ภารกิจด้านอำนวยการ</v>
      </c>
      <c r="S62" s="26" t="str">
        <f t="shared" si="16"/>
        <v>กลุ่มงานพัสดุ</v>
      </c>
      <c r="T62" s="26" t="s">
        <v>4107</v>
      </c>
      <c r="U62" s="26" t="s">
        <v>1302</v>
      </c>
      <c r="V62" s="25" t="s">
        <v>3935</v>
      </c>
      <c r="W62" s="26" t="s">
        <v>1323</v>
      </c>
      <c r="X62" s="25" t="s">
        <v>46</v>
      </c>
      <c r="Y62" s="31">
        <v>10.0</v>
      </c>
      <c r="Z62" s="31">
        <v>15.0</v>
      </c>
      <c r="AA62" s="31">
        <v>85.0</v>
      </c>
      <c r="AB62" s="31">
        <v>85.0</v>
      </c>
      <c r="AC62" s="32">
        <v>1.0</v>
      </c>
      <c r="AD62" s="26"/>
      <c r="AE62" s="26"/>
      <c r="AF62" s="32">
        <v>29.0</v>
      </c>
      <c r="AG62" s="37">
        <v>1.500701282961E12</v>
      </c>
      <c r="AH62" s="37" t="s">
        <v>518</v>
      </c>
      <c r="AI62" s="44">
        <v>235220.0</v>
      </c>
    </row>
    <row r="63" ht="38.25" hidden="1" customHeight="1">
      <c r="A63" s="32">
        <v>62.0</v>
      </c>
      <c r="B63" s="26" t="s">
        <v>1037</v>
      </c>
      <c r="C63" s="26" t="s">
        <v>4150</v>
      </c>
      <c r="D63" s="26" t="s">
        <v>4151</v>
      </c>
      <c r="E63" s="26" t="s">
        <v>4106</v>
      </c>
      <c r="F63" s="26" t="s">
        <v>4106</v>
      </c>
      <c r="G63" s="27" t="s">
        <v>1110</v>
      </c>
      <c r="H63" s="27" t="s">
        <v>1110</v>
      </c>
      <c r="I63" s="29" t="s">
        <v>4152</v>
      </c>
      <c r="J63" s="29" t="s">
        <v>3963</v>
      </c>
      <c r="K63" s="27" t="s">
        <v>1137</v>
      </c>
      <c r="L63" s="25">
        <v>3.0</v>
      </c>
      <c r="M63" s="27" t="s">
        <v>1137</v>
      </c>
      <c r="N63" s="30" t="s">
        <v>1174</v>
      </c>
      <c r="O63" s="26" t="s">
        <v>4107</v>
      </c>
      <c r="P63" s="26" t="s">
        <v>4108</v>
      </c>
      <c r="Q63" s="26" t="str">
        <f t="shared" si="19"/>
        <v>กลุ่มงานพัสดุ</v>
      </c>
      <c r="R63" s="26" t="str">
        <f t="shared" si="20"/>
        <v>ภารกิจด้านอำนวยการ</v>
      </c>
      <c r="S63" s="26" t="str">
        <f t="shared" si="16"/>
        <v>กลุ่มงานพัสดุ</v>
      </c>
      <c r="T63" s="26" t="s">
        <v>4107</v>
      </c>
      <c r="U63" s="26" t="s">
        <v>1302</v>
      </c>
      <c r="V63" s="25" t="s">
        <v>3935</v>
      </c>
      <c r="W63" s="26" t="s">
        <v>1323</v>
      </c>
      <c r="X63" s="25" t="s">
        <v>46</v>
      </c>
      <c r="Y63" s="31">
        <v>10.0</v>
      </c>
      <c r="Z63" s="31">
        <v>15.0</v>
      </c>
      <c r="AA63" s="31">
        <v>85.0</v>
      </c>
      <c r="AB63" s="31">
        <v>85.0</v>
      </c>
      <c r="AC63" s="32">
        <v>1.0</v>
      </c>
      <c r="AD63" s="26"/>
      <c r="AE63" s="26"/>
      <c r="AF63" s="32">
        <v>29.0</v>
      </c>
      <c r="AG63" s="33">
        <v>1.560100402244E12</v>
      </c>
      <c r="AH63" s="33" t="s">
        <v>1501</v>
      </c>
      <c r="AI63" s="34" t="s">
        <v>4153</v>
      </c>
    </row>
    <row r="64" ht="38.25" hidden="1" customHeight="1">
      <c r="A64" s="25">
        <v>63.0</v>
      </c>
      <c r="B64" s="26"/>
      <c r="C64" s="26"/>
      <c r="D64" s="64">
        <v>1.0</v>
      </c>
      <c r="E64" s="26" t="s">
        <v>4106</v>
      </c>
      <c r="F64" s="26" t="s">
        <v>4106</v>
      </c>
      <c r="G64" s="27" t="s">
        <v>1110</v>
      </c>
      <c r="H64" s="27" t="s">
        <v>1110</v>
      </c>
      <c r="I64" s="29" t="s">
        <v>4154</v>
      </c>
      <c r="J64" s="29" t="s">
        <v>3963</v>
      </c>
      <c r="K64" s="27" t="s">
        <v>1137</v>
      </c>
      <c r="L64" s="25">
        <v>3.0</v>
      </c>
      <c r="M64" s="27" t="s">
        <v>1137</v>
      </c>
      <c r="N64" s="30" t="s">
        <v>1174</v>
      </c>
      <c r="O64" s="26" t="s">
        <v>4107</v>
      </c>
      <c r="P64" s="26" t="s">
        <v>4108</v>
      </c>
      <c r="Q64" s="26" t="str">
        <f t="shared" si="19"/>
        <v>กลุ่มงานพัสดุ</v>
      </c>
      <c r="R64" s="26" t="str">
        <f t="shared" si="20"/>
        <v>ภารกิจด้านอำนวยการ</v>
      </c>
      <c r="S64" s="26" t="str">
        <f t="shared" si="16"/>
        <v>กลุ่มงานพัสดุ</v>
      </c>
      <c r="T64" s="26" t="s">
        <v>4107</v>
      </c>
      <c r="U64" s="26" t="s">
        <v>1302</v>
      </c>
      <c r="V64" s="25" t="s">
        <v>3935</v>
      </c>
      <c r="W64" s="26" t="s">
        <v>1323</v>
      </c>
      <c r="X64" s="25" t="s">
        <v>46</v>
      </c>
      <c r="Y64" s="31">
        <v>10.0</v>
      </c>
      <c r="Z64" s="31">
        <v>15.0</v>
      </c>
      <c r="AA64" s="31">
        <v>85.0</v>
      </c>
      <c r="AB64" s="31">
        <v>85.0</v>
      </c>
      <c r="AC64" s="32">
        <v>0.0</v>
      </c>
      <c r="AD64" s="26" t="s">
        <v>4155</v>
      </c>
      <c r="AE64" s="26"/>
      <c r="AF64" s="32">
        <v>29.0</v>
      </c>
      <c r="AG64" s="65"/>
      <c r="AH64" s="65"/>
      <c r="AI64" s="66"/>
    </row>
    <row r="65" ht="38.25" hidden="1" customHeight="1">
      <c r="A65" s="32">
        <v>64.0</v>
      </c>
      <c r="B65" s="26" t="s">
        <v>2692</v>
      </c>
      <c r="C65" s="26" t="s">
        <v>4156</v>
      </c>
      <c r="D65" s="26" t="s">
        <v>4157</v>
      </c>
      <c r="E65" s="26" t="s">
        <v>4158</v>
      </c>
      <c r="F65" s="26" t="s">
        <v>4158</v>
      </c>
      <c r="G65" s="27" t="s">
        <v>4159</v>
      </c>
      <c r="H65" s="27" t="s">
        <v>1110</v>
      </c>
      <c r="I65" s="29">
        <v>107121.0</v>
      </c>
      <c r="J65" s="29" t="s">
        <v>1125</v>
      </c>
      <c r="K65" s="27" t="s">
        <v>1137</v>
      </c>
      <c r="L65" s="32">
        <v>2.0</v>
      </c>
      <c r="M65" s="27" t="s">
        <v>1137</v>
      </c>
      <c r="N65" s="30" t="s">
        <v>1174</v>
      </c>
      <c r="O65" s="26" t="str">
        <f t="shared" ref="O65:O76" si="21">+T65</f>
        <v>กลุ่มงานเภสัชกรรม</v>
      </c>
      <c r="P65" s="26" t="s">
        <v>4160</v>
      </c>
      <c r="Q65" s="26" t="str">
        <f t="shared" si="19"/>
        <v>กลุ่มงานเภสัชกรรม</v>
      </c>
      <c r="R65" s="26" t="str">
        <f t="shared" si="20"/>
        <v>ภารกิจด้านบริการทุติยภูมิและตติยภูมิ</v>
      </c>
      <c r="S65" s="26" t="str">
        <f t="shared" si="16"/>
        <v>กลุ่มงานเภสัชกรรม</v>
      </c>
      <c r="T65" s="26" t="s">
        <v>4161</v>
      </c>
      <c r="U65" s="26" t="s">
        <v>1302</v>
      </c>
      <c r="V65" s="25">
        <v>19.0</v>
      </c>
      <c r="W65" s="26" t="s">
        <v>4054</v>
      </c>
      <c r="X65" s="25" t="s">
        <v>3978</v>
      </c>
      <c r="Y65" s="31">
        <v>15.0</v>
      </c>
      <c r="Z65" s="31">
        <v>45.0</v>
      </c>
      <c r="AA65" s="31">
        <v>199.0</v>
      </c>
      <c r="AB65" s="31">
        <v>15.0</v>
      </c>
      <c r="AC65" s="32">
        <v>1.0</v>
      </c>
      <c r="AD65" s="26"/>
      <c r="AE65" s="26"/>
      <c r="AF65" s="32">
        <v>21.0</v>
      </c>
      <c r="AG65" s="33">
        <v>3.500100060536E12</v>
      </c>
      <c r="AH65" s="33" t="s">
        <v>3483</v>
      </c>
      <c r="AI65" s="40">
        <v>226027.0</v>
      </c>
    </row>
    <row r="66" ht="38.25" hidden="1" customHeight="1">
      <c r="A66" s="25">
        <v>65.0</v>
      </c>
      <c r="B66" s="26" t="s">
        <v>1037</v>
      </c>
      <c r="C66" s="26" t="s">
        <v>4162</v>
      </c>
      <c r="D66" s="26" t="s">
        <v>4163</v>
      </c>
      <c r="E66" s="26" t="s">
        <v>4158</v>
      </c>
      <c r="F66" s="26" t="s">
        <v>4158</v>
      </c>
      <c r="G66" s="27" t="s">
        <v>4159</v>
      </c>
      <c r="H66" s="27" t="s">
        <v>1110</v>
      </c>
      <c r="I66" s="29">
        <v>183778.0</v>
      </c>
      <c r="J66" s="29" t="s">
        <v>1125</v>
      </c>
      <c r="K66" s="27" t="s">
        <v>1137</v>
      </c>
      <c r="L66" s="32">
        <v>2.0</v>
      </c>
      <c r="M66" s="27" t="s">
        <v>1137</v>
      </c>
      <c r="N66" s="30" t="s">
        <v>1174</v>
      </c>
      <c r="O66" s="26" t="str">
        <f t="shared" si="21"/>
        <v>กลุ่มงานเภสัชกรรม</v>
      </c>
      <c r="P66" s="26" t="s">
        <v>4160</v>
      </c>
      <c r="Q66" s="26" t="str">
        <f t="shared" si="19"/>
        <v>กลุ่มงานเภสัชกรรม</v>
      </c>
      <c r="R66" s="26" t="str">
        <f t="shared" si="20"/>
        <v>ภารกิจด้านบริการทุติยภูมิและตติยภูมิ</v>
      </c>
      <c r="S66" s="26" t="str">
        <f t="shared" si="16"/>
        <v>กลุ่มงานเภสัชกรรม</v>
      </c>
      <c r="T66" s="26" t="s">
        <v>4161</v>
      </c>
      <c r="U66" s="26" t="s">
        <v>1302</v>
      </c>
      <c r="V66" s="25">
        <v>19.0</v>
      </c>
      <c r="W66" s="26" t="s">
        <v>4054</v>
      </c>
      <c r="X66" s="25" t="s">
        <v>3978</v>
      </c>
      <c r="Y66" s="31">
        <v>15.0</v>
      </c>
      <c r="Z66" s="31">
        <v>45.0</v>
      </c>
      <c r="AA66" s="31">
        <v>199.0</v>
      </c>
      <c r="AB66" s="31">
        <v>15.0</v>
      </c>
      <c r="AC66" s="32">
        <v>1.0</v>
      </c>
      <c r="AD66" s="26"/>
      <c r="AE66" s="26"/>
      <c r="AF66" s="32">
        <v>21.0</v>
      </c>
      <c r="AG66" s="37">
        <v>1.50170005891E12</v>
      </c>
      <c r="AH66" s="37" t="s">
        <v>3477</v>
      </c>
      <c r="AI66" s="44">
        <v>230599.0</v>
      </c>
    </row>
    <row r="67" ht="38.25" hidden="1" customHeight="1">
      <c r="A67" s="32">
        <v>66.0</v>
      </c>
      <c r="B67" s="26" t="s">
        <v>1037</v>
      </c>
      <c r="C67" s="26" t="s">
        <v>4164</v>
      </c>
      <c r="D67" s="26" t="s">
        <v>4165</v>
      </c>
      <c r="E67" s="26" t="s">
        <v>4158</v>
      </c>
      <c r="F67" s="26" t="s">
        <v>4158</v>
      </c>
      <c r="G67" s="27" t="s">
        <v>1099</v>
      </c>
      <c r="H67" s="27" t="s">
        <v>1110</v>
      </c>
      <c r="I67" s="29">
        <v>239580.0</v>
      </c>
      <c r="J67" s="29" t="s">
        <v>1125</v>
      </c>
      <c r="K67" s="27" t="s">
        <v>1137</v>
      </c>
      <c r="L67" s="32">
        <v>2.0</v>
      </c>
      <c r="M67" s="27" t="s">
        <v>1137</v>
      </c>
      <c r="N67" s="30" t="s">
        <v>1174</v>
      </c>
      <c r="O67" s="26" t="str">
        <f t="shared" si="21"/>
        <v>กลุ่มงานเภสัชกรรม</v>
      </c>
      <c r="P67" s="26" t="s">
        <v>4160</v>
      </c>
      <c r="Q67" s="26" t="str">
        <f t="shared" si="19"/>
        <v>กลุ่มงานเภสัชกรรม</v>
      </c>
      <c r="R67" s="26" t="str">
        <f t="shared" si="20"/>
        <v>ภารกิจด้านบริการทุติยภูมิและตติยภูมิ</v>
      </c>
      <c r="S67" s="26" t="str">
        <f t="shared" si="16"/>
        <v>กลุ่มงานเภสัชกรรม</v>
      </c>
      <c r="T67" s="26" t="s">
        <v>4161</v>
      </c>
      <c r="U67" s="26" t="s">
        <v>1302</v>
      </c>
      <c r="V67" s="25">
        <v>19.0</v>
      </c>
      <c r="W67" s="26" t="s">
        <v>4054</v>
      </c>
      <c r="X67" s="25" t="s">
        <v>3978</v>
      </c>
      <c r="Y67" s="31">
        <v>15.0</v>
      </c>
      <c r="Z67" s="31">
        <v>45.0</v>
      </c>
      <c r="AA67" s="31">
        <v>199.0</v>
      </c>
      <c r="AB67" s="31">
        <v>15.0</v>
      </c>
      <c r="AC67" s="32">
        <v>1.0</v>
      </c>
      <c r="AD67" s="26"/>
      <c r="AE67" s="26"/>
      <c r="AF67" s="32">
        <v>21.0</v>
      </c>
      <c r="AG67" s="33">
        <v>1.570400237753E12</v>
      </c>
      <c r="AH67" s="33" t="s">
        <v>2143</v>
      </c>
      <c r="AI67" s="40">
        <v>234647.0</v>
      </c>
    </row>
    <row r="68" ht="38.25" hidden="1" customHeight="1">
      <c r="A68" s="25">
        <v>67.0</v>
      </c>
      <c r="B68" s="26" t="s">
        <v>1037</v>
      </c>
      <c r="C68" s="26" t="s">
        <v>4166</v>
      </c>
      <c r="D68" s="26" t="s">
        <v>4167</v>
      </c>
      <c r="E68" s="26" t="s">
        <v>4158</v>
      </c>
      <c r="F68" s="26" t="s">
        <v>4158</v>
      </c>
      <c r="G68" s="27" t="s">
        <v>4159</v>
      </c>
      <c r="H68" s="27" t="s">
        <v>1110</v>
      </c>
      <c r="I68" s="29">
        <v>239581.0</v>
      </c>
      <c r="J68" s="29" t="s">
        <v>1125</v>
      </c>
      <c r="K68" s="27" t="s">
        <v>1137</v>
      </c>
      <c r="L68" s="32">
        <v>2.0</v>
      </c>
      <c r="M68" s="27" t="s">
        <v>1137</v>
      </c>
      <c r="N68" s="30" t="s">
        <v>1174</v>
      </c>
      <c r="O68" s="26" t="str">
        <f t="shared" si="21"/>
        <v>กลุ่มงานเภสัชกรรม</v>
      </c>
      <c r="P68" s="26" t="s">
        <v>4160</v>
      </c>
      <c r="Q68" s="26" t="str">
        <f t="shared" si="19"/>
        <v>กลุ่มงานเภสัชกรรม</v>
      </c>
      <c r="R68" s="26" t="str">
        <f t="shared" si="20"/>
        <v>ภารกิจด้านบริการทุติยภูมิและตติยภูมิ</v>
      </c>
      <c r="S68" s="26" t="str">
        <f t="shared" si="16"/>
        <v>กลุ่มงานเภสัชกรรม</v>
      </c>
      <c r="T68" s="26" t="s">
        <v>4161</v>
      </c>
      <c r="U68" s="26" t="s">
        <v>1302</v>
      </c>
      <c r="V68" s="25">
        <v>19.0</v>
      </c>
      <c r="W68" s="26" t="s">
        <v>4054</v>
      </c>
      <c r="X68" s="25" t="s">
        <v>3978</v>
      </c>
      <c r="Y68" s="31">
        <v>15.0</v>
      </c>
      <c r="Z68" s="31">
        <v>45.0</v>
      </c>
      <c r="AA68" s="31">
        <v>199.0</v>
      </c>
      <c r="AB68" s="31">
        <v>15.0</v>
      </c>
      <c r="AC68" s="32">
        <v>1.0</v>
      </c>
      <c r="AD68" s="26"/>
      <c r="AE68" s="26"/>
      <c r="AF68" s="32">
        <v>21.0</v>
      </c>
      <c r="AG68" s="37">
        <v>1.501100099739E12</v>
      </c>
      <c r="AH68" s="37" t="s">
        <v>3114</v>
      </c>
      <c r="AI68" s="44">
        <v>232853.0</v>
      </c>
    </row>
    <row r="69" ht="38.25" hidden="1" customHeight="1">
      <c r="A69" s="32">
        <v>68.0</v>
      </c>
      <c r="B69" s="26" t="s">
        <v>2692</v>
      </c>
      <c r="C69" s="26" t="s">
        <v>4168</v>
      </c>
      <c r="D69" s="26" t="s">
        <v>4169</v>
      </c>
      <c r="E69" s="26" t="s">
        <v>4158</v>
      </c>
      <c r="F69" s="26" t="s">
        <v>4158</v>
      </c>
      <c r="G69" s="27" t="s">
        <v>1099</v>
      </c>
      <c r="H69" s="27" t="s">
        <v>1110</v>
      </c>
      <c r="I69" s="29">
        <v>107562.0</v>
      </c>
      <c r="J69" s="29" t="s">
        <v>1125</v>
      </c>
      <c r="K69" s="27" t="s">
        <v>1137</v>
      </c>
      <c r="L69" s="32">
        <v>2.0</v>
      </c>
      <c r="M69" s="27" t="s">
        <v>1137</v>
      </c>
      <c r="N69" s="30" t="s">
        <v>1174</v>
      </c>
      <c r="O69" s="26" t="str">
        <f t="shared" si="21"/>
        <v>กลุ่มงานเภสัชกรรม</v>
      </c>
      <c r="P69" s="26" t="s">
        <v>4160</v>
      </c>
      <c r="Q69" s="26" t="str">
        <f t="shared" si="19"/>
        <v>กลุ่มงานเภสัชกรรม</v>
      </c>
      <c r="R69" s="26" t="str">
        <f t="shared" si="20"/>
        <v>ภารกิจด้านบริการทุติยภูมิและตติยภูมิ</v>
      </c>
      <c r="S69" s="26" t="str">
        <f t="shared" si="16"/>
        <v>กลุ่มงานเภสัชกรรม</v>
      </c>
      <c r="T69" s="26" t="s">
        <v>4161</v>
      </c>
      <c r="U69" s="26" t="s">
        <v>1302</v>
      </c>
      <c r="V69" s="25">
        <v>19.0</v>
      </c>
      <c r="W69" s="26" t="s">
        <v>4054</v>
      </c>
      <c r="X69" s="25" t="s">
        <v>3978</v>
      </c>
      <c r="Y69" s="31">
        <v>15.0</v>
      </c>
      <c r="Z69" s="31">
        <v>45.0</v>
      </c>
      <c r="AA69" s="31">
        <v>199.0</v>
      </c>
      <c r="AB69" s="31">
        <v>15.0</v>
      </c>
      <c r="AC69" s="32">
        <v>1.0</v>
      </c>
      <c r="AD69" s="26"/>
      <c r="AE69" s="26"/>
      <c r="AF69" s="32">
        <v>21.0</v>
      </c>
      <c r="AG69" s="33">
        <v>1.670500113478E12</v>
      </c>
      <c r="AH69" s="33" t="s">
        <v>3473</v>
      </c>
      <c r="AI69" s="34" t="s">
        <v>4170</v>
      </c>
    </row>
    <row r="70" ht="42.0" hidden="1" customHeight="1">
      <c r="A70" s="25">
        <v>69.0</v>
      </c>
      <c r="B70" s="26" t="s">
        <v>1037</v>
      </c>
      <c r="C70" s="26" t="s">
        <v>4171</v>
      </c>
      <c r="D70" s="26" t="s">
        <v>4172</v>
      </c>
      <c r="E70" s="26" t="s">
        <v>4158</v>
      </c>
      <c r="F70" s="26" t="s">
        <v>4158</v>
      </c>
      <c r="G70" s="27" t="s">
        <v>1099</v>
      </c>
      <c r="H70" s="27" t="s">
        <v>1110</v>
      </c>
      <c r="I70" s="29">
        <v>252209.0</v>
      </c>
      <c r="J70" s="29" t="s">
        <v>1125</v>
      </c>
      <c r="K70" s="27" t="s">
        <v>1137</v>
      </c>
      <c r="L70" s="32">
        <v>2.0</v>
      </c>
      <c r="M70" s="27" t="s">
        <v>1137</v>
      </c>
      <c r="N70" s="30" t="s">
        <v>1174</v>
      </c>
      <c r="O70" s="26" t="str">
        <f t="shared" si="21"/>
        <v>กลุ่มงานเภสัชกรรม</v>
      </c>
      <c r="P70" s="26" t="s">
        <v>4160</v>
      </c>
      <c r="Q70" s="26" t="str">
        <f t="shared" si="19"/>
        <v>กลุ่มงานเภสัชกรรม</v>
      </c>
      <c r="R70" s="26" t="str">
        <f t="shared" si="20"/>
        <v>ภารกิจด้านบริการทุติยภูมิและตติยภูมิ</v>
      </c>
      <c r="S70" s="26" t="str">
        <f t="shared" si="16"/>
        <v>กลุ่มงานเภสัชกรรม</v>
      </c>
      <c r="T70" s="26" t="s">
        <v>4161</v>
      </c>
      <c r="U70" s="26" t="s">
        <v>1302</v>
      </c>
      <c r="V70" s="25">
        <v>19.0</v>
      </c>
      <c r="W70" s="26" t="s">
        <v>4054</v>
      </c>
      <c r="X70" s="25" t="s">
        <v>3978</v>
      </c>
      <c r="Y70" s="31">
        <v>15.0</v>
      </c>
      <c r="Z70" s="31">
        <v>45.0</v>
      </c>
      <c r="AA70" s="31">
        <v>199.0</v>
      </c>
      <c r="AB70" s="31">
        <v>15.0</v>
      </c>
      <c r="AC70" s="32">
        <v>1.0</v>
      </c>
      <c r="AD70" s="26"/>
      <c r="AE70" s="26"/>
      <c r="AF70" s="32">
        <v>21.0</v>
      </c>
      <c r="AG70" s="37">
        <v>1.510400171159E12</v>
      </c>
      <c r="AH70" s="61"/>
      <c r="AI70" s="44">
        <v>234009.0</v>
      </c>
    </row>
    <row r="71" ht="38.25" hidden="1" customHeight="1">
      <c r="A71" s="32">
        <v>70.0</v>
      </c>
      <c r="B71" s="26" t="s">
        <v>1037</v>
      </c>
      <c r="C71" s="26" t="s">
        <v>4173</v>
      </c>
      <c r="D71" s="26" t="s">
        <v>4174</v>
      </c>
      <c r="E71" s="26" t="s">
        <v>4158</v>
      </c>
      <c r="F71" s="26" t="s">
        <v>4158</v>
      </c>
      <c r="G71" s="27" t="s">
        <v>1099</v>
      </c>
      <c r="H71" s="27" t="s">
        <v>1110</v>
      </c>
      <c r="I71" s="29">
        <v>107118.0</v>
      </c>
      <c r="J71" s="29" t="s">
        <v>1125</v>
      </c>
      <c r="K71" s="27" t="s">
        <v>1137</v>
      </c>
      <c r="L71" s="32">
        <v>2.0</v>
      </c>
      <c r="M71" s="27" t="s">
        <v>1137</v>
      </c>
      <c r="N71" s="30" t="s">
        <v>1174</v>
      </c>
      <c r="O71" s="26" t="str">
        <f t="shared" si="21"/>
        <v>กลุ่มงานเภสัชกรรม</v>
      </c>
      <c r="P71" s="26" t="s">
        <v>4160</v>
      </c>
      <c r="Q71" s="26" t="str">
        <f t="shared" si="19"/>
        <v>กลุ่มงานเภสัชกรรม</v>
      </c>
      <c r="R71" s="26" t="str">
        <f t="shared" si="20"/>
        <v>ภารกิจด้านบริการทุติยภูมิและตติยภูมิ</v>
      </c>
      <c r="S71" s="26" t="str">
        <f t="shared" si="16"/>
        <v>กลุ่มงานเภสัชกรรม</v>
      </c>
      <c r="T71" s="26" t="s">
        <v>4161</v>
      </c>
      <c r="U71" s="26" t="s">
        <v>1302</v>
      </c>
      <c r="V71" s="25">
        <v>19.0</v>
      </c>
      <c r="W71" s="26" t="s">
        <v>4054</v>
      </c>
      <c r="X71" s="25" t="s">
        <v>3978</v>
      </c>
      <c r="Y71" s="31">
        <v>15.0</v>
      </c>
      <c r="Z71" s="31">
        <v>45.0</v>
      </c>
      <c r="AA71" s="31">
        <v>199.0</v>
      </c>
      <c r="AB71" s="31">
        <v>15.0</v>
      </c>
      <c r="AC71" s="32">
        <v>1.0</v>
      </c>
      <c r="AD71" s="64" t="s">
        <v>4175</v>
      </c>
      <c r="AE71" s="26"/>
      <c r="AF71" s="32">
        <v>21.0</v>
      </c>
      <c r="AG71" s="33">
        <v>1.560101501572E12</v>
      </c>
      <c r="AH71" s="33" t="s">
        <v>2138</v>
      </c>
      <c r="AI71" s="40">
        <v>235097.0</v>
      </c>
    </row>
    <row r="72" ht="38.25" hidden="1" customHeight="1">
      <c r="A72" s="25">
        <v>71.0</v>
      </c>
      <c r="B72" s="26" t="s">
        <v>1037</v>
      </c>
      <c r="C72" s="26" t="s">
        <v>4176</v>
      </c>
      <c r="D72" s="26" t="s">
        <v>4177</v>
      </c>
      <c r="E72" s="26" t="s">
        <v>4158</v>
      </c>
      <c r="F72" s="26" t="s">
        <v>4158</v>
      </c>
      <c r="G72" s="27" t="s">
        <v>1099</v>
      </c>
      <c r="H72" s="27" t="s">
        <v>1110</v>
      </c>
      <c r="I72" s="29">
        <v>113592.0</v>
      </c>
      <c r="J72" s="29" t="s">
        <v>1125</v>
      </c>
      <c r="K72" s="27" t="s">
        <v>1137</v>
      </c>
      <c r="L72" s="32">
        <v>2.0</v>
      </c>
      <c r="M72" s="27" t="s">
        <v>1137</v>
      </c>
      <c r="N72" s="30" t="s">
        <v>1174</v>
      </c>
      <c r="O72" s="26" t="str">
        <f t="shared" si="21"/>
        <v>กลุ่มงานเภสัชกรรม</v>
      </c>
      <c r="P72" s="26" t="s">
        <v>4160</v>
      </c>
      <c r="Q72" s="26" t="str">
        <f t="shared" si="19"/>
        <v>กลุ่มงานเภสัชกรรม</v>
      </c>
      <c r="R72" s="26" t="str">
        <f t="shared" si="20"/>
        <v>ภารกิจด้านบริการทุติยภูมิและตติยภูมิ</v>
      </c>
      <c r="S72" s="26" t="str">
        <f t="shared" si="16"/>
        <v>กลุ่มงานเภสัชกรรม</v>
      </c>
      <c r="T72" s="26" t="s">
        <v>4161</v>
      </c>
      <c r="U72" s="26" t="s">
        <v>1302</v>
      </c>
      <c r="V72" s="25">
        <v>19.0</v>
      </c>
      <c r="W72" s="26" t="s">
        <v>4054</v>
      </c>
      <c r="X72" s="25" t="s">
        <v>3978</v>
      </c>
      <c r="Y72" s="31">
        <v>15.0</v>
      </c>
      <c r="Z72" s="31">
        <v>45.0</v>
      </c>
      <c r="AA72" s="31">
        <v>199.0</v>
      </c>
      <c r="AB72" s="31">
        <v>15.0</v>
      </c>
      <c r="AC72" s="32">
        <v>1.0</v>
      </c>
      <c r="AD72" s="26"/>
      <c r="AE72" s="26"/>
      <c r="AF72" s="32">
        <v>21.0</v>
      </c>
      <c r="AG72" s="37">
        <v>1.501701090221E12</v>
      </c>
      <c r="AH72" s="37" t="s">
        <v>2028</v>
      </c>
      <c r="AI72" s="38" t="s">
        <v>4178</v>
      </c>
    </row>
    <row r="73" ht="38.25" hidden="1" customHeight="1">
      <c r="A73" s="32">
        <v>72.0</v>
      </c>
      <c r="B73" s="26" t="s">
        <v>806</v>
      </c>
      <c r="C73" s="26" t="s">
        <v>4179</v>
      </c>
      <c r="D73" s="26" t="s">
        <v>4180</v>
      </c>
      <c r="E73" s="26" t="s">
        <v>4158</v>
      </c>
      <c r="F73" s="26" t="s">
        <v>4158</v>
      </c>
      <c r="G73" s="27" t="s">
        <v>4159</v>
      </c>
      <c r="H73" s="27" t="s">
        <v>1110</v>
      </c>
      <c r="I73" s="29">
        <v>174097.0</v>
      </c>
      <c r="J73" s="29" t="s">
        <v>1125</v>
      </c>
      <c r="K73" s="27" t="s">
        <v>1137</v>
      </c>
      <c r="L73" s="32">
        <v>2.0</v>
      </c>
      <c r="M73" s="27" t="s">
        <v>1137</v>
      </c>
      <c r="N73" s="30" t="s">
        <v>1174</v>
      </c>
      <c r="O73" s="26" t="str">
        <f t="shared" si="21"/>
        <v>กลุ่มงานเภสัชกรรม</v>
      </c>
      <c r="P73" s="26" t="s">
        <v>4160</v>
      </c>
      <c r="Q73" s="26" t="str">
        <f t="shared" si="19"/>
        <v>กลุ่มงานเภสัชกรรม</v>
      </c>
      <c r="R73" s="26" t="str">
        <f t="shared" si="20"/>
        <v>ภารกิจด้านบริการทุติยภูมิและตติยภูมิ</v>
      </c>
      <c r="S73" s="26" t="str">
        <f t="shared" si="16"/>
        <v>กลุ่มงานเภสัชกรรม</v>
      </c>
      <c r="T73" s="26" t="s">
        <v>4161</v>
      </c>
      <c r="U73" s="26" t="s">
        <v>1302</v>
      </c>
      <c r="V73" s="25">
        <v>19.0</v>
      </c>
      <c r="W73" s="26" t="s">
        <v>4054</v>
      </c>
      <c r="X73" s="25" t="s">
        <v>3978</v>
      </c>
      <c r="Y73" s="31">
        <v>15.0</v>
      </c>
      <c r="Z73" s="31">
        <v>45.0</v>
      </c>
      <c r="AA73" s="31">
        <v>199.0</v>
      </c>
      <c r="AB73" s="31">
        <v>15.0</v>
      </c>
      <c r="AC73" s="32">
        <v>1.0</v>
      </c>
      <c r="AD73" s="26"/>
      <c r="AE73" s="26"/>
      <c r="AF73" s="32">
        <v>21.0</v>
      </c>
      <c r="AG73" s="37">
        <v>1.50020010248E12</v>
      </c>
      <c r="AH73" s="37" t="s">
        <v>1796</v>
      </c>
      <c r="AI73" s="38" t="s">
        <v>4181</v>
      </c>
    </row>
    <row r="74" ht="38.25" hidden="1" customHeight="1">
      <c r="A74" s="25">
        <v>73.0</v>
      </c>
      <c r="B74" s="26" t="s">
        <v>2692</v>
      </c>
      <c r="C74" s="26" t="s">
        <v>4182</v>
      </c>
      <c r="D74" s="26" t="s">
        <v>4183</v>
      </c>
      <c r="E74" s="26" t="s">
        <v>4158</v>
      </c>
      <c r="F74" s="26" t="s">
        <v>4158</v>
      </c>
      <c r="G74" s="27" t="s">
        <v>1110</v>
      </c>
      <c r="H74" s="27" t="s">
        <v>1110</v>
      </c>
      <c r="I74" s="29">
        <v>4391.0</v>
      </c>
      <c r="J74" s="29" t="s">
        <v>1535</v>
      </c>
      <c r="K74" s="27" t="s">
        <v>1137</v>
      </c>
      <c r="L74" s="32">
        <v>2.0</v>
      </c>
      <c r="M74" s="27" t="s">
        <v>1137</v>
      </c>
      <c r="N74" s="30" t="s">
        <v>1174</v>
      </c>
      <c r="O74" s="26" t="str">
        <f t="shared" si="21"/>
        <v>กลุ่มงานเภสัชกรรม</v>
      </c>
      <c r="P74" s="26" t="s">
        <v>4160</v>
      </c>
      <c r="Q74" s="26" t="str">
        <f t="shared" si="19"/>
        <v>กลุ่มงานเภสัชกรรม</v>
      </c>
      <c r="R74" s="26" t="str">
        <f t="shared" si="20"/>
        <v>ภารกิจด้านบริการทุติยภูมิและตติยภูมิ</v>
      </c>
      <c r="S74" s="26" t="str">
        <f t="shared" si="16"/>
        <v>กลุ่มงานเภสัชกรรม</v>
      </c>
      <c r="T74" s="26" t="s">
        <v>4161</v>
      </c>
      <c r="U74" s="26" t="s">
        <v>1302</v>
      </c>
      <c r="V74" s="25">
        <v>19.0</v>
      </c>
      <c r="W74" s="26" t="s">
        <v>4054</v>
      </c>
      <c r="X74" s="25" t="s">
        <v>3978</v>
      </c>
      <c r="Y74" s="31">
        <v>15.0</v>
      </c>
      <c r="Z74" s="31">
        <v>45.0</v>
      </c>
      <c r="AA74" s="31">
        <v>199.0</v>
      </c>
      <c r="AB74" s="31">
        <v>15.0</v>
      </c>
      <c r="AC74" s="32">
        <v>1.0</v>
      </c>
      <c r="AD74" s="26"/>
      <c r="AE74" s="26"/>
      <c r="AF74" s="32">
        <v>21.0</v>
      </c>
      <c r="AG74" s="33">
        <v>1.510401204581E12</v>
      </c>
      <c r="AH74" s="33" t="s">
        <v>1519</v>
      </c>
      <c r="AI74" s="34" t="s">
        <v>4184</v>
      </c>
    </row>
    <row r="75" ht="38.25" hidden="1" customHeight="1">
      <c r="A75" s="32">
        <v>74.0</v>
      </c>
      <c r="B75" s="26"/>
      <c r="C75" s="26"/>
      <c r="D75" s="26"/>
      <c r="E75" s="26" t="s">
        <v>4158</v>
      </c>
      <c r="F75" s="26" t="s">
        <v>4158</v>
      </c>
      <c r="G75" s="27" t="s">
        <v>1110</v>
      </c>
      <c r="H75" s="27" t="s">
        <v>1110</v>
      </c>
      <c r="I75" s="29">
        <v>4392.0</v>
      </c>
      <c r="J75" s="29" t="s">
        <v>1535</v>
      </c>
      <c r="K75" s="27" t="s">
        <v>1137</v>
      </c>
      <c r="L75" s="32">
        <v>2.0</v>
      </c>
      <c r="M75" s="27" t="s">
        <v>1137</v>
      </c>
      <c r="N75" s="30" t="s">
        <v>1174</v>
      </c>
      <c r="O75" s="26" t="str">
        <f t="shared" si="21"/>
        <v>กลุ่มงานเภสัชกรรม</v>
      </c>
      <c r="P75" s="26" t="s">
        <v>4160</v>
      </c>
      <c r="Q75" s="26" t="str">
        <f t="shared" si="19"/>
        <v>กลุ่มงานเภสัชกรรม</v>
      </c>
      <c r="R75" s="26" t="str">
        <f t="shared" si="20"/>
        <v>ภารกิจด้านบริการทุติยภูมิและตติยภูมิ</v>
      </c>
      <c r="S75" s="26" t="str">
        <f t="shared" si="16"/>
        <v>กลุ่มงานเภสัชกรรม</v>
      </c>
      <c r="T75" s="26" t="s">
        <v>4161</v>
      </c>
      <c r="U75" s="26" t="s">
        <v>1302</v>
      </c>
      <c r="V75" s="25">
        <v>19.0</v>
      </c>
      <c r="W75" s="26" t="s">
        <v>4054</v>
      </c>
      <c r="X75" s="25" t="s">
        <v>3978</v>
      </c>
      <c r="Y75" s="31">
        <v>15.0</v>
      </c>
      <c r="Z75" s="31">
        <v>45.0</v>
      </c>
      <c r="AA75" s="31">
        <v>199.0</v>
      </c>
      <c r="AB75" s="31">
        <v>15.0</v>
      </c>
      <c r="AC75" s="32">
        <v>1.0</v>
      </c>
      <c r="AD75" s="26"/>
      <c r="AE75" s="26"/>
      <c r="AF75" s="32">
        <v>21.0</v>
      </c>
      <c r="AG75" s="61"/>
      <c r="AH75" s="61"/>
      <c r="AI75" s="62"/>
    </row>
    <row r="76" ht="38.25" hidden="1" customHeight="1">
      <c r="A76" s="25">
        <v>75.0</v>
      </c>
      <c r="B76" s="26" t="s">
        <v>1037</v>
      </c>
      <c r="C76" s="26" t="s">
        <v>4185</v>
      </c>
      <c r="D76" s="26" t="s">
        <v>4186</v>
      </c>
      <c r="E76" s="26" t="s">
        <v>4158</v>
      </c>
      <c r="F76" s="26" t="s">
        <v>4158</v>
      </c>
      <c r="G76" s="27" t="s">
        <v>1110</v>
      </c>
      <c r="H76" s="27" t="s">
        <v>1110</v>
      </c>
      <c r="I76" s="29">
        <v>4393.0</v>
      </c>
      <c r="J76" s="29" t="s">
        <v>1535</v>
      </c>
      <c r="K76" s="27" t="s">
        <v>1137</v>
      </c>
      <c r="L76" s="32">
        <v>2.0</v>
      </c>
      <c r="M76" s="27" t="s">
        <v>1137</v>
      </c>
      <c r="N76" s="30" t="s">
        <v>1174</v>
      </c>
      <c r="O76" s="26" t="str">
        <f t="shared" si="21"/>
        <v>กลุ่มงานเภสัชกรรม</v>
      </c>
      <c r="P76" s="26" t="s">
        <v>4160</v>
      </c>
      <c r="Q76" s="26" t="str">
        <f t="shared" si="19"/>
        <v>กลุ่มงานเภสัชกรรม</v>
      </c>
      <c r="R76" s="26" t="str">
        <f t="shared" si="20"/>
        <v>ภารกิจด้านบริการทุติยภูมิและตติยภูมิ</v>
      </c>
      <c r="S76" s="26" t="str">
        <f t="shared" si="16"/>
        <v>กลุ่มงานเภสัชกรรม</v>
      </c>
      <c r="T76" s="26" t="s">
        <v>4161</v>
      </c>
      <c r="U76" s="26" t="s">
        <v>1302</v>
      </c>
      <c r="V76" s="25">
        <v>19.0</v>
      </c>
      <c r="W76" s="26" t="s">
        <v>4054</v>
      </c>
      <c r="X76" s="25" t="s">
        <v>3978</v>
      </c>
      <c r="Y76" s="31">
        <v>15.0</v>
      </c>
      <c r="Z76" s="31">
        <v>45.0</v>
      </c>
      <c r="AA76" s="31">
        <v>199.0</v>
      </c>
      <c r="AB76" s="31">
        <v>15.0</v>
      </c>
      <c r="AC76" s="32">
        <v>1.0</v>
      </c>
      <c r="AD76" s="26"/>
      <c r="AE76" s="26"/>
      <c r="AF76" s="32">
        <v>21.0</v>
      </c>
      <c r="AG76" s="33">
        <v>1.500301227644E12</v>
      </c>
      <c r="AH76" s="33" t="s">
        <v>1515</v>
      </c>
      <c r="AI76" s="34" t="s">
        <v>4187</v>
      </c>
    </row>
    <row r="77" ht="38.25" hidden="1" customHeight="1">
      <c r="A77" s="32">
        <v>76.0</v>
      </c>
      <c r="B77" s="26" t="s">
        <v>1037</v>
      </c>
      <c r="C77" s="64" t="s">
        <v>4188</v>
      </c>
      <c r="D77" s="26" t="s">
        <v>4017</v>
      </c>
      <c r="E77" s="26" t="s">
        <v>4158</v>
      </c>
      <c r="F77" s="26" t="s">
        <v>4158</v>
      </c>
      <c r="G77" s="27" t="s">
        <v>1110</v>
      </c>
      <c r="H77" s="27" t="s">
        <v>1110</v>
      </c>
      <c r="I77" s="29" t="s">
        <v>4189</v>
      </c>
      <c r="J77" s="29" t="s">
        <v>3963</v>
      </c>
      <c r="K77" s="27" t="s">
        <v>1137</v>
      </c>
      <c r="L77" s="32">
        <v>2.0</v>
      </c>
      <c r="M77" s="27" t="s">
        <v>1137</v>
      </c>
      <c r="N77" s="30" t="s">
        <v>1174</v>
      </c>
      <c r="O77" s="26" t="s">
        <v>4161</v>
      </c>
      <c r="P77" s="26" t="s">
        <v>4160</v>
      </c>
      <c r="Q77" s="26" t="s">
        <v>4161</v>
      </c>
      <c r="R77" s="26" t="s">
        <v>4054</v>
      </c>
      <c r="S77" s="26" t="str">
        <f t="shared" si="16"/>
        <v>กลุ่มงานเภสัชกรรม</v>
      </c>
      <c r="T77" s="26" t="s">
        <v>4161</v>
      </c>
      <c r="U77" s="26" t="s">
        <v>1302</v>
      </c>
      <c r="V77" s="25">
        <v>19.0</v>
      </c>
      <c r="W77" s="26" t="s">
        <v>4054</v>
      </c>
      <c r="X77" s="25" t="s">
        <v>3978</v>
      </c>
      <c r="Y77" s="31">
        <v>15.0</v>
      </c>
      <c r="Z77" s="31">
        <v>45.0</v>
      </c>
      <c r="AA77" s="31">
        <v>199.0</v>
      </c>
      <c r="AB77" s="31">
        <v>15.0</v>
      </c>
      <c r="AC77" s="32">
        <v>0.0</v>
      </c>
      <c r="AD77" s="26" t="s">
        <v>4155</v>
      </c>
      <c r="AE77" s="26"/>
      <c r="AF77" s="32">
        <v>21.0</v>
      </c>
      <c r="AG77" s="67">
        <v>1.50020127053E12</v>
      </c>
      <c r="AH77" s="67" t="s">
        <v>158</v>
      </c>
      <c r="AI77" s="68">
        <v>237024.0</v>
      </c>
    </row>
    <row r="78" ht="38.25" hidden="1" customHeight="1">
      <c r="A78" s="25">
        <v>77.0</v>
      </c>
      <c r="B78" s="26" t="s">
        <v>1037</v>
      </c>
      <c r="C78" s="26" t="s">
        <v>4190</v>
      </c>
      <c r="D78" s="26" t="s">
        <v>4191</v>
      </c>
      <c r="E78" s="26" t="s">
        <v>4158</v>
      </c>
      <c r="F78" s="26" t="s">
        <v>4158</v>
      </c>
      <c r="G78" s="27" t="s">
        <v>1110</v>
      </c>
      <c r="H78" s="27" t="s">
        <v>1110</v>
      </c>
      <c r="I78" s="29" t="s">
        <v>4192</v>
      </c>
      <c r="J78" s="29" t="s">
        <v>3963</v>
      </c>
      <c r="K78" s="27" t="s">
        <v>1137</v>
      </c>
      <c r="L78" s="32">
        <v>2.0</v>
      </c>
      <c r="M78" s="27" t="s">
        <v>1137</v>
      </c>
      <c r="N78" s="30" t="s">
        <v>1174</v>
      </c>
      <c r="O78" s="26" t="s">
        <v>4161</v>
      </c>
      <c r="P78" s="26" t="s">
        <v>4160</v>
      </c>
      <c r="Q78" s="26" t="s">
        <v>4161</v>
      </c>
      <c r="R78" s="26" t="s">
        <v>4054</v>
      </c>
      <c r="S78" s="26" t="str">
        <f t="shared" si="16"/>
        <v>กลุ่มงานเภสัชกรรม</v>
      </c>
      <c r="T78" s="26" t="s">
        <v>4161</v>
      </c>
      <c r="U78" s="26" t="s">
        <v>1302</v>
      </c>
      <c r="V78" s="25">
        <v>19.0</v>
      </c>
      <c r="W78" s="26" t="s">
        <v>4054</v>
      </c>
      <c r="X78" s="25" t="s">
        <v>3978</v>
      </c>
      <c r="Y78" s="31">
        <v>15.0</v>
      </c>
      <c r="Z78" s="31">
        <v>45.0</v>
      </c>
      <c r="AA78" s="31">
        <v>199.0</v>
      </c>
      <c r="AB78" s="31">
        <v>15.0</v>
      </c>
      <c r="AC78" s="32">
        <v>0.0</v>
      </c>
      <c r="AD78" s="26" t="s">
        <v>4155</v>
      </c>
      <c r="AE78" s="26"/>
      <c r="AF78" s="32">
        <v>21.0</v>
      </c>
      <c r="AG78" s="67">
        <v>1.500201268471E12</v>
      </c>
      <c r="AH78" s="67" t="s">
        <v>240</v>
      </c>
      <c r="AI78" s="69">
        <v>236900.0</v>
      </c>
    </row>
    <row r="79" ht="38.25" hidden="1" customHeight="1">
      <c r="A79" s="32">
        <v>78.0</v>
      </c>
      <c r="B79" s="26" t="s">
        <v>1037</v>
      </c>
      <c r="C79" s="26" t="s">
        <v>4193</v>
      </c>
      <c r="D79" s="26" t="s">
        <v>4194</v>
      </c>
      <c r="E79" s="26" t="s">
        <v>4158</v>
      </c>
      <c r="F79" s="26" t="s">
        <v>4158</v>
      </c>
      <c r="G79" s="27" t="s">
        <v>1110</v>
      </c>
      <c r="H79" s="27" t="s">
        <v>1110</v>
      </c>
      <c r="I79" s="29" t="s">
        <v>4195</v>
      </c>
      <c r="J79" s="29" t="s">
        <v>3963</v>
      </c>
      <c r="K79" s="27" t="s">
        <v>1137</v>
      </c>
      <c r="L79" s="32">
        <v>2.0</v>
      </c>
      <c r="M79" s="27" t="s">
        <v>1137</v>
      </c>
      <c r="N79" s="30" t="s">
        <v>1174</v>
      </c>
      <c r="O79" s="26" t="s">
        <v>4161</v>
      </c>
      <c r="P79" s="26" t="s">
        <v>4160</v>
      </c>
      <c r="Q79" s="26" t="s">
        <v>4161</v>
      </c>
      <c r="R79" s="26" t="s">
        <v>4054</v>
      </c>
      <c r="S79" s="26" t="str">
        <f t="shared" si="16"/>
        <v>กลุ่มงานเภสัชกรรม</v>
      </c>
      <c r="T79" s="26" t="s">
        <v>4161</v>
      </c>
      <c r="U79" s="26" t="s">
        <v>1302</v>
      </c>
      <c r="V79" s="25">
        <v>19.0</v>
      </c>
      <c r="W79" s="26" t="s">
        <v>4054</v>
      </c>
      <c r="X79" s="25" t="s">
        <v>3978</v>
      </c>
      <c r="Y79" s="31">
        <v>15.0</v>
      </c>
      <c r="Z79" s="31">
        <v>45.0</v>
      </c>
      <c r="AA79" s="31">
        <v>199.0</v>
      </c>
      <c r="AB79" s="31">
        <v>15.0</v>
      </c>
      <c r="AC79" s="32">
        <v>0.0</v>
      </c>
      <c r="AD79" s="26" t="s">
        <v>4155</v>
      </c>
      <c r="AE79" s="26"/>
      <c r="AF79" s="32">
        <v>21.0</v>
      </c>
      <c r="AG79" s="67">
        <v>1.589700025415E12</v>
      </c>
      <c r="AH79" s="67" t="s">
        <v>260</v>
      </c>
      <c r="AI79" s="66"/>
    </row>
    <row r="80" ht="38.25" hidden="1" customHeight="1">
      <c r="A80" s="25">
        <v>79.0</v>
      </c>
      <c r="B80" s="26" t="s">
        <v>2692</v>
      </c>
      <c r="C80" s="26" t="s">
        <v>4196</v>
      </c>
      <c r="D80" s="26" t="s">
        <v>4197</v>
      </c>
      <c r="E80" s="26" t="s">
        <v>4198</v>
      </c>
      <c r="F80" s="26" t="s">
        <v>4198</v>
      </c>
      <c r="G80" s="27" t="s">
        <v>1110</v>
      </c>
      <c r="H80" s="27" t="s">
        <v>1110</v>
      </c>
      <c r="I80" s="29">
        <v>4387.0</v>
      </c>
      <c r="J80" s="29" t="s">
        <v>1535</v>
      </c>
      <c r="K80" s="27" t="s">
        <v>1137</v>
      </c>
      <c r="L80" s="25">
        <v>1.0</v>
      </c>
      <c r="M80" s="27" t="s">
        <v>1137</v>
      </c>
      <c r="N80" s="30" t="s">
        <v>1174</v>
      </c>
      <c r="O80" s="26" t="str">
        <f t="shared" ref="O80:O83" si="22">+T80</f>
        <v>กลุ่มงานเวชกรรมฟื้นฟู</v>
      </c>
      <c r="P80" s="26" t="s">
        <v>4199</v>
      </c>
      <c r="Q80" s="26" t="str">
        <f t="shared" ref="Q80:Q85" si="23">+T80</f>
        <v>กลุ่มงานเวชกรรมฟื้นฟู</v>
      </c>
      <c r="R80" s="26" t="str">
        <f t="shared" ref="R80:R119" si="24">+W80</f>
        <v>ภารกิจด้านบริการทุติยภูมิและตติยภูมิ</v>
      </c>
      <c r="S80" s="26" t="str">
        <f t="shared" si="16"/>
        <v>กลุ่มงานเวชกรรมฟื้นฟู</v>
      </c>
      <c r="T80" s="26" t="s">
        <v>4200</v>
      </c>
      <c r="U80" s="26" t="s">
        <v>1302</v>
      </c>
      <c r="V80" s="25">
        <v>17.0</v>
      </c>
      <c r="W80" s="26" t="s">
        <v>4054</v>
      </c>
      <c r="X80" s="25" t="s">
        <v>3978</v>
      </c>
      <c r="Y80" s="31">
        <v>2.0</v>
      </c>
      <c r="Z80" s="31">
        <v>23.0</v>
      </c>
      <c r="AA80" s="31">
        <v>199.0</v>
      </c>
      <c r="AB80" s="31">
        <v>2.0</v>
      </c>
      <c r="AC80" s="32">
        <v>1.0</v>
      </c>
      <c r="AD80" s="26"/>
      <c r="AE80" s="26"/>
      <c r="AF80" s="32">
        <v>41.0</v>
      </c>
      <c r="AG80" s="37">
        <v>1.500700184469E12</v>
      </c>
      <c r="AH80" s="37" t="s">
        <v>2527</v>
      </c>
      <c r="AI80" s="38" t="s">
        <v>4201</v>
      </c>
    </row>
    <row r="81" ht="38.25" hidden="1" customHeight="1">
      <c r="A81" s="32">
        <v>80.0</v>
      </c>
      <c r="B81" s="26" t="s">
        <v>2692</v>
      </c>
      <c r="C81" s="26" t="s">
        <v>4202</v>
      </c>
      <c r="D81" s="26" t="s">
        <v>4203</v>
      </c>
      <c r="E81" s="26" t="s">
        <v>4198</v>
      </c>
      <c r="F81" s="26" t="s">
        <v>4198</v>
      </c>
      <c r="G81" s="27" t="s">
        <v>1110</v>
      </c>
      <c r="H81" s="27" t="s">
        <v>1110</v>
      </c>
      <c r="I81" s="28" t="s">
        <v>4204</v>
      </c>
      <c r="J81" s="29" t="s">
        <v>3949</v>
      </c>
      <c r="K81" s="27" t="s">
        <v>1137</v>
      </c>
      <c r="L81" s="25">
        <v>1.0</v>
      </c>
      <c r="M81" s="27" t="s">
        <v>1137</v>
      </c>
      <c r="N81" s="30" t="s">
        <v>1174</v>
      </c>
      <c r="O81" s="26" t="str">
        <f t="shared" si="22"/>
        <v>กลุ่มงานเวชกรรมฟื้นฟู</v>
      </c>
      <c r="P81" s="26" t="s">
        <v>4199</v>
      </c>
      <c r="Q81" s="26" t="str">
        <f t="shared" si="23"/>
        <v>กลุ่มงานเวชกรรมฟื้นฟู</v>
      </c>
      <c r="R81" s="26" t="str">
        <f t="shared" si="24"/>
        <v>ภารกิจด้านบริการทุติยภูมิและตติยภูมิ</v>
      </c>
      <c r="S81" s="26" t="str">
        <f t="shared" si="16"/>
        <v>กลุ่มงานเวชกรรมฟื้นฟู</v>
      </c>
      <c r="T81" s="26" t="s">
        <v>4200</v>
      </c>
      <c r="U81" s="26" t="s">
        <v>1302</v>
      </c>
      <c r="V81" s="25">
        <v>17.0</v>
      </c>
      <c r="W81" s="26" t="s">
        <v>4054</v>
      </c>
      <c r="X81" s="25" t="s">
        <v>3978</v>
      </c>
      <c r="Y81" s="31">
        <v>2.0</v>
      </c>
      <c r="Z81" s="31">
        <v>23.0</v>
      </c>
      <c r="AA81" s="31">
        <v>199.0</v>
      </c>
      <c r="AB81" s="31">
        <v>2.0</v>
      </c>
      <c r="AC81" s="32">
        <v>1.0</v>
      </c>
      <c r="AD81" s="26"/>
      <c r="AE81" s="26"/>
      <c r="AF81" s="32">
        <v>41.0</v>
      </c>
      <c r="AG81" s="33">
        <v>1.501201129161E12</v>
      </c>
      <c r="AH81" s="33" t="s">
        <v>1523</v>
      </c>
      <c r="AI81" s="34" t="s">
        <v>4205</v>
      </c>
    </row>
    <row r="82" ht="38.25" hidden="1" customHeight="1">
      <c r="A82" s="25">
        <v>81.0</v>
      </c>
      <c r="B82" s="26" t="s">
        <v>2692</v>
      </c>
      <c r="C82" s="26" t="s">
        <v>4206</v>
      </c>
      <c r="D82" s="26" t="s">
        <v>4207</v>
      </c>
      <c r="E82" s="26" t="s">
        <v>4198</v>
      </c>
      <c r="F82" s="26" t="s">
        <v>4198</v>
      </c>
      <c r="G82" s="27" t="s">
        <v>1110</v>
      </c>
      <c r="H82" s="27" t="s">
        <v>1110</v>
      </c>
      <c r="I82" s="29" t="s">
        <v>4208</v>
      </c>
      <c r="J82" s="29" t="s">
        <v>3963</v>
      </c>
      <c r="K82" s="27" t="s">
        <v>1137</v>
      </c>
      <c r="L82" s="25">
        <v>1.0</v>
      </c>
      <c r="M82" s="27" t="s">
        <v>1137</v>
      </c>
      <c r="N82" s="30" t="s">
        <v>1174</v>
      </c>
      <c r="O82" s="26" t="str">
        <f t="shared" si="22"/>
        <v>กลุ่มงานเวชกรรมฟื้นฟู</v>
      </c>
      <c r="P82" s="26" t="s">
        <v>4199</v>
      </c>
      <c r="Q82" s="26" t="str">
        <f t="shared" si="23"/>
        <v>กลุ่มงานเวชกรรมฟื้นฟู</v>
      </c>
      <c r="R82" s="26" t="str">
        <f t="shared" si="24"/>
        <v>ภารกิจด้านบริการทุติยภูมิและตติยภูมิ</v>
      </c>
      <c r="S82" s="26" t="str">
        <f t="shared" si="16"/>
        <v>กลุ่มงานเวชกรรมฟื้นฟู</v>
      </c>
      <c r="T82" s="26" t="s">
        <v>4200</v>
      </c>
      <c r="U82" s="26" t="s">
        <v>1302</v>
      </c>
      <c r="V82" s="25">
        <v>17.0</v>
      </c>
      <c r="W82" s="26" t="s">
        <v>4054</v>
      </c>
      <c r="X82" s="25" t="s">
        <v>3978</v>
      </c>
      <c r="Y82" s="31">
        <v>2.0</v>
      </c>
      <c r="Z82" s="31">
        <v>23.0</v>
      </c>
      <c r="AA82" s="31">
        <v>199.0</v>
      </c>
      <c r="AB82" s="31">
        <v>2.0</v>
      </c>
      <c r="AC82" s="32">
        <v>1.0</v>
      </c>
      <c r="AD82" s="26"/>
      <c r="AE82" s="26"/>
      <c r="AF82" s="32">
        <v>41.0</v>
      </c>
      <c r="AG82" s="37">
        <v>1.509966217804E12</v>
      </c>
      <c r="AH82" s="37" t="s">
        <v>477</v>
      </c>
      <c r="AI82" s="38" t="s">
        <v>4209</v>
      </c>
    </row>
    <row r="83" ht="38.25" hidden="1" customHeight="1">
      <c r="A83" s="32">
        <v>82.0</v>
      </c>
      <c r="B83" s="70"/>
      <c r="C83" s="70"/>
      <c r="D83" s="64">
        <v>1.0</v>
      </c>
      <c r="E83" s="70" t="s">
        <v>4198</v>
      </c>
      <c r="F83" s="70" t="s">
        <v>4198</v>
      </c>
      <c r="G83" s="71" t="s">
        <v>1110</v>
      </c>
      <c r="H83" s="71" t="s">
        <v>1110</v>
      </c>
      <c r="I83" s="72" t="s">
        <v>4210</v>
      </c>
      <c r="J83" s="72" t="s">
        <v>3963</v>
      </c>
      <c r="K83" s="71" t="s">
        <v>1137</v>
      </c>
      <c r="L83" s="73">
        <v>1.0</v>
      </c>
      <c r="M83" s="71" t="s">
        <v>1137</v>
      </c>
      <c r="N83" s="73" t="s">
        <v>1174</v>
      </c>
      <c r="O83" s="70" t="str">
        <f t="shared" si="22"/>
        <v>กลุ่มงานเวชกรรมฟื้นฟู</v>
      </c>
      <c r="P83" s="70" t="s">
        <v>4199</v>
      </c>
      <c r="Q83" s="70" t="str">
        <f t="shared" si="23"/>
        <v>กลุ่มงานเวชกรรมฟื้นฟู</v>
      </c>
      <c r="R83" s="70" t="str">
        <f t="shared" si="24"/>
        <v>ภารกิจด้านบริการทุติยภูมิและตติยภูมิ</v>
      </c>
      <c r="S83" s="70" t="str">
        <f t="shared" si="16"/>
        <v>กลุ่มงานเวชกรรมฟื้นฟู</v>
      </c>
      <c r="T83" s="70" t="s">
        <v>4200</v>
      </c>
      <c r="U83" s="70" t="s">
        <v>1302</v>
      </c>
      <c r="V83" s="73">
        <v>17.0</v>
      </c>
      <c r="W83" s="70" t="s">
        <v>4054</v>
      </c>
      <c r="X83" s="73" t="s">
        <v>3978</v>
      </c>
      <c r="Y83" s="74">
        <v>2.0</v>
      </c>
      <c r="Z83" s="74">
        <v>23.0</v>
      </c>
      <c r="AA83" s="74">
        <v>199.0</v>
      </c>
      <c r="AB83" s="74">
        <v>2.0</v>
      </c>
      <c r="AC83" s="32">
        <v>0.0</v>
      </c>
      <c r="AD83" s="70" t="s">
        <v>4155</v>
      </c>
      <c r="AE83" s="70"/>
      <c r="AF83" s="75">
        <v>41.0</v>
      </c>
      <c r="AG83" s="65"/>
      <c r="AH83" s="65"/>
      <c r="AI83" s="66"/>
    </row>
    <row r="84" ht="38.25" hidden="1" customHeight="1">
      <c r="A84" s="25">
        <v>83.0</v>
      </c>
      <c r="B84" s="26" t="s">
        <v>2692</v>
      </c>
      <c r="C84" s="26" t="s">
        <v>4211</v>
      </c>
      <c r="D84" s="26" t="s">
        <v>4212</v>
      </c>
      <c r="E84" s="26" t="s">
        <v>4213</v>
      </c>
      <c r="F84" s="26" t="s">
        <v>4213</v>
      </c>
      <c r="G84" s="27" t="s">
        <v>1110</v>
      </c>
      <c r="H84" s="27" t="s">
        <v>1110</v>
      </c>
      <c r="I84" s="29">
        <v>4315.0</v>
      </c>
      <c r="J84" s="29" t="s">
        <v>1535</v>
      </c>
      <c r="K84" s="27" t="s">
        <v>4214</v>
      </c>
      <c r="L84" s="25">
        <v>4.0</v>
      </c>
      <c r="M84" s="27" t="s">
        <v>4215</v>
      </c>
      <c r="N84" s="30" t="s">
        <v>1174</v>
      </c>
      <c r="O84" s="26" t="s">
        <v>4090</v>
      </c>
      <c r="P84" s="26" t="s">
        <v>4090</v>
      </c>
      <c r="Q84" s="26" t="str">
        <f t="shared" si="23"/>
        <v>กลุ่มงานบริหารทั่วไป</v>
      </c>
      <c r="R84" s="26" t="str">
        <f t="shared" si="24"/>
        <v>ภารกิจด้านอำนวยการ</v>
      </c>
      <c r="S84" s="26" t="str">
        <f t="shared" si="16"/>
        <v>กลุ่มงานบริหารทั่วไป</v>
      </c>
      <c r="T84" s="26" t="s">
        <v>3992</v>
      </c>
      <c r="U84" s="26" t="s">
        <v>1302</v>
      </c>
      <c r="V84" s="25" t="s">
        <v>46</v>
      </c>
      <c r="W84" s="26" t="s">
        <v>1323</v>
      </c>
      <c r="X84" s="25" t="s">
        <v>46</v>
      </c>
      <c r="Y84" s="31">
        <v>3.0</v>
      </c>
      <c r="Z84" s="31">
        <v>54.0</v>
      </c>
      <c r="AA84" s="31">
        <v>57.0</v>
      </c>
      <c r="AB84" s="31">
        <v>55.0</v>
      </c>
      <c r="AC84" s="32">
        <v>1.0</v>
      </c>
      <c r="AD84" s="26"/>
      <c r="AE84" s="26"/>
      <c r="AF84" s="32">
        <v>45.0</v>
      </c>
      <c r="AG84" s="33">
        <v>3.600200213791E12</v>
      </c>
      <c r="AH84" s="33" t="s">
        <v>2331</v>
      </c>
      <c r="AI84" s="40">
        <v>227215.0</v>
      </c>
    </row>
    <row r="85" ht="38.25" hidden="1" customHeight="1">
      <c r="A85" s="32">
        <v>84.0</v>
      </c>
      <c r="B85" s="26"/>
      <c r="C85" s="26"/>
      <c r="D85" s="26"/>
      <c r="E85" s="26" t="s">
        <v>4213</v>
      </c>
      <c r="F85" s="26" t="s">
        <v>4213</v>
      </c>
      <c r="G85" s="27" t="s">
        <v>1110</v>
      </c>
      <c r="H85" s="27" t="s">
        <v>1110</v>
      </c>
      <c r="I85" s="29">
        <v>4316.0</v>
      </c>
      <c r="J85" s="29" t="s">
        <v>1535</v>
      </c>
      <c r="K85" s="27" t="s">
        <v>4214</v>
      </c>
      <c r="L85" s="25">
        <v>4.0</v>
      </c>
      <c r="M85" s="27" t="s">
        <v>4215</v>
      </c>
      <c r="N85" s="30" t="s">
        <v>1174</v>
      </c>
      <c r="O85" s="26" t="s">
        <v>4090</v>
      </c>
      <c r="P85" s="26" t="s">
        <v>4090</v>
      </c>
      <c r="Q85" s="26" t="str">
        <f t="shared" si="23"/>
        <v>กลุ่มงานบริหารทั่วไป</v>
      </c>
      <c r="R85" s="26" t="str">
        <f t="shared" si="24"/>
        <v>ภารกิจด้านอำนวยการ</v>
      </c>
      <c r="S85" s="26" t="str">
        <f t="shared" si="16"/>
        <v>กลุ่มงานบริหารทั่วไป</v>
      </c>
      <c r="T85" s="26" t="s">
        <v>3992</v>
      </c>
      <c r="U85" s="26" t="s">
        <v>1302</v>
      </c>
      <c r="V85" s="25" t="s">
        <v>46</v>
      </c>
      <c r="W85" s="26" t="s">
        <v>1323</v>
      </c>
      <c r="X85" s="25" t="s">
        <v>46</v>
      </c>
      <c r="Y85" s="31">
        <v>3.0</v>
      </c>
      <c r="Z85" s="31">
        <v>54.0</v>
      </c>
      <c r="AA85" s="31">
        <v>57.0</v>
      </c>
      <c r="AB85" s="31">
        <v>55.0</v>
      </c>
      <c r="AC85" s="32">
        <v>0.0</v>
      </c>
      <c r="AD85" s="26" t="s">
        <v>4216</v>
      </c>
      <c r="AE85" s="26"/>
      <c r="AF85" s="32">
        <v>45.0</v>
      </c>
      <c r="AG85" s="65"/>
      <c r="AH85" s="65"/>
      <c r="AI85" s="66"/>
    </row>
    <row r="86" ht="38.25" hidden="1" customHeight="1">
      <c r="A86" s="25">
        <v>85.0</v>
      </c>
      <c r="B86" s="26" t="s">
        <v>1037</v>
      </c>
      <c r="C86" s="26" t="s">
        <v>4217</v>
      </c>
      <c r="D86" s="26" t="s">
        <v>4218</v>
      </c>
      <c r="E86" s="26" t="s">
        <v>4219</v>
      </c>
      <c r="F86" s="26" t="s">
        <v>4219</v>
      </c>
      <c r="G86" s="27" t="s">
        <v>4220</v>
      </c>
      <c r="H86" s="27" t="s">
        <v>4221</v>
      </c>
      <c r="I86" s="29">
        <v>87007.0</v>
      </c>
      <c r="J86" s="29" t="s">
        <v>1125</v>
      </c>
      <c r="K86" s="27" t="s">
        <v>1137</v>
      </c>
      <c r="L86" s="25">
        <v>1.0</v>
      </c>
      <c r="M86" s="27" t="s">
        <v>1137</v>
      </c>
      <c r="N86" s="30" t="s">
        <v>1174</v>
      </c>
      <c r="O86" s="26" t="s">
        <v>4095</v>
      </c>
      <c r="P86" s="26" t="str">
        <f t="shared" ref="P86:P95" si="25">+O86</f>
        <v>กลุ่มงานทันตกรรม</v>
      </c>
      <c r="Q86" s="26" t="s">
        <v>4095</v>
      </c>
      <c r="R86" s="26" t="str">
        <f t="shared" si="24"/>
        <v>ภารกิจด้านบริการทุติยภูมิและตติยภูมิ</v>
      </c>
      <c r="S86" s="26" t="str">
        <f t="shared" si="16"/>
        <v>กลุ่มงานทันตกรรม</v>
      </c>
      <c r="T86" s="26" t="s">
        <v>4095</v>
      </c>
      <c r="U86" s="26" t="s">
        <v>1302</v>
      </c>
      <c r="V86" s="25">
        <v>14.0</v>
      </c>
      <c r="W86" s="26" t="s">
        <v>4054</v>
      </c>
      <c r="X86" s="25" t="s">
        <v>3978</v>
      </c>
      <c r="Y86" s="31">
        <v>12.0</v>
      </c>
      <c r="Z86" s="31">
        <v>18.0</v>
      </c>
      <c r="AA86" s="31">
        <v>199.0</v>
      </c>
      <c r="AB86" s="31">
        <v>12.0</v>
      </c>
      <c r="AC86" s="32">
        <v>1.0</v>
      </c>
      <c r="AD86" s="26"/>
      <c r="AE86" s="26"/>
      <c r="AF86" s="32">
        <v>3.0</v>
      </c>
      <c r="AG86" s="37">
        <v>3.100800876516E12</v>
      </c>
      <c r="AH86" s="37" t="s">
        <v>3404</v>
      </c>
      <c r="AI86" s="44">
        <v>228313.0</v>
      </c>
    </row>
    <row r="87" ht="38.25" hidden="1" customHeight="1">
      <c r="A87" s="32">
        <v>86.0</v>
      </c>
      <c r="B87" s="26" t="s">
        <v>2692</v>
      </c>
      <c r="C87" s="26" t="s">
        <v>4222</v>
      </c>
      <c r="D87" s="26" t="s">
        <v>4223</v>
      </c>
      <c r="E87" s="26" t="s">
        <v>4219</v>
      </c>
      <c r="F87" s="26" t="s">
        <v>4219</v>
      </c>
      <c r="G87" s="27" t="s">
        <v>4220</v>
      </c>
      <c r="H87" s="27" t="s">
        <v>4221</v>
      </c>
      <c r="I87" s="29">
        <v>100068.0</v>
      </c>
      <c r="J87" s="29" t="s">
        <v>1125</v>
      </c>
      <c r="K87" s="27" t="s">
        <v>1137</v>
      </c>
      <c r="L87" s="25">
        <v>1.0</v>
      </c>
      <c r="M87" s="27" t="s">
        <v>1137</v>
      </c>
      <c r="N87" s="30" t="s">
        <v>1174</v>
      </c>
      <c r="O87" s="26" t="s">
        <v>4095</v>
      </c>
      <c r="P87" s="26" t="str">
        <f t="shared" si="25"/>
        <v>กลุ่มงานทันตกรรม</v>
      </c>
      <c r="Q87" s="26" t="s">
        <v>4095</v>
      </c>
      <c r="R87" s="26" t="str">
        <f t="shared" si="24"/>
        <v>ภารกิจด้านบริการทุติยภูมิและตติยภูมิ</v>
      </c>
      <c r="S87" s="26" t="str">
        <f t="shared" si="16"/>
        <v>กลุ่มงานทันตกรรม</v>
      </c>
      <c r="T87" s="26" t="s">
        <v>4095</v>
      </c>
      <c r="U87" s="26" t="s">
        <v>1302</v>
      </c>
      <c r="V87" s="25">
        <v>14.0</v>
      </c>
      <c r="W87" s="26" t="s">
        <v>4054</v>
      </c>
      <c r="X87" s="25" t="s">
        <v>3978</v>
      </c>
      <c r="Y87" s="31">
        <v>12.0</v>
      </c>
      <c r="Z87" s="31">
        <v>18.0</v>
      </c>
      <c r="AA87" s="31">
        <v>199.0</v>
      </c>
      <c r="AB87" s="31">
        <v>12.0</v>
      </c>
      <c r="AC87" s="32">
        <v>1.0</v>
      </c>
      <c r="AD87" s="26"/>
      <c r="AE87" s="26"/>
      <c r="AF87" s="32">
        <v>3.0</v>
      </c>
      <c r="AG87" s="33">
        <v>3.549900187156E12</v>
      </c>
      <c r="AH87" s="33" t="s">
        <v>3409</v>
      </c>
      <c r="AI87" s="40">
        <v>228310.0</v>
      </c>
    </row>
    <row r="88" ht="38.25" hidden="1" customHeight="1">
      <c r="A88" s="25">
        <v>87.0</v>
      </c>
      <c r="B88" s="26" t="s">
        <v>806</v>
      </c>
      <c r="C88" s="26" t="s">
        <v>4224</v>
      </c>
      <c r="D88" s="26" t="s">
        <v>4225</v>
      </c>
      <c r="E88" s="26" t="s">
        <v>4219</v>
      </c>
      <c r="F88" s="26" t="s">
        <v>4219</v>
      </c>
      <c r="G88" s="27" t="s">
        <v>4226</v>
      </c>
      <c r="H88" s="27" t="s">
        <v>4221</v>
      </c>
      <c r="I88" s="29">
        <v>106391.0</v>
      </c>
      <c r="J88" s="29" t="s">
        <v>1125</v>
      </c>
      <c r="K88" s="27" t="s">
        <v>1137</v>
      </c>
      <c r="L88" s="25">
        <v>1.0</v>
      </c>
      <c r="M88" s="27" t="s">
        <v>1137</v>
      </c>
      <c r="N88" s="30" t="s">
        <v>1174</v>
      </c>
      <c r="O88" s="26" t="s">
        <v>4095</v>
      </c>
      <c r="P88" s="26" t="str">
        <f t="shared" si="25"/>
        <v>กลุ่มงานทันตกรรม</v>
      </c>
      <c r="Q88" s="26" t="s">
        <v>4095</v>
      </c>
      <c r="R88" s="26" t="str">
        <f t="shared" si="24"/>
        <v>ภารกิจด้านบริการทุติยภูมิและตติยภูมิ</v>
      </c>
      <c r="S88" s="26" t="str">
        <f t="shared" si="16"/>
        <v>กลุ่มงานทันตกรรม</v>
      </c>
      <c r="T88" s="26" t="s">
        <v>4095</v>
      </c>
      <c r="U88" s="26" t="s">
        <v>1302</v>
      </c>
      <c r="V88" s="25">
        <v>14.0</v>
      </c>
      <c r="W88" s="26" t="s">
        <v>4054</v>
      </c>
      <c r="X88" s="25" t="s">
        <v>3978</v>
      </c>
      <c r="Y88" s="31">
        <v>12.0</v>
      </c>
      <c r="Z88" s="31">
        <v>18.0</v>
      </c>
      <c r="AA88" s="31">
        <v>199.0</v>
      </c>
      <c r="AB88" s="31">
        <v>12.0</v>
      </c>
      <c r="AC88" s="32">
        <v>1.0</v>
      </c>
      <c r="AD88" s="26"/>
      <c r="AE88" s="26"/>
      <c r="AF88" s="32">
        <v>3.0</v>
      </c>
      <c r="AG88" s="37">
        <v>3.540400081768E12</v>
      </c>
      <c r="AH88" s="37" t="s">
        <v>3421</v>
      </c>
      <c r="AI88" s="38" t="s">
        <v>4227</v>
      </c>
    </row>
    <row r="89" ht="38.25" hidden="1" customHeight="1">
      <c r="A89" s="32">
        <v>88.0</v>
      </c>
      <c r="B89" s="26" t="s">
        <v>806</v>
      </c>
      <c r="C89" s="26" t="s">
        <v>4228</v>
      </c>
      <c r="D89" s="26" t="s">
        <v>4229</v>
      </c>
      <c r="E89" s="26" t="s">
        <v>4219</v>
      </c>
      <c r="F89" s="26" t="s">
        <v>4219</v>
      </c>
      <c r="G89" s="27" t="s">
        <v>4220</v>
      </c>
      <c r="H89" s="27" t="s">
        <v>4221</v>
      </c>
      <c r="I89" s="29">
        <v>159163.0</v>
      </c>
      <c r="J89" s="29" t="s">
        <v>1125</v>
      </c>
      <c r="K89" s="27" t="s">
        <v>1137</v>
      </c>
      <c r="L89" s="25">
        <v>1.0</v>
      </c>
      <c r="M89" s="27" t="s">
        <v>1137</v>
      </c>
      <c r="N89" s="30" t="s">
        <v>1174</v>
      </c>
      <c r="O89" s="26" t="s">
        <v>4095</v>
      </c>
      <c r="P89" s="26" t="str">
        <f t="shared" si="25"/>
        <v>กลุ่มงานทันตกรรม</v>
      </c>
      <c r="Q89" s="26" t="s">
        <v>4095</v>
      </c>
      <c r="R89" s="26" t="str">
        <f t="shared" si="24"/>
        <v>ภารกิจด้านบริการทุติยภูมิและตติยภูมิ</v>
      </c>
      <c r="S89" s="26" t="str">
        <f t="shared" si="16"/>
        <v>กลุ่มงานทันตกรรม</v>
      </c>
      <c r="T89" s="26" t="s">
        <v>4095</v>
      </c>
      <c r="U89" s="26" t="s">
        <v>1302</v>
      </c>
      <c r="V89" s="25">
        <v>14.0</v>
      </c>
      <c r="W89" s="26" t="s">
        <v>4054</v>
      </c>
      <c r="X89" s="25" t="s">
        <v>3978</v>
      </c>
      <c r="Y89" s="31">
        <v>12.0</v>
      </c>
      <c r="Z89" s="31">
        <v>18.0</v>
      </c>
      <c r="AA89" s="31">
        <v>199.0</v>
      </c>
      <c r="AB89" s="31">
        <v>12.0</v>
      </c>
      <c r="AC89" s="32">
        <v>1.0</v>
      </c>
      <c r="AD89" s="26"/>
      <c r="AE89" s="26"/>
      <c r="AF89" s="32">
        <v>3.0</v>
      </c>
      <c r="AG89" s="33">
        <v>3.580400133296E12</v>
      </c>
      <c r="AH89" s="33" t="s">
        <v>3413</v>
      </c>
      <c r="AI89" s="40">
        <v>226277.0</v>
      </c>
    </row>
    <row r="90" ht="38.25" hidden="1" customHeight="1">
      <c r="A90" s="25">
        <v>89.0</v>
      </c>
      <c r="B90" s="26" t="s">
        <v>1037</v>
      </c>
      <c r="C90" s="26" t="s">
        <v>4230</v>
      </c>
      <c r="D90" s="26" t="s">
        <v>4231</v>
      </c>
      <c r="E90" s="26" t="s">
        <v>4219</v>
      </c>
      <c r="F90" s="26" t="s">
        <v>4219</v>
      </c>
      <c r="G90" s="27" t="s">
        <v>4226</v>
      </c>
      <c r="H90" s="27" t="s">
        <v>4221</v>
      </c>
      <c r="I90" s="29">
        <v>161075.0</v>
      </c>
      <c r="J90" s="29" t="s">
        <v>1125</v>
      </c>
      <c r="K90" s="27" t="s">
        <v>1137</v>
      </c>
      <c r="L90" s="25">
        <v>1.0</v>
      </c>
      <c r="M90" s="27" t="s">
        <v>1137</v>
      </c>
      <c r="N90" s="30" t="s">
        <v>1174</v>
      </c>
      <c r="O90" s="26" t="s">
        <v>4095</v>
      </c>
      <c r="P90" s="26" t="str">
        <f t="shared" si="25"/>
        <v>กลุ่มงานทันตกรรม</v>
      </c>
      <c r="Q90" s="26" t="s">
        <v>4095</v>
      </c>
      <c r="R90" s="26" t="str">
        <f t="shared" si="24"/>
        <v>ภารกิจด้านบริการทุติยภูมิและตติยภูมิ</v>
      </c>
      <c r="S90" s="26" t="str">
        <f t="shared" si="16"/>
        <v>กลุ่มงานทันตกรรม</v>
      </c>
      <c r="T90" s="26" t="s">
        <v>4095</v>
      </c>
      <c r="U90" s="26" t="s">
        <v>1302</v>
      </c>
      <c r="V90" s="25">
        <v>14.0</v>
      </c>
      <c r="W90" s="26" t="s">
        <v>4054</v>
      </c>
      <c r="X90" s="25" t="s">
        <v>3978</v>
      </c>
      <c r="Y90" s="31">
        <v>12.0</v>
      </c>
      <c r="Z90" s="31">
        <v>18.0</v>
      </c>
      <c r="AA90" s="31">
        <v>199.0</v>
      </c>
      <c r="AB90" s="31">
        <v>12.0</v>
      </c>
      <c r="AC90" s="32">
        <v>1.0</v>
      </c>
      <c r="AD90" s="26"/>
      <c r="AE90" s="26"/>
      <c r="AF90" s="32">
        <v>3.0</v>
      </c>
      <c r="AG90" s="37">
        <v>3.809700189993E12</v>
      </c>
      <c r="AH90" s="37" t="s">
        <v>3417</v>
      </c>
      <c r="AI90" s="44">
        <v>227427.0</v>
      </c>
    </row>
    <row r="91" ht="38.25" hidden="1" customHeight="1">
      <c r="A91" s="32">
        <v>90.0</v>
      </c>
      <c r="B91" s="76" t="s">
        <v>1037</v>
      </c>
      <c r="C91" s="76" t="s">
        <v>4232</v>
      </c>
      <c r="D91" s="76" t="s">
        <v>4233</v>
      </c>
      <c r="E91" s="76" t="s">
        <v>4219</v>
      </c>
      <c r="F91" s="76" t="s">
        <v>4219</v>
      </c>
      <c r="G91" s="77" t="s">
        <v>4220</v>
      </c>
      <c r="H91" s="77" t="s">
        <v>4221</v>
      </c>
      <c r="I91" s="78">
        <v>165066.0</v>
      </c>
      <c r="J91" s="78" t="s">
        <v>1125</v>
      </c>
      <c r="K91" s="77" t="s">
        <v>1137</v>
      </c>
      <c r="L91" s="79">
        <v>1.0</v>
      </c>
      <c r="M91" s="27" t="s">
        <v>1137</v>
      </c>
      <c r="N91" s="80" t="s">
        <v>1174</v>
      </c>
      <c r="O91" s="76" t="s">
        <v>4095</v>
      </c>
      <c r="P91" s="76" t="str">
        <f t="shared" si="25"/>
        <v>กลุ่มงานทันตกรรม</v>
      </c>
      <c r="Q91" s="76" t="s">
        <v>4095</v>
      </c>
      <c r="R91" s="76" t="str">
        <f t="shared" si="24"/>
        <v>ภารกิจด้านบริการทุติยภูมิและตติยภูมิ</v>
      </c>
      <c r="S91" s="76" t="str">
        <f t="shared" si="16"/>
        <v>กลุ่มงานทันตกรรม</v>
      </c>
      <c r="T91" s="76" t="s">
        <v>4095</v>
      </c>
      <c r="U91" s="26" t="s">
        <v>1302</v>
      </c>
      <c r="V91" s="79">
        <v>14.0</v>
      </c>
      <c r="W91" s="76" t="s">
        <v>4054</v>
      </c>
      <c r="X91" s="79" t="s">
        <v>3978</v>
      </c>
      <c r="Y91" s="81">
        <v>12.0</v>
      </c>
      <c r="Z91" s="81">
        <v>18.0</v>
      </c>
      <c r="AA91" s="81">
        <v>199.0</v>
      </c>
      <c r="AB91" s="81">
        <v>12.0</v>
      </c>
      <c r="AC91" s="32">
        <v>1.0</v>
      </c>
      <c r="AD91" s="76"/>
      <c r="AE91" s="76"/>
      <c r="AF91" s="32">
        <v>3.0</v>
      </c>
      <c r="AG91" s="33">
        <v>3.509900262123E12</v>
      </c>
      <c r="AH91" s="33" t="s">
        <v>2148</v>
      </c>
      <c r="AI91" s="34" t="s">
        <v>4234</v>
      </c>
    </row>
    <row r="92" ht="38.25" hidden="1" customHeight="1">
      <c r="A92" s="25">
        <v>91.0</v>
      </c>
      <c r="B92" s="26" t="s">
        <v>1037</v>
      </c>
      <c r="C92" s="26" t="s">
        <v>4235</v>
      </c>
      <c r="D92" s="26" t="s">
        <v>4236</v>
      </c>
      <c r="E92" s="26" t="s">
        <v>4219</v>
      </c>
      <c r="F92" s="26" t="s">
        <v>4219</v>
      </c>
      <c r="G92" s="27" t="s">
        <v>4220</v>
      </c>
      <c r="H92" s="27" t="s">
        <v>4221</v>
      </c>
      <c r="I92" s="29">
        <v>201809.0</v>
      </c>
      <c r="J92" s="29" t="s">
        <v>1125</v>
      </c>
      <c r="K92" s="27" t="s">
        <v>1137</v>
      </c>
      <c r="L92" s="25">
        <v>1.0</v>
      </c>
      <c r="M92" s="27" t="s">
        <v>1137</v>
      </c>
      <c r="N92" s="30" t="s">
        <v>1174</v>
      </c>
      <c r="O92" s="26" t="s">
        <v>4095</v>
      </c>
      <c r="P92" s="26" t="str">
        <f t="shared" si="25"/>
        <v>กลุ่มงานทันตกรรม</v>
      </c>
      <c r="Q92" s="26" t="s">
        <v>4095</v>
      </c>
      <c r="R92" s="26" t="str">
        <f t="shared" si="24"/>
        <v>ภารกิจด้านบริการทุติยภูมิและตติยภูมิ</v>
      </c>
      <c r="S92" s="26" t="str">
        <f t="shared" si="16"/>
        <v>กลุ่มงานทันตกรรม</v>
      </c>
      <c r="T92" s="26" t="s">
        <v>4095</v>
      </c>
      <c r="U92" s="26" t="s">
        <v>1302</v>
      </c>
      <c r="V92" s="25">
        <v>14.0</v>
      </c>
      <c r="W92" s="26" t="s">
        <v>4054</v>
      </c>
      <c r="X92" s="25" t="s">
        <v>3978</v>
      </c>
      <c r="Y92" s="31">
        <v>12.0</v>
      </c>
      <c r="Z92" s="31">
        <v>18.0</v>
      </c>
      <c r="AA92" s="31">
        <v>199.0</v>
      </c>
      <c r="AB92" s="31">
        <v>12.0</v>
      </c>
      <c r="AC92" s="32">
        <v>1.0</v>
      </c>
      <c r="AD92" s="26"/>
      <c r="AE92" s="26"/>
      <c r="AF92" s="32">
        <v>3.0</v>
      </c>
      <c r="AG92" s="37">
        <v>1.909800826947E12</v>
      </c>
      <c r="AH92" s="37" t="s">
        <v>499</v>
      </c>
      <c r="AI92" s="44">
        <v>232879.0</v>
      </c>
    </row>
    <row r="93" ht="38.25" hidden="1" customHeight="1">
      <c r="A93" s="32">
        <v>92.0</v>
      </c>
      <c r="B93" s="26" t="s">
        <v>1037</v>
      </c>
      <c r="C93" s="26" t="s">
        <v>4237</v>
      </c>
      <c r="D93" s="26" t="s">
        <v>4238</v>
      </c>
      <c r="E93" s="26" t="s">
        <v>4219</v>
      </c>
      <c r="F93" s="26" t="s">
        <v>4219</v>
      </c>
      <c r="G93" s="27" t="s">
        <v>4226</v>
      </c>
      <c r="H93" s="27" t="s">
        <v>4221</v>
      </c>
      <c r="I93" s="29">
        <v>170463.0</v>
      </c>
      <c r="J93" s="29" t="s">
        <v>1125</v>
      </c>
      <c r="K93" s="27" t="s">
        <v>1137</v>
      </c>
      <c r="L93" s="25">
        <v>1.0</v>
      </c>
      <c r="M93" s="27" t="s">
        <v>1137</v>
      </c>
      <c r="N93" s="30" t="s">
        <v>1174</v>
      </c>
      <c r="O93" s="26" t="s">
        <v>4095</v>
      </c>
      <c r="P93" s="26" t="str">
        <f t="shared" si="25"/>
        <v>กลุ่มงานทันตกรรม</v>
      </c>
      <c r="Q93" s="26" t="s">
        <v>4095</v>
      </c>
      <c r="R93" s="26" t="str">
        <f t="shared" si="24"/>
        <v>ภารกิจด้านบริการทุติยภูมิและตติยภูมิ</v>
      </c>
      <c r="S93" s="26" t="str">
        <f t="shared" si="16"/>
        <v>กลุ่มงานทันตกรรม</v>
      </c>
      <c r="T93" s="26" t="s">
        <v>4095</v>
      </c>
      <c r="U93" s="26" t="s">
        <v>1302</v>
      </c>
      <c r="V93" s="25">
        <v>14.0</v>
      </c>
      <c r="W93" s="26" t="s">
        <v>4054</v>
      </c>
      <c r="X93" s="25" t="s">
        <v>3978</v>
      </c>
      <c r="Y93" s="31">
        <v>12.0</v>
      </c>
      <c r="Z93" s="31">
        <v>18.0</v>
      </c>
      <c r="AA93" s="31">
        <v>199.0</v>
      </c>
      <c r="AB93" s="31">
        <v>12.0</v>
      </c>
      <c r="AC93" s="32">
        <v>1.0</v>
      </c>
      <c r="AD93" s="26"/>
      <c r="AE93" s="26"/>
      <c r="AF93" s="32">
        <v>3.0</v>
      </c>
      <c r="AG93" s="33">
        <v>1.509900374774E12</v>
      </c>
      <c r="AH93" s="33" t="s">
        <v>1931</v>
      </c>
      <c r="AI93" s="34" t="s">
        <v>4239</v>
      </c>
    </row>
    <row r="94" ht="38.25" hidden="1" customHeight="1">
      <c r="A94" s="25">
        <v>93.0</v>
      </c>
      <c r="B94" s="26" t="s">
        <v>1037</v>
      </c>
      <c r="C94" s="26" t="s">
        <v>4240</v>
      </c>
      <c r="D94" s="26" t="s">
        <v>4241</v>
      </c>
      <c r="E94" s="26" t="s">
        <v>4219</v>
      </c>
      <c r="F94" s="26" t="s">
        <v>4219</v>
      </c>
      <c r="G94" s="27" t="s">
        <v>4226</v>
      </c>
      <c r="H94" s="27" t="s">
        <v>4221</v>
      </c>
      <c r="I94" s="29">
        <v>165946.0</v>
      </c>
      <c r="J94" s="29" t="s">
        <v>1125</v>
      </c>
      <c r="K94" s="27" t="s">
        <v>1137</v>
      </c>
      <c r="L94" s="25">
        <v>1.0</v>
      </c>
      <c r="M94" s="27" t="s">
        <v>1137</v>
      </c>
      <c r="N94" s="30" t="s">
        <v>1174</v>
      </c>
      <c r="O94" s="26" t="s">
        <v>4095</v>
      </c>
      <c r="P94" s="26" t="str">
        <f t="shared" si="25"/>
        <v>กลุ่มงานทันตกรรม</v>
      </c>
      <c r="Q94" s="26" t="s">
        <v>4095</v>
      </c>
      <c r="R94" s="26" t="str">
        <f t="shared" si="24"/>
        <v>ภารกิจด้านบริการทุติยภูมิและตติยภูมิ</v>
      </c>
      <c r="S94" s="26" t="str">
        <f t="shared" si="16"/>
        <v>กลุ่มงานทันตกรรม</v>
      </c>
      <c r="T94" s="26" t="s">
        <v>4095</v>
      </c>
      <c r="U94" s="26" t="s">
        <v>1302</v>
      </c>
      <c r="V94" s="25">
        <v>14.0</v>
      </c>
      <c r="W94" s="26" t="s">
        <v>4054</v>
      </c>
      <c r="X94" s="25" t="s">
        <v>3978</v>
      </c>
      <c r="Y94" s="31">
        <v>12.0</v>
      </c>
      <c r="Z94" s="31">
        <v>18.0</v>
      </c>
      <c r="AA94" s="31">
        <v>199.0</v>
      </c>
      <c r="AB94" s="31">
        <v>12.0</v>
      </c>
      <c r="AC94" s="32">
        <v>1.0</v>
      </c>
      <c r="AD94" s="26"/>
      <c r="AE94" s="26"/>
      <c r="AF94" s="32">
        <v>3.0</v>
      </c>
      <c r="AG94" s="37">
        <v>3.102200844429E12</v>
      </c>
      <c r="AH94" s="61"/>
      <c r="AI94" s="44">
        <v>228461.0</v>
      </c>
    </row>
    <row r="95" ht="38.25" hidden="1" customHeight="1">
      <c r="A95" s="32">
        <v>94.0</v>
      </c>
      <c r="B95" s="26" t="s">
        <v>806</v>
      </c>
      <c r="C95" s="26" t="s">
        <v>4242</v>
      </c>
      <c r="D95" s="26" t="s">
        <v>4243</v>
      </c>
      <c r="E95" s="26" t="s">
        <v>4219</v>
      </c>
      <c r="F95" s="26" t="s">
        <v>4219</v>
      </c>
      <c r="G95" s="27" t="s">
        <v>4226</v>
      </c>
      <c r="H95" s="27" t="s">
        <v>4221</v>
      </c>
      <c r="I95" s="29">
        <v>165192.0</v>
      </c>
      <c r="J95" s="29" t="s">
        <v>1125</v>
      </c>
      <c r="K95" s="27" t="s">
        <v>1137</v>
      </c>
      <c r="L95" s="25">
        <v>1.0</v>
      </c>
      <c r="M95" s="27" t="s">
        <v>1137</v>
      </c>
      <c r="N95" s="30" t="s">
        <v>1174</v>
      </c>
      <c r="O95" s="26" t="s">
        <v>4095</v>
      </c>
      <c r="P95" s="26" t="str">
        <f t="shared" si="25"/>
        <v>กลุ่มงานทันตกรรม</v>
      </c>
      <c r="Q95" s="26" t="s">
        <v>4095</v>
      </c>
      <c r="R95" s="26" t="str">
        <f t="shared" si="24"/>
        <v>ภารกิจด้านบริการทุติยภูมิและตติยภูมิ</v>
      </c>
      <c r="S95" s="26" t="str">
        <f t="shared" si="16"/>
        <v>กลุ่มงานทันตกรรม</v>
      </c>
      <c r="T95" s="26" t="s">
        <v>4095</v>
      </c>
      <c r="U95" s="26" t="s">
        <v>1302</v>
      </c>
      <c r="V95" s="25">
        <v>14.0</v>
      </c>
      <c r="W95" s="26" t="s">
        <v>4054</v>
      </c>
      <c r="X95" s="25" t="s">
        <v>3978</v>
      </c>
      <c r="Y95" s="31">
        <v>12.0</v>
      </c>
      <c r="Z95" s="31">
        <v>18.0</v>
      </c>
      <c r="AA95" s="31">
        <v>199.0</v>
      </c>
      <c r="AB95" s="31">
        <v>12.0</v>
      </c>
      <c r="AC95" s="32">
        <v>1.0</v>
      </c>
      <c r="AD95" s="26"/>
      <c r="AE95" s="26"/>
      <c r="AF95" s="32">
        <v>3.0</v>
      </c>
      <c r="AG95" s="33">
        <v>1.100800117929E12</v>
      </c>
      <c r="AH95" s="33" t="s">
        <v>1167</v>
      </c>
      <c r="AI95" s="34" t="s">
        <v>4244</v>
      </c>
    </row>
    <row r="96" ht="38.25" hidden="1" customHeight="1">
      <c r="A96" s="25">
        <v>95.0</v>
      </c>
      <c r="B96" s="26" t="s">
        <v>2692</v>
      </c>
      <c r="C96" s="26" t="s">
        <v>4245</v>
      </c>
      <c r="D96" s="26" t="s">
        <v>4246</v>
      </c>
      <c r="E96" s="26" t="s">
        <v>4247</v>
      </c>
      <c r="F96" s="26" t="s">
        <v>4248</v>
      </c>
      <c r="G96" s="27" t="s">
        <v>4249</v>
      </c>
      <c r="H96" s="27" t="s">
        <v>1110</v>
      </c>
      <c r="I96" s="29">
        <v>10769.0</v>
      </c>
      <c r="J96" s="29" t="s">
        <v>1125</v>
      </c>
      <c r="K96" s="27" t="s">
        <v>1137</v>
      </c>
      <c r="L96" s="25">
        <v>1.0</v>
      </c>
      <c r="M96" s="27" t="s">
        <v>1137</v>
      </c>
      <c r="N96" s="30" t="s">
        <v>1174</v>
      </c>
      <c r="O96" s="26" t="str">
        <f t="shared" ref="O96:O111" si="26">+T96</f>
        <v>กลุ่มงานเวชกรรมฟื้นฟู</v>
      </c>
      <c r="P96" s="26" t="s">
        <v>4199</v>
      </c>
      <c r="Q96" s="26" t="str">
        <f t="shared" ref="Q96:Q112" si="27">+T96</f>
        <v>กลุ่มงานเวชกรรมฟื้นฟู</v>
      </c>
      <c r="R96" s="26" t="str">
        <f t="shared" si="24"/>
        <v>ภารกิจด้านบริการทุติยภูมิและตติยภูมิ</v>
      </c>
      <c r="S96" s="26" t="str">
        <f t="shared" si="16"/>
        <v>กลุ่มงานเวชกรรมฟื้นฟู</v>
      </c>
      <c r="T96" s="26" t="s">
        <v>4200</v>
      </c>
      <c r="U96" s="26" t="s">
        <v>1302</v>
      </c>
      <c r="V96" s="25">
        <v>17.0</v>
      </c>
      <c r="W96" s="26" t="s">
        <v>4054</v>
      </c>
      <c r="X96" s="25" t="s">
        <v>3978</v>
      </c>
      <c r="Y96" s="31">
        <v>13.0</v>
      </c>
      <c r="Z96" s="31">
        <v>23.0</v>
      </c>
      <c r="AA96" s="31">
        <v>199.0</v>
      </c>
      <c r="AB96" s="31">
        <v>13.0</v>
      </c>
      <c r="AC96" s="32">
        <v>1.0</v>
      </c>
      <c r="AD96" s="26"/>
      <c r="AE96" s="26"/>
      <c r="AF96" s="32">
        <v>11.0</v>
      </c>
      <c r="AG96" s="37">
        <v>1.100100052123E12</v>
      </c>
      <c r="AH96" s="37" t="s">
        <v>3430</v>
      </c>
      <c r="AI96" s="38" t="s">
        <v>4250</v>
      </c>
    </row>
    <row r="97" ht="38.25" hidden="1" customHeight="1">
      <c r="A97" s="32">
        <v>96.0</v>
      </c>
      <c r="B97" s="26" t="s">
        <v>1037</v>
      </c>
      <c r="C97" s="26" t="s">
        <v>4251</v>
      </c>
      <c r="D97" s="26" t="s">
        <v>4252</v>
      </c>
      <c r="E97" s="26" t="s">
        <v>4247</v>
      </c>
      <c r="F97" s="26" t="s">
        <v>4248</v>
      </c>
      <c r="G97" s="27" t="s">
        <v>4220</v>
      </c>
      <c r="H97" s="27" t="s">
        <v>4253</v>
      </c>
      <c r="I97" s="29">
        <v>178263.0</v>
      </c>
      <c r="J97" s="29" t="s">
        <v>1125</v>
      </c>
      <c r="K97" s="27" t="s">
        <v>1137</v>
      </c>
      <c r="L97" s="25">
        <v>1.0</v>
      </c>
      <c r="M97" s="27" t="s">
        <v>1137</v>
      </c>
      <c r="N97" s="30" t="s">
        <v>1174</v>
      </c>
      <c r="O97" s="26" t="str">
        <f t="shared" si="26"/>
        <v>กลุ่มงานเวชกรรมฟื้นฟู</v>
      </c>
      <c r="P97" s="26" t="s">
        <v>4199</v>
      </c>
      <c r="Q97" s="26" t="str">
        <f t="shared" si="27"/>
        <v>กลุ่มงานเวชกรรมฟื้นฟู</v>
      </c>
      <c r="R97" s="26" t="str">
        <f t="shared" si="24"/>
        <v>ภารกิจด้านบริการทุติยภูมิและตติยภูมิ</v>
      </c>
      <c r="S97" s="26" t="str">
        <f t="shared" si="16"/>
        <v>กลุ่มงานเวชกรรมฟื้นฟู</v>
      </c>
      <c r="T97" s="26" t="s">
        <v>4200</v>
      </c>
      <c r="U97" s="26" t="s">
        <v>1302</v>
      </c>
      <c r="V97" s="25">
        <v>17.0</v>
      </c>
      <c r="W97" s="26" t="s">
        <v>4054</v>
      </c>
      <c r="X97" s="25" t="s">
        <v>3978</v>
      </c>
      <c r="Y97" s="31">
        <v>13.0</v>
      </c>
      <c r="Z97" s="31">
        <v>23.0</v>
      </c>
      <c r="AA97" s="31">
        <v>199.0</v>
      </c>
      <c r="AB97" s="31">
        <v>13.0</v>
      </c>
      <c r="AC97" s="32">
        <v>1.0</v>
      </c>
      <c r="AD97" s="26"/>
      <c r="AE97" s="26"/>
      <c r="AF97" s="32">
        <v>11.0</v>
      </c>
      <c r="AG97" s="33">
        <v>5.501490008299E12</v>
      </c>
      <c r="AH97" s="33" t="s">
        <v>3459</v>
      </c>
      <c r="AI97" s="34" t="s">
        <v>4254</v>
      </c>
    </row>
    <row r="98" ht="38.25" hidden="1" customHeight="1">
      <c r="A98" s="25">
        <v>97.0</v>
      </c>
      <c r="B98" s="26" t="s">
        <v>2692</v>
      </c>
      <c r="C98" s="26" t="s">
        <v>4255</v>
      </c>
      <c r="D98" s="26" t="s">
        <v>4256</v>
      </c>
      <c r="E98" s="26" t="s">
        <v>4247</v>
      </c>
      <c r="F98" s="26" t="s">
        <v>4248</v>
      </c>
      <c r="G98" s="27" t="s">
        <v>4220</v>
      </c>
      <c r="H98" s="27" t="s">
        <v>4253</v>
      </c>
      <c r="I98" s="29">
        <v>178264.0</v>
      </c>
      <c r="J98" s="29" t="s">
        <v>1125</v>
      </c>
      <c r="K98" s="27" t="s">
        <v>1137</v>
      </c>
      <c r="L98" s="25">
        <v>1.0</v>
      </c>
      <c r="M98" s="27" t="s">
        <v>1137</v>
      </c>
      <c r="N98" s="30" t="s">
        <v>1174</v>
      </c>
      <c r="O98" s="26" t="str">
        <f t="shared" si="26"/>
        <v>กลุ่มงานเวชกรรมฟื้นฟู</v>
      </c>
      <c r="P98" s="26" t="s">
        <v>4199</v>
      </c>
      <c r="Q98" s="26" t="str">
        <f t="shared" si="27"/>
        <v>กลุ่มงานเวชกรรมฟื้นฟู</v>
      </c>
      <c r="R98" s="26" t="str">
        <f t="shared" si="24"/>
        <v>ภารกิจด้านบริการทุติยภูมิและตติยภูมิ</v>
      </c>
      <c r="S98" s="26" t="str">
        <f t="shared" si="16"/>
        <v>กลุ่มงานเวชกรรมฟื้นฟู</v>
      </c>
      <c r="T98" s="26" t="s">
        <v>4200</v>
      </c>
      <c r="U98" s="26" t="s">
        <v>1302</v>
      </c>
      <c r="V98" s="25">
        <v>17.0</v>
      </c>
      <c r="W98" s="26" t="s">
        <v>4054</v>
      </c>
      <c r="X98" s="25" t="s">
        <v>3978</v>
      </c>
      <c r="Y98" s="31">
        <v>13.0</v>
      </c>
      <c r="Z98" s="31">
        <v>23.0</v>
      </c>
      <c r="AA98" s="31">
        <v>199.0</v>
      </c>
      <c r="AB98" s="31">
        <v>13.0</v>
      </c>
      <c r="AC98" s="32">
        <v>1.0</v>
      </c>
      <c r="AD98" s="26"/>
      <c r="AE98" s="26"/>
      <c r="AF98" s="32">
        <v>11.0</v>
      </c>
      <c r="AG98" s="37">
        <v>3.451000911706E12</v>
      </c>
      <c r="AH98" s="37" t="s">
        <v>3455</v>
      </c>
      <c r="AI98" s="38" t="s">
        <v>4257</v>
      </c>
    </row>
    <row r="99" ht="38.25" hidden="1" customHeight="1">
      <c r="A99" s="32">
        <v>98.0</v>
      </c>
      <c r="B99" s="26" t="s">
        <v>1037</v>
      </c>
      <c r="C99" s="26" t="s">
        <v>4258</v>
      </c>
      <c r="D99" s="26" t="s">
        <v>4259</v>
      </c>
      <c r="E99" s="26" t="s">
        <v>4247</v>
      </c>
      <c r="F99" s="26" t="s">
        <v>4248</v>
      </c>
      <c r="G99" s="27" t="s">
        <v>4249</v>
      </c>
      <c r="H99" s="27" t="s">
        <v>1110</v>
      </c>
      <c r="I99" s="29">
        <v>183724.0</v>
      </c>
      <c r="J99" s="29" t="s">
        <v>1125</v>
      </c>
      <c r="K99" s="27" t="s">
        <v>1137</v>
      </c>
      <c r="L99" s="25">
        <v>1.0</v>
      </c>
      <c r="M99" s="27" t="s">
        <v>1137</v>
      </c>
      <c r="N99" s="30" t="s">
        <v>1174</v>
      </c>
      <c r="O99" s="26" t="str">
        <f t="shared" si="26"/>
        <v>กลุ่มงานเวชกรรมฟื้นฟู</v>
      </c>
      <c r="P99" s="26" t="s">
        <v>4199</v>
      </c>
      <c r="Q99" s="26" t="str">
        <f t="shared" si="27"/>
        <v>กลุ่มงานเวชกรรมฟื้นฟู</v>
      </c>
      <c r="R99" s="26" t="str">
        <f t="shared" si="24"/>
        <v>ภารกิจด้านบริการทุติยภูมิและตติยภูมิ</v>
      </c>
      <c r="S99" s="26" t="str">
        <f t="shared" si="16"/>
        <v>กลุ่มงานเวชกรรมฟื้นฟู</v>
      </c>
      <c r="T99" s="26" t="s">
        <v>4200</v>
      </c>
      <c r="U99" s="26" t="s">
        <v>1302</v>
      </c>
      <c r="V99" s="25">
        <v>17.0</v>
      </c>
      <c r="W99" s="26" t="s">
        <v>4054</v>
      </c>
      <c r="X99" s="25" t="s">
        <v>3978</v>
      </c>
      <c r="Y99" s="31">
        <v>13.0</v>
      </c>
      <c r="Z99" s="31">
        <v>23.0</v>
      </c>
      <c r="AA99" s="31">
        <v>199.0</v>
      </c>
      <c r="AB99" s="31">
        <v>13.0</v>
      </c>
      <c r="AC99" s="32">
        <v>1.0</v>
      </c>
      <c r="AD99" s="26"/>
      <c r="AE99" s="26"/>
      <c r="AF99" s="32">
        <v>11.0</v>
      </c>
      <c r="AG99" s="33">
        <v>1.509900277477E12</v>
      </c>
      <c r="AH99" s="33" t="s">
        <v>3438</v>
      </c>
      <c r="AI99" s="34" t="s">
        <v>4260</v>
      </c>
    </row>
    <row r="100" ht="38.25" hidden="1" customHeight="1">
      <c r="A100" s="25">
        <v>99.0</v>
      </c>
      <c r="B100" s="26" t="s">
        <v>1037</v>
      </c>
      <c r="C100" s="26" t="s">
        <v>2996</v>
      </c>
      <c r="D100" s="26" t="s">
        <v>4261</v>
      </c>
      <c r="E100" s="26" t="s">
        <v>4247</v>
      </c>
      <c r="F100" s="26" t="s">
        <v>4248</v>
      </c>
      <c r="G100" s="27" t="s">
        <v>4249</v>
      </c>
      <c r="H100" s="27" t="s">
        <v>1110</v>
      </c>
      <c r="I100" s="29">
        <v>183746.0</v>
      </c>
      <c r="J100" s="29" t="s">
        <v>1125</v>
      </c>
      <c r="K100" s="27" t="s">
        <v>1137</v>
      </c>
      <c r="L100" s="25">
        <v>1.0</v>
      </c>
      <c r="M100" s="27" t="s">
        <v>1137</v>
      </c>
      <c r="N100" s="30" t="s">
        <v>1174</v>
      </c>
      <c r="O100" s="26" t="str">
        <f t="shared" si="26"/>
        <v>กลุ่มงานเวชกรรมฟื้นฟู</v>
      </c>
      <c r="P100" s="26" t="s">
        <v>4199</v>
      </c>
      <c r="Q100" s="26" t="str">
        <f t="shared" si="27"/>
        <v>กลุ่มงานเวชกรรมฟื้นฟู</v>
      </c>
      <c r="R100" s="26" t="str">
        <f t="shared" si="24"/>
        <v>ภารกิจด้านบริการทุติยภูมิและตติยภูมิ</v>
      </c>
      <c r="S100" s="26" t="str">
        <f t="shared" si="16"/>
        <v>กลุ่มงานเวชกรรมฟื้นฟู</v>
      </c>
      <c r="T100" s="26" t="s">
        <v>4200</v>
      </c>
      <c r="U100" s="26" t="s">
        <v>1302</v>
      </c>
      <c r="V100" s="25">
        <v>17.0</v>
      </c>
      <c r="W100" s="26" t="s">
        <v>4054</v>
      </c>
      <c r="X100" s="25" t="s">
        <v>3978</v>
      </c>
      <c r="Y100" s="31">
        <v>13.0</v>
      </c>
      <c r="Z100" s="31">
        <v>23.0</v>
      </c>
      <c r="AA100" s="31">
        <v>199.0</v>
      </c>
      <c r="AB100" s="31">
        <v>13.0</v>
      </c>
      <c r="AC100" s="32">
        <v>1.0</v>
      </c>
      <c r="AD100" s="26"/>
      <c r="AE100" s="26"/>
      <c r="AF100" s="32">
        <v>11.0</v>
      </c>
      <c r="AG100" s="37">
        <v>1.509900413281E12</v>
      </c>
      <c r="AH100" s="37" t="s">
        <v>3434</v>
      </c>
      <c r="AI100" s="44">
        <v>229780.0</v>
      </c>
    </row>
    <row r="101" ht="38.25" hidden="1" customHeight="1">
      <c r="A101" s="32">
        <v>100.0</v>
      </c>
      <c r="B101" s="26" t="s">
        <v>1037</v>
      </c>
      <c r="C101" s="26" t="s">
        <v>4262</v>
      </c>
      <c r="D101" s="26" t="s">
        <v>4263</v>
      </c>
      <c r="E101" s="26" t="s">
        <v>4247</v>
      </c>
      <c r="F101" s="26" t="s">
        <v>4248</v>
      </c>
      <c r="G101" s="27" t="s">
        <v>4220</v>
      </c>
      <c r="H101" s="27" t="s">
        <v>4253</v>
      </c>
      <c r="I101" s="29">
        <v>183754.0</v>
      </c>
      <c r="J101" s="29" t="s">
        <v>1125</v>
      </c>
      <c r="K101" s="27" t="s">
        <v>1137</v>
      </c>
      <c r="L101" s="25">
        <v>1.0</v>
      </c>
      <c r="M101" s="27" t="s">
        <v>1137</v>
      </c>
      <c r="N101" s="30" t="s">
        <v>1174</v>
      </c>
      <c r="O101" s="26" t="str">
        <f t="shared" si="26"/>
        <v>กลุ่มงานเวชกรรมฟื้นฟู</v>
      </c>
      <c r="P101" s="26" t="s">
        <v>4199</v>
      </c>
      <c r="Q101" s="26" t="str">
        <f t="shared" si="27"/>
        <v>กลุ่มงานเวชกรรมฟื้นฟู</v>
      </c>
      <c r="R101" s="26" t="str">
        <f t="shared" si="24"/>
        <v>ภารกิจด้านบริการทุติยภูมิและตติยภูมิ</v>
      </c>
      <c r="S101" s="26" t="str">
        <f t="shared" si="16"/>
        <v>กลุ่มงานเวชกรรมฟื้นฟู</v>
      </c>
      <c r="T101" s="26" t="s">
        <v>4200</v>
      </c>
      <c r="U101" s="26" t="s">
        <v>1302</v>
      </c>
      <c r="V101" s="25">
        <v>17.0</v>
      </c>
      <c r="W101" s="26" t="s">
        <v>4054</v>
      </c>
      <c r="X101" s="25" t="s">
        <v>3978</v>
      </c>
      <c r="Y101" s="31">
        <v>13.0</v>
      </c>
      <c r="Z101" s="31">
        <v>23.0</v>
      </c>
      <c r="AA101" s="31">
        <v>199.0</v>
      </c>
      <c r="AB101" s="31">
        <v>13.0</v>
      </c>
      <c r="AC101" s="32">
        <v>1.0</v>
      </c>
      <c r="AD101" s="26"/>
      <c r="AE101" s="26"/>
      <c r="AF101" s="32">
        <v>11.0</v>
      </c>
      <c r="AG101" s="33">
        <v>1.509900383072E12</v>
      </c>
      <c r="AH101" s="33" t="s">
        <v>3442</v>
      </c>
      <c r="AI101" s="40">
        <v>229836.0</v>
      </c>
    </row>
    <row r="102" ht="38.25" hidden="1" customHeight="1">
      <c r="A102" s="25">
        <v>101.0</v>
      </c>
      <c r="B102" s="26" t="s">
        <v>1037</v>
      </c>
      <c r="C102" s="26" t="s">
        <v>1234</v>
      </c>
      <c r="D102" s="26" t="s">
        <v>4264</v>
      </c>
      <c r="E102" s="26" t="s">
        <v>4247</v>
      </c>
      <c r="F102" s="26" t="s">
        <v>4248</v>
      </c>
      <c r="G102" s="27" t="s">
        <v>4249</v>
      </c>
      <c r="H102" s="27" t="s">
        <v>1110</v>
      </c>
      <c r="I102" s="29">
        <v>243167.0</v>
      </c>
      <c r="J102" s="29" t="s">
        <v>1125</v>
      </c>
      <c r="K102" s="27" t="s">
        <v>1137</v>
      </c>
      <c r="L102" s="25">
        <v>1.0</v>
      </c>
      <c r="M102" s="27" t="s">
        <v>1137</v>
      </c>
      <c r="N102" s="30" t="s">
        <v>1174</v>
      </c>
      <c r="O102" s="26" t="str">
        <f t="shared" si="26"/>
        <v>กลุ่มงานเวชกรรมฟื้นฟู</v>
      </c>
      <c r="P102" s="26" t="s">
        <v>4199</v>
      </c>
      <c r="Q102" s="26" t="str">
        <f t="shared" si="27"/>
        <v>กลุ่มงานเวชกรรมฟื้นฟู</v>
      </c>
      <c r="R102" s="26" t="str">
        <f t="shared" si="24"/>
        <v>ภารกิจด้านบริการทุติยภูมิและตติยภูมิ</v>
      </c>
      <c r="S102" s="26" t="str">
        <f t="shared" si="16"/>
        <v>กลุ่มงานเวชกรรมฟื้นฟู</v>
      </c>
      <c r="T102" s="26" t="s">
        <v>4200</v>
      </c>
      <c r="U102" s="26" t="s">
        <v>1302</v>
      </c>
      <c r="V102" s="25">
        <v>17.0</v>
      </c>
      <c r="W102" s="26" t="s">
        <v>4054</v>
      </c>
      <c r="X102" s="25" t="s">
        <v>3978</v>
      </c>
      <c r="Y102" s="31">
        <v>13.0</v>
      </c>
      <c r="Z102" s="31">
        <v>23.0</v>
      </c>
      <c r="AA102" s="31">
        <v>199.0</v>
      </c>
      <c r="AB102" s="31">
        <v>13.0</v>
      </c>
      <c r="AC102" s="32">
        <v>1.0</v>
      </c>
      <c r="AD102" s="26"/>
      <c r="AE102" s="26"/>
      <c r="AF102" s="32">
        <v>11.0</v>
      </c>
      <c r="AG102" s="37">
        <v>1.500700143525E12</v>
      </c>
      <c r="AH102" s="37" t="s">
        <v>3105</v>
      </c>
      <c r="AI102" s="38" t="s">
        <v>4265</v>
      </c>
    </row>
    <row r="103" ht="38.25" hidden="1" customHeight="1">
      <c r="A103" s="32">
        <v>102.0</v>
      </c>
      <c r="B103" s="26" t="s">
        <v>1037</v>
      </c>
      <c r="C103" s="26" t="s">
        <v>4266</v>
      </c>
      <c r="D103" s="26" t="s">
        <v>4267</v>
      </c>
      <c r="E103" s="26" t="s">
        <v>4247</v>
      </c>
      <c r="F103" s="26" t="s">
        <v>4248</v>
      </c>
      <c r="G103" s="27" t="s">
        <v>4249</v>
      </c>
      <c r="H103" s="27" t="s">
        <v>1110</v>
      </c>
      <c r="I103" s="29">
        <v>243168.0</v>
      </c>
      <c r="J103" s="29" t="s">
        <v>1125</v>
      </c>
      <c r="K103" s="27" t="s">
        <v>1137</v>
      </c>
      <c r="L103" s="25">
        <v>1.0</v>
      </c>
      <c r="M103" s="27" t="s">
        <v>1137</v>
      </c>
      <c r="N103" s="30" t="s">
        <v>1174</v>
      </c>
      <c r="O103" s="26" t="str">
        <f t="shared" si="26"/>
        <v>กลุ่มงานเวชกรรมฟื้นฟู</v>
      </c>
      <c r="P103" s="26" t="s">
        <v>4199</v>
      </c>
      <c r="Q103" s="26" t="str">
        <f t="shared" si="27"/>
        <v>กลุ่มงานเวชกรรมฟื้นฟู</v>
      </c>
      <c r="R103" s="26" t="str">
        <f t="shared" si="24"/>
        <v>ภารกิจด้านบริการทุติยภูมิและตติยภูมิ</v>
      </c>
      <c r="S103" s="26" t="str">
        <f t="shared" si="16"/>
        <v>กลุ่มงานเวชกรรมฟื้นฟู</v>
      </c>
      <c r="T103" s="26" t="s">
        <v>4200</v>
      </c>
      <c r="U103" s="26" t="s">
        <v>1302</v>
      </c>
      <c r="V103" s="25">
        <v>17.0</v>
      </c>
      <c r="W103" s="26" t="s">
        <v>4054</v>
      </c>
      <c r="X103" s="25" t="s">
        <v>3978</v>
      </c>
      <c r="Y103" s="31">
        <v>13.0</v>
      </c>
      <c r="Z103" s="31">
        <v>23.0</v>
      </c>
      <c r="AA103" s="31">
        <v>199.0</v>
      </c>
      <c r="AB103" s="31">
        <v>13.0</v>
      </c>
      <c r="AC103" s="32">
        <v>1.0</v>
      </c>
      <c r="AD103" s="26"/>
      <c r="AE103" s="26"/>
      <c r="AF103" s="32">
        <v>11.0</v>
      </c>
      <c r="AG103" s="33">
        <v>1.500700118911E12</v>
      </c>
      <c r="AH103" s="33" t="s">
        <v>3050</v>
      </c>
      <c r="AI103" s="34" t="s">
        <v>4268</v>
      </c>
    </row>
    <row r="104" ht="38.25" hidden="1" customHeight="1">
      <c r="A104" s="25">
        <v>103.0</v>
      </c>
      <c r="B104" s="26" t="s">
        <v>1037</v>
      </c>
      <c r="C104" s="26" t="s">
        <v>4269</v>
      </c>
      <c r="D104" s="26" t="s">
        <v>4270</v>
      </c>
      <c r="E104" s="26" t="s">
        <v>4247</v>
      </c>
      <c r="F104" s="26" t="s">
        <v>4248</v>
      </c>
      <c r="G104" s="27" t="s">
        <v>4249</v>
      </c>
      <c r="H104" s="27" t="s">
        <v>1110</v>
      </c>
      <c r="I104" s="29">
        <v>243169.0</v>
      </c>
      <c r="J104" s="29" t="s">
        <v>1125</v>
      </c>
      <c r="K104" s="27" t="s">
        <v>1137</v>
      </c>
      <c r="L104" s="25">
        <v>1.0</v>
      </c>
      <c r="M104" s="27" t="s">
        <v>1137</v>
      </c>
      <c r="N104" s="30" t="s">
        <v>1174</v>
      </c>
      <c r="O104" s="26" t="str">
        <f t="shared" si="26"/>
        <v>กลุ่มงานเวชกรรมฟื้นฟู</v>
      </c>
      <c r="P104" s="26" t="s">
        <v>4199</v>
      </c>
      <c r="Q104" s="26" t="str">
        <f t="shared" si="27"/>
        <v>กลุ่มงานเวชกรรมฟื้นฟู</v>
      </c>
      <c r="R104" s="26" t="str">
        <f t="shared" si="24"/>
        <v>ภารกิจด้านบริการทุติยภูมิและตติยภูมิ</v>
      </c>
      <c r="S104" s="26" t="str">
        <f t="shared" si="16"/>
        <v>กลุ่มงานเวชกรรมฟื้นฟู</v>
      </c>
      <c r="T104" s="26" t="s">
        <v>4200</v>
      </c>
      <c r="U104" s="26" t="s">
        <v>1302</v>
      </c>
      <c r="V104" s="25">
        <v>17.0</v>
      </c>
      <c r="W104" s="26" t="s">
        <v>4054</v>
      </c>
      <c r="X104" s="25" t="s">
        <v>3978</v>
      </c>
      <c r="Y104" s="31">
        <v>13.0</v>
      </c>
      <c r="Z104" s="31">
        <v>23.0</v>
      </c>
      <c r="AA104" s="31">
        <v>199.0</v>
      </c>
      <c r="AB104" s="31">
        <v>13.0</v>
      </c>
      <c r="AC104" s="32">
        <v>1.0</v>
      </c>
      <c r="AD104" s="26"/>
      <c r="AE104" s="26"/>
      <c r="AF104" s="32">
        <v>11.0</v>
      </c>
      <c r="AG104" s="37">
        <v>1.509901322573E12</v>
      </c>
      <c r="AH104" s="37" t="s">
        <v>2979</v>
      </c>
      <c r="AI104" s="38" t="s">
        <v>4271</v>
      </c>
    </row>
    <row r="105" ht="38.25" hidden="1" customHeight="1">
      <c r="A105" s="32">
        <v>104.0</v>
      </c>
      <c r="B105" s="26" t="s">
        <v>2692</v>
      </c>
      <c r="C105" s="26" t="s">
        <v>4272</v>
      </c>
      <c r="D105" s="26" t="s">
        <v>4273</v>
      </c>
      <c r="E105" s="26" t="s">
        <v>4247</v>
      </c>
      <c r="F105" s="26" t="s">
        <v>4248</v>
      </c>
      <c r="G105" s="27" t="s">
        <v>1110</v>
      </c>
      <c r="H105" s="27" t="s">
        <v>1110</v>
      </c>
      <c r="I105" s="28" t="s">
        <v>4274</v>
      </c>
      <c r="J105" s="29" t="s">
        <v>3949</v>
      </c>
      <c r="K105" s="27" t="s">
        <v>1137</v>
      </c>
      <c r="L105" s="25">
        <v>1.0</v>
      </c>
      <c r="M105" s="27" t="s">
        <v>1137</v>
      </c>
      <c r="N105" s="30" t="s">
        <v>1174</v>
      </c>
      <c r="O105" s="26" t="str">
        <f t="shared" si="26"/>
        <v>กลุ่มงานเวชกรรมฟื้นฟู</v>
      </c>
      <c r="P105" s="26" t="s">
        <v>4199</v>
      </c>
      <c r="Q105" s="26" t="str">
        <f t="shared" si="27"/>
        <v>กลุ่มงานเวชกรรมฟื้นฟู</v>
      </c>
      <c r="R105" s="26" t="str">
        <f t="shared" si="24"/>
        <v>ภารกิจด้านบริการทุติยภูมิและตติยภูมิ</v>
      </c>
      <c r="S105" s="26" t="str">
        <f t="shared" si="16"/>
        <v>กลุ่มงานเวชกรรมฟื้นฟู</v>
      </c>
      <c r="T105" s="26" t="s">
        <v>4200</v>
      </c>
      <c r="U105" s="26" t="s">
        <v>1302</v>
      </c>
      <c r="V105" s="25">
        <v>17.0</v>
      </c>
      <c r="W105" s="26" t="s">
        <v>4054</v>
      </c>
      <c r="X105" s="25" t="s">
        <v>3978</v>
      </c>
      <c r="Y105" s="31">
        <v>13.0</v>
      </c>
      <c r="Z105" s="31">
        <v>23.0</v>
      </c>
      <c r="AA105" s="31">
        <v>199.0</v>
      </c>
      <c r="AB105" s="31">
        <v>13.0</v>
      </c>
      <c r="AC105" s="32">
        <v>1.0</v>
      </c>
      <c r="AD105" s="26"/>
      <c r="AE105" s="26"/>
      <c r="AF105" s="32">
        <v>11.0</v>
      </c>
      <c r="AG105" s="33">
        <v>1.509966062355E12</v>
      </c>
      <c r="AH105" s="33" t="s">
        <v>445</v>
      </c>
      <c r="AI105" s="34" t="s">
        <v>4275</v>
      </c>
    </row>
    <row r="106" ht="38.25" hidden="1" customHeight="1">
      <c r="A106" s="25">
        <v>105.0</v>
      </c>
      <c r="B106" s="82" t="s">
        <v>1037</v>
      </c>
      <c r="C106" s="82" t="s">
        <v>4276</v>
      </c>
      <c r="D106" s="82" t="s">
        <v>4277</v>
      </c>
      <c r="E106" s="82" t="s">
        <v>4247</v>
      </c>
      <c r="F106" s="82" t="s">
        <v>4248</v>
      </c>
      <c r="G106" s="83" t="s">
        <v>4220</v>
      </c>
      <c r="H106" s="83" t="s">
        <v>4253</v>
      </c>
      <c r="I106" s="84">
        <v>184332.0</v>
      </c>
      <c r="J106" s="84" t="s">
        <v>1125</v>
      </c>
      <c r="K106" s="83" t="s">
        <v>1137</v>
      </c>
      <c r="L106" s="85">
        <v>1.0</v>
      </c>
      <c r="M106" s="27" t="s">
        <v>1137</v>
      </c>
      <c r="N106" s="85" t="s">
        <v>1174</v>
      </c>
      <c r="O106" s="82" t="str">
        <f t="shared" si="26"/>
        <v>กลุ่มงานเวชกรรมฟื้นฟู</v>
      </c>
      <c r="P106" s="82" t="s">
        <v>4199</v>
      </c>
      <c r="Q106" s="82" t="str">
        <f t="shared" si="27"/>
        <v>กลุ่มงานเวชกรรมฟื้นฟู</v>
      </c>
      <c r="R106" s="82" t="str">
        <f t="shared" si="24"/>
        <v>ภารกิจด้านบริการทุติยภูมิและตติยภูมิ</v>
      </c>
      <c r="S106" s="82" t="str">
        <f t="shared" si="16"/>
        <v>กลุ่มงานเวชกรรมฟื้นฟู</v>
      </c>
      <c r="T106" s="82" t="s">
        <v>4200</v>
      </c>
      <c r="U106" s="86" t="s">
        <v>4278</v>
      </c>
      <c r="V106" s="85">
        <v>17.0</v>
      </c>
      <c r="W106" s="82" t="s">
        <v>4054</v>
      </c>
      <c r="X106" s="85" t="s">
        <v>3978</v>
      </c>
      <c r="Y106" s="87">
        <v>13.0</v>
      </c>
      <c r="Z106" s="87">
        <v>23.0</v>
      </c>
      <c r="AA106" s="87">
        <v>199.0</v>
      </c>
      <c r="AB106" s="87">
        <v>13.0</v>
      </c>
      <c r="AC106" s="88">
        <v>3.0</v>
      </c>
      <c r="AD106" s="82"/>
      <c r="AE106" s="82"/>
      <c r="AF106" s="88">
        <v>11.0</v>
      </c>
      <c r="AG106" s="37">
        <v>1.509900435463E12</v>
      </c>
      <c r="AH106" s="37" t="s">
        <v>1221</v>
      </c>
      <c r="AI106" s="44">
        <v>229841.0</v>
      </c>
    </row>
    <row r="107" ht="38.25" hidden="1" customHeight="1">
      <c r="A107" s="32">
        <v>106.0</v>
      </c>
      <c r="B107" s="26" t="s">
        <v>1037</v>
      </c>
      <c r="C107" s="26" t="s">
        <v>4279</v>
      </c>
      <c r="D107" s="26" t="s">
        <v>4280</v>
      </c>
      <c r="E107" s="26" t="s">
        <v>4281</v>
      </c>
      <c r="F107" s="26" t="s">
        <v>4248</v>
      </c>
      <c r="G107" s="27" t="s">
        <v>1110</v>
      </c>
      <c r="H107" s="27" t="s">
        <v>1110</v>
      </c>
      <c r="I107" s="29" t="s">
        <v>4282</v>
      </c>
      <c r="J107" s="29" t="s">
        <v>3963</v>
      </c>
      <c r="K107" s="27" t="s">
        <v>1137</v>
      </c>
      <c r="L107" s="25">
        <v>1.0</v>
      </c>
      <c r="M107" s="27" t="s">
        <v>1137</v>
      </c>
      <c r="N107" s="30" t="s">
        <v>1174</v>
      </c>
      <c r="O107" s="26" t="str">
        <f t="shared" si="26"/>
        <v>กลุ่มงานเวชกรรมฟื้นฟู</v>
      </c>
      <c r="P107" s="26" t="s">
        <v>4199</v>
      </c>
      <c r="Q107" s="26" t="str">
        <f t="shared" si="27"/>
        <v>กลุ่มงานเวชกรรมฟื้นฟู</v>
      </c>
      <c r="R107" s="26" t="str">
        <f t="shared" si="24"/>
        <v>ภารกิจด้านบริการทุติยภูมิและตติยภูมิ</v>
      </c>
      <c r="S107" s="26" t="str">
        <f t="shared" si="16"/>
        <v>กลุ่มงานเวชกรรมฟื้นฟู</v>
      </c>
      <c r="T107" s="26" t="s">
        <v>4200</v>
      </c>
      <c r="U107" s="26" t="s">
        <v>1302</v>
      </c>
      <c r="V107" s="25">
        <v>17.0</v>
      </c>
      <c r="W107" s="26" t="s">
        <v>4054</v>
      </c>
      <c r="X107" s="25" t="s">
        <v>3978</v>
      </c>
      <c r="Y107" s="31">
        <v>5.0</v>
      </c>
      <c r="Z107" s="31">
        <v>23.0</v>
      </c>
      <c r="AA107" s="31">
        <v>199.0</v>
      </c>
      <c r="AB107" s="31">
        <v>13.0</v>
      </c>
      <c r="AC107" s="32">
        <v>1.0</v>
      </c>
      <c r="AD107" s="26"/>
      <c r="AE107" s="26"/>
      <c r="AF107" s="32">
        <v>11.0</v>
      </c>
      <c r="AG107" s="33">
        <v>1.509963050194E12</v>
      </c>
      <c r="AH107" s="33" t="s">
        <v>1611</v>
      </c>
      <c r="AI107" s="34" t="s">
        <v>4283</v>
      </c>
    </row>
    <row r="108" ht="38.25" hidden="1" customHeight="1">
      <c r="A108" s="25">
        <v>107.0</v>
      </c>
      <c r="B108" s="26" t="s">
        <v>2692</v>
      </c>
      <c r="C108" s="26" t="s">
        <v>4284</v>
      </c>
      <c r="D108" s="26" t="s">
        <v>4285</v>
      </c>
      <c r="E108" s="26" t="s">
        <v>4281</v>
      </c>
      <c r="F108" s="26" t="s">
        <v>4248</v>
      </c>
      <c r="G108" s="27" t="s">
        <v>1110</v>
      </c>
      <c r="H108" s="27" t="s">
        <v>1110</v>
      </c>
      <c r="I108" s="29" t="s">
        <v>4286</v>
      </c>
      <c r="J108" s="29" t="s">
        <v>3963</v>
      </c>
      <c r="K108" s="27" t="s">
        <v>1137</v>
      </c>
      <c r="L108" s="25">
        <v>1.0</v>
      </c>
      <c r="M108" s="27" t="s">
        <v>1137</v>
      </c>
      <c r="N108" s="30" t="s">
        <v>1174</v>
      </c>
      <c r="O108" s="26" t="str">
        <f t="shared" si="26"/>
        <v>กลุ่มงานเวชกรรมฟื้นฟู</v>
      </c>
      <c r="P108" s="26" t="s">
        <v>4199</v>
      </c>
      <c r="Q108" s="26" t="str">
        <f t="shared" si="27"/>
        <v>กลุ่มงานเวชกรรมฟื้นฟู</v>
      </c>
      <c r="R108" s="26" t="str">
        <f t="shared" si="24"/>
        <v>ภารกิจด้านบริการทุติยภูมิและตติยภูมิ</v>
      </c>
      <c r="S108" s="26" t="str">
        <f t="shared" si="16"/>
        <v>กลุ่มงานเวชกรรมฟื้นฟู</v>
      </c>
      <c r="T108" s="26" t="s">
        <v>4200</v>
      </c>
      <c r="U108" s="26" t="s">
        <v>1302</v>
      </c>
      <c r="V108" s="25">
        <v>17.0</v>
      </c>
      <c r="W108" s="26" t="s">
        <v>4054</v>
      </c>
      <c r="X108" s="25" t="s">
        <v>3978</v>
      </c>
      <c r="Y108" s="31">
        <v>5.0</v>
      </c>
      <c r="Z108" s="31">
        <v>23.0</v>
      </c>
      <c r="AA108" s="31">
        <v>199.0</v>
      </c>
      <c r="AB108" s="31">
        <v>13.0</v>
      </c>
      <c r="AC108" s="32">
        <v>1.0</v>
      </c>
      <c r="AD108" s="26"/>
      <c r="AE108" s="26"/>
      <c r="AF108" s="32">
        <v>11.0</v>
      </c>
      <c r="AG108" s="37">
        <v>1.509966041285E12</v>
      </c>
      <c r="AH108" s="37" t="s">
        <v>1807</v>
      </c>
      <c r="AI108" s="38" t="s">
        <v>4287</v>
      </c>
    </row>
    <row r="109" ht="38.25" hidden="1" customHeight="1">
      <c r="A109" s="32">
        <v>108.0</v>
      </c>
      <c r="B109" s="26" t="s">
        <v>806</v>
      </c>
      <c r="C109" s="26" t="s">
        <v>4288</v>
      </c>
      <c r="D109" s="26" t="s">
        <v>4289</v>
      </c>
      <c r="E109" s="26" t="s">
        <v>4281</v>
      </c>
      <c r="F109" s="26" t="s">
        <v>4248</v>
      </c>
      <c r="G109" s="27" t="s">
        <v>4220</v>
      </c>
      <c r="H109" s="27" t="s">
        <v>4253</v>
      </c>
      <c r="I109" s="29">
        <v>174065.0</v>
      </c>
      <c r="J109" s="29" t="s">
        <v>1125</v>
      </c>
      <c r="K109" s="27" t="s">
        <v>1137</v>
      </c>
      <c r="L109" s="25">
        <v>1.0</v>
      </c>
      <c r="M109" s="27" t="s">
        <v>1137</v>
      </c>
      <c r="N109" s="30" t="s">
        <v>1174</v>
      </c>
      <c r="O109" s="26" t="str">
        <f t="shared" si="26"/>
        <v>กลุ่มงานเวชกรรมฟื้นฟู</v>
      </c>
      <c r="P109" s="26" t="s">
        <v>4199</v>
      </c>
      <c r="Q109" s="26" t="str">
        <f t="shared" si="27"/>
        <v>กลุ่มงานเวชกรรมฟื้นฟู</v>
      </c>
      <c r="R109" s="26" t="str">
        <f t="shared" si="24"/>
        <v>ภารกิจด้านบริการทุติยภูมิและตติยภูมิ</v>
      </c>
      <c r="S109" s="26" t="str">
        <f t="shared" si="16"/>
        <v>กลุ่มงานเวชกรรมฟื้นฟู</v>
      </c>
      <c r="T109" s="26" t="s">
        <v>4200</v>
      </c>
      <c r="U109" s="26" t="s">
        <v>1302</v>
      </c>
      <c r="V109" s="25">
        <v>17.0</v>
      </c>
      <c r="W109" s="26" t="s">
        <v>4054</v>
      </c>
      <c r="X109" s="25" t="s">
        <v>3978</v>
      </c>
      <c r="Y109" s="31">
        <v>5.0</v>
      </c>
      <c r="Z109" s="31">
        <v>23.0</v>
      </c>
      <c r="AA109" s="31">
        <v>199.0</v>
      </c>
      <c r="AB109" s="31">
        <v>13.0</v>
      </c>
      <c r="AC109" s="32">
        <v>1.0</v>
      </c>
      <c r="AD109" s="26"/>
      <c r="AE109" s="26"/>
      <c r="AF109" s="32">
        <v>11.0</v>
      </c>
      <c r="AG109" s="33">
        <v>3.500700159771E12</v>
      </c>
      <c r="AH109" s="33" t="s">
        <v>3451</v>
      </c>
      <c r="AI109" s="40">
        <v>228800.0</v>
      </c>
    </row>
    <row r="110" ht="38.25" hidden="1" customHeight="1">
      <c r="A110" s="25">
        <v>109.0</v>
      </c>
      <c r="B110" s="26" t="s">
        <v>2692</v>
      </c>
      <c r="C110" s="26" t="s">
        <v>4290</v>
      </c>
      <c r="D110" s="26" t="s">
        <v>4291</v>
      </c>
      <c r="E110" s="26" t="s">
        <v>4281</v>
      </c>
      <c r="F110" s="26" t="s">
        <v>4248</v>
      </c>
      <c r="G110" s="27" t="s">
        <v>4220</v>
      </c>
      <c r="H110" s="27" t="s">
        <v>4253</v>
      </c>
      <c r="I110" s="29">
        <v>183755.0</v>
      </c>
      <c r="J110" s="29" t="s">
        <v>1125</v>
      </c>
      <c r="K110" s="27" t="s">
        <v>1137</v>
      </c>
      <c r="L110" s="25">
        <v>1.0</v>
      </c>
      <c r="M110" s="27" t="s">
        <v>1137</v>
      </c>
      <c r="N110" s="30" t="s">
        <v>1174</v>
      </c>
      <c r="O110" s="26" t="str">
        <f t="shared" si="26"/>
        <v>กลุ่มงานเวชกรรมฟื้นฟู</v>
      </c>
      <c r="P110" s="26" t="s">
        <v>4199</v>
      </c>
      <c r="Q110" s="26" t="str">
        <f t="shared" si="27"/>
        <v>กลุ่มงานเวชกรรมฟื้นฟู</v>
      </c>
      <c r="R110" s="26" t="str">
        <f t="shared" si="24"/>
        <v>ภารกิจด้านบริการทุติยภูมิและตติยภูมิ</v>
      </c>
      <c r="S110" s="26" t="str">
        <f t="shared" si="16"/>
        <v>กลุ่มงานเวชกรรมฟื้นฟู</v>
      </c>
      <c r="T110" s="26" t="s">
        <v>4200</v>
      </c>
      <c r="U110" s="26" t="s">
        <v>1302</v>
      </c>
      <c r="V110" s="25">
        <v>17.0</v>
      </c>
      <c r="W110" s="26" t="s">
        <v>4054</v>
      </c>
      <c r="X110" s="25" t="s">
        <v>3978</v>
      </c>
      <c r="Y110" s="31">
        <v>5.0</v>
      </c>
      <c r="Z110" s="31">
        <v>23.0</v>
      </c>
      <c r="AA110" s="31">
        <v>199.0</v>
      </c>
      <c r="AB110" s="31">
        <v>13.0</v>
      </c>
      <c r="AC110" s="32">
        <v>1.0</v>
      </c>
      <c r="AD110" s="26"/>
      <c r="AE110" s="26"/>
      <c r="AF110" s="32">
        <v>11.0</v>
      </c>
      <c r="AG110" s="37">
        <v>1.51060000289E12</v>
      </c>
      <c r="AH110" s="37" t="s">
        <v>3447</v>
      </c>
      <c r="AI110" s="38" t="s">
        <v>4292</v>
      </c>
    </row>
    <row r="111" ht="38.25" hidden="1" customHeight="1">
      <c r="A111" s="32">
        <v>110.0</v>
      </c>
      <c r="B111" s="26" t="s">
        <v>1037</v>
      </c>
      <c r="C111" s="26" t="s">
        <v>4293</v>
      </c>
      <c r="D111" s="26" t="s">
        <v>4294</v>
      </c>
      <c r="E111" s="26" t="s">
        <v>4281</v>
      </c>
      <c r="F111" s="26" t="s">
        <v>4248</v>
      </c>
      <c r="G111" s="27" t="s">
        <v>4249</v>
      </c>
      <c r="H111" s="27" t="s">
        <v>1110</v>
      </c>
      <c r="I111" s="29">
        <v>245121.0</v>
      </c>
      <c r="J111" s="29" t="s">
        <v>1125</v>
      </c>
      <c r="K111" s="27" t="s">
        <v>1137</v>
      </c>
      <c r="L111" s="25">
        <v>1.0</v>
      </c>
      <c r="M111" s="27" t="s">
        <v>1137</v>
      </c>
      <c r="N111" s="30" t="s">
        <v>1174</v>
      </c>
      <c r="O111" s="26" t="str">
        <f t="shared" si="26"/>
        <v>กลุ่มงานเวชกรรมฟื้นฟู</v>
      </c>
      <c r="P111" s="26" t="s">
        <v>4199</v>
      </c>
      <c r="Q111" s="26" t="str">
        <f t="shared" si="27"/>
        <v>กลุ่มงานเวชกรรมฟื้นฟู</v>
      </c>
      <c r="R111" s="26" t="str">
        <f t="shared" si="24"/>
        <v>ภารกิจด้านบริการทุติยภูมิและตติยภูมิ</v>
      </c>
      <c r="S111" s="26" t="str">
        <f t="shared" si="16"/>
        <v>กลุ่มงานเวชกรรมฟื้นฟู</v>
      </c>
      <c r="T111" s="26" t="s">
        <v>4200</v>
      </c>
      <c r="U111" s="26" t="s">
        <v>1302</v>
      </c>
      <c r="V111" s="25">
        <v>17.0</v>
      </c>
      <c r="W111" s="26" t="s">
        <v>4054</v>
      </c>
      <c r="X111" s="25" t="s">
        <v>3978</v>
      </c>
      <c r="Y111" s="31">
        <v>5.0</v>
      </c>
      <c r="Z111" s="31">
        <v>23.0</v>
      </c>
      <c r="AA111" s="31">
        <v>199.0</v>
      </c>
      <c r="AB111" s="31">
        <v>13.0</v>
      </c>
      <c r="AC111" s="32">
        <v>1.0</v>
      </c>
      <c r="AD111" s="26"/>
      <c r="AE111" s="26"/>
      <c r="AF111" s="32">
        <v>11.0</v>
      </c>
      <c r="AG111" s="33">
        <v>1.509900726646E12</v>
      </c>
      <c r="AH111" s="46"/>
      <c r="AI111" s="40">
        <v>230839.0</v>
      </c>
    </row>
    <row r="112" ht="38.25" hidden="1" customHeight="1">
      <c r="A112" s="25">
        <v>111.0</v>
      </c>
      <c r="B112" s="26" t="s">
        <v>2692</v>
      </c>
      <c r="C112" s="26" t="s">
        <v>4295</v>
      </c>
      <c r="D112" s="26" t="s">
        <v>4296</v>
      </c>
      <c r="E112" s="26" t="s">
        <v>4297</v>
      </c>
      <c r="F112" s="26" t="s">
        <v>4297</v>
      </c>
      <c r="G112" s="27" t="s">
        <v>4220</v>
      </c>
      <c r="H112" s="27" t="s">
        <v>1110</v>
      </c>
      <c r="I112" s="29">
        <v>107092.0</v>
      </c>
      <c r="J112" s="29" t="s">
        <v>1125</v>
      </c>
      <c r="K112" s="27" t="s">
        <v>1137</v>
      </c>
      <c r="L112" s="25">
        <v>3.0</v>
      </c>
      <c r="M112" s="27" t="s">
        <v>1137</v>
      </c>
      <c r="N112" s="30" t="s">
        <v>1174</v>
      </c>
      <c r="O112" s="26" t="s">
        <v>4298</v>
      </c>
      <c r="P112" s="26" t="s">
        <v>4298</v>
      </c>
      <c r="Q112" s="26" t="str">
        <f t="shared" si="27"/>
        <v>กลุ่มงานบริหารทั่วไป</v>
      </c>
      <c r="R112" s="26" t="str">
        <f t="shared" si="24"/>
        <v>ภารกิจด้านอำนวยการ</v>
      </c>
      <c r="S112" s="26" t="str">
        <f t="shared" si="16"/>
        <v>กลุ่มงานบริหารทั่วไป</v>
      </c>
      <c r="T112" s="26" t="s">
        <v>3992</v>
      </c>
      <c r="U112" s="26" t="s">
        <v>1302</v>
      </c>
      <c r="V112" s="25" t="s">
        <v>46</v>
      </c>
      <c r="W112" s="26" t="s">
        <v>1323</v>
      </c>
      <c r="X112" s="25" t="s">
        <v>46</v>
      </c>
      <c r="Y112" s="31">
        <v>4.0</v>
      </c>
      <c r="Z112" s="31">
        <v>15.0</v>
      </c>
      <c r="AA112" s="31">
        <v>85.0</v>
      </c>
      <c r="AB112" s="31">
        <v>4.0</v>
      </c>
      <c r="AC112" s="32">
        <v>1.0</v>
      </c>
      <c r="AD112" s="26"/>
      <c r="AE112" s="26"/>
      <c r="AF112" s="32">
        <v>30.0</v>
      </c>
      <c r="AG112" s="37">
        <v>3.96020012026E12</v>
      </c>
      <c r="AH112" s="37" t="s">
        <v>3391</v>
      </c>
      <c r="AI112" s="44">
        <v>223658.0</v>
      </c>
    </row>
    <row r="113" ht="38.25" hidden="1" customHeight="1">
      <c r="A113" s="32">
        <v>112.0</v>
      </c>
      <c r="B113" s="26" t="s">
        <v>1037</v>
      </c>
      <c r="C113" s="26" t="s">
        <v>4299</v>
      </c>
      <c r="D113" s="26" t="s">
        <v>4300</v>
      </c>
      <c r="E113" s="26" t="s">
        <v>4297</v>
      </c>
      <c r="F113" s="26" t="s">
        <v>4297</v>
      </c>
      <c r="G113" s="27" t="s">
        <v>1110</v>
      </c>
      <c r="H113" s="27" t="s">
        <v>1110</v>
      </c>
      <c r="I113" s="29">
        <v>7637.0</v>
      </c>
      <c r="J113" s="29" t="s">
        <v>4301</v>
      </c>
      <c r="K113" s="27" t="s">
        <v>1137</v>
      </c>
      <c r="L113" s="25">
        <v>3.0</v>
      </c>
      <c r="M113" s="27" t="s">
        <v>1137</v>
      </c>
      <c r="N113" s="59" t="s">
        <v>3981</v>
      </c>
      <c r="O113" s="26" t="s">
        <v>4302</v>
      </c>
      <c r="P113" s="26" t="str">
        <f>+O114</f>
        <v>กลุ่มงานบริหารทั่วไป</v>
      </c>
      <c r="Q113" s="26" t="s">
        <v>3992</v>
      </c>
      <c r="R113" s="26" t="str">
        <f t="shared" si="24"/>
        <v>ภารกิจด้านอำนวยการ</v>
      </c>
      <c r="S113" s="26" t="str">
        <f t="shared" si="16"/>
        <v>กลุ่มงานบริหารทั่วไป</v>
      </c>
      <c r="T113" s="26" t="s">
        <v>3992</v>
      </c>
      <c r="U113" s="26" t="s">
        <v>1302</v>
      </c>
      <c r="V113" s="25" t="s">
        <v>46</v>
      </c>
      <c r="W113" s="26" t="s">
        <v>1323</v>
      </c>
      <c r="X113" s="25" t="s">
        <v>46</v>
      </c>
      <c r="Y113" s="31">
        <v>4.0</v>
      </c>
      <c r="Z113" s="31">
        <v>15.0</v>
      </c>
      <c r="AA113" s="31">
        <v>85.0</v>
      </c>
      <c r="AB113" s="31">
        <v>4.0</v>
      </c>
      <c r="AC113" s="32">
        <v>1.0</v>
      </c>
      <c r="AD113" s="26"/>
      <c r="AE113" s="26"/>
      <c r="AF113" s="32">
        <v>30.0</v>
      </c>
      <c r="AG113" s="33">
        <v>3.509900844521E12</v>
      </c>
      <c r="AH113" s="33" t="s">
        <v>3352</v>
      </c>
      <c r="AI113" s="40">
        <v>226522.0</v>
      </c>
    </row>
    <row r="114" ht="38.25" hidden="1" customHeight="1">
      <c r="A114" s="25">
        <v>113.0</v>
      </c>
      <c r="B114" s="26" t="s">
        <v>1037</v>
      </c>
      <c r="C114" s="26" t="s">
        <v>4303</v>
      </c>
      <c r="D114" s="26" t="s">
        <v>4304</v>
      </c>
      <c r="E114" s="26" t="s">
        <v>4297</v>
      </c>
      <c r="F114" s="26" t="s">
        <v>4297</v>
      </c>
      <c r="G114" s="27" t="s">
        <v>1110</v>
      </c>
      <c r="H114" s="27" t="s">
        <v>1110</v>
      </c>
      <c r="I114" s="29" t="s">
        <v>4305</v>
      </c>
      <c r="J114" s="29" t="s">
        <v>3949</v>
      </c>
      <c r="K114" s="27" t="s">
        <v>1137</v>
      </c>
      <c r="L114" s="25">
        <v>3.0</v>
      </c>
      <c r="M114" s="27" t="s">
        <v>1137</v>
      </c>
      <c r="N114" s="30" t="s">
        <v>1174</v>
      </c>
      <c r="O114" s="26" t="str">
        <f t="shared" ref="O114:O115" si="28">+T114</f>
        <v>กลุ่มงานบริหารทั่วไป</v>
      </c>
      <c r="P114" s="26" t="s">
        <v>4306</v>
      </c>
      <c r="Q114" s="26" t="str">
        <f t="shared" ref="Q114:Q144" si="29">+T114</f>
        <v>กลุ่มงานบริหารทั่วไป</v>
      </c>
      <c r="R114" s="26" t="str">
        <f t="shared" si="24"/>
        <v>ภารกิจด้านอำนวยการ</v>
      </c>
      <c r="S114" s="26" t="str">
        <f t="shared" si="16"/>
        <v>กลุ่มงานบริหารทั่วไป</v>
      </c>
      <c r="T114" s="26" t="s">
        <v>3992</v>
      </c>
      <c r="U114" s="26" t="s">
        <v>1302</v>
      </c>
      <c r="V114" s="25" t="s">
        <v>46</v>
      </c>
      <c r="W114" s="26" t="s">
        <v>1323</v>
      </c>
      <c r="X114" s="25" t="s">
        <v>46</v>
      </c>
      <c r="Y114" s="31">
        <v>4.0</v>
      </c>
      <c r="Z114" s="31">
        <v>15.0</v>
      </c>
      <c r="AA114" s="31">
        <v>85.0</v>
      </c>
      <c r="AB114" s="31">
        <v>4.0</v>
      </c>
      <c r="AC114" s="32">
        <v>1.0</v>
      </c>
      <c r="AD114" s="26"/>
      <c r="AE114" s="26"/>
      <c r="AF114" s="32">
        <v>30.0</v>
      </c>
      <c r="AG114" s="61"/>
      <c r="AH114" s="61"/>
      <c r="AI114" s="62"/>
    </row>
    <row r="115" ht="38.25" hidden="1" customHeight="1">
      <c r="A115" s="32">
        <v>114.0</v>
      </c>
      <c r="B115" s="26" t="s">
        <v>1037</v>
      </c>
      <c r="C115" s="26" t="s">
        <v>4307</v>
      </c>
      <c r="D115" s="26" t="s">
        <v>4308</v>
      </c>
      <c r="E115" s="26" t="s">
        <v>4309</v>
      </c>
      <c r="F115" s="26" t="s">
        <v>4310</v>
      </c>
      <c r="G115" s="27" t="s">
        <v>4249</v>
      </c>
      <c r="H115" s="27" t="s">
        <v>1110</v>
      </c>
      <c r="I115" s="29">
        <v>240896.0</v>
      </c>
      <c r="J115" s="29" t="s">
        <v>1125</v>
      </c>
      <c r="K115" s="27" t="s">
        <v>1137</v>
      </c>
      <c r="L115" s="25">
        <v>1.0</v>
      </c>
      <c r="M115" s="27" t="s">
        <v>1137</v>
      </c>
      <c r="N115" s="30" t="s">
        <v>1174</v>
      </c>
      <c r="O115" s="26" t="str">
        <f t="shared" si="28"/>
        <v>กลุ่มงานจิตเวชและยาเสพติด</v>
      </c>
      <c r="P115" s="26" t="str">
        <f>+O115</f>
        <v>กลุ่มงานจิตเวชและยาเสพติด</v>
      </c>
      <c r="Q115" s="26" t="str">
        <f t="shared" si="29"/>
        <v>กลุ่มงานจิตเวชและยาเสพติด</v>
      </c>
      <c r="R115" s="26" t="str">
        <f t="shared" si="24"/>
        <v>ภารกิจด้านบริการทุติยภูมิและตติยภูมิ</v>
      </c>
      <c r="S115" s="26" t="str">
        <f t="shared" si="16"/>
        <v>กลุ่มงานจิตเวชและยาเสพติด</v>
      </c>
      <c r="T115" s="26" t="s">
        <v>4311</v>
      </c>
      <c r="U115" s="26" t="s">
        <v>1302</v>
      </c>
      <c r="V115" s="25">
        <v>13.0</v>
      </c>
      <c r="W115" s="26" t="s">
        <v>4054</v>
      </c>
      <c r="X115" s="25" t="s">
        <v>3978</v>
      </c>
      <c r="Y115" s="31">
        <v>3.0</v>
      </c>
      <c r="Z115" s="31">
        <v>8.0</v>
      </c>
      <c r="AA115" s="31">
        <v>199.0</v>
      </c>
      <c r="AB115" s="31">
        <v>3.0</v>
      </c>
      <c r="AC115" s="32">
        <v>1.0</v>
      </c>
      <c r="AD115" s="26"/>
      <c r="AE115" s="26"/>
      <c r="AF115" s="32">
        <v>13.0</v>
      </c>
      <c r="AG115" s="33">
        <v>1.509901402631E12</v>
      </c>
      <c r="AH115" s="33" t="s">
        <v>2522</v>
      </c>
      <c r="AI115" s="40">
        <v>232693.0</v>
      </c>
    </row>
    <row r="116" ht="38.25" hidden="1" customHeight="1">
      <c r="A116" s="25">
        <v>115.0</v>
      </c>
      <c r="B116" s="26" t="s">
        <v>806</v>
      </c>
      <c r="C116" s="26" t="s">
        <v>4312</v>
      </c>
      <c r="D116" s="26" t="s">
        <v>810</v>
      </c>
      <c r="E116" s="26" t="s">
        <v>4313</v>
      </c>
      <c r="F116" s="26" t="s">
        <v>4313</v>
      </c>
      <c r="G116" s="27" t="s">
        <v>4249</v>
      </c>
      <c r="H116" s="27" t="s">
        <v>1110</v>
      </c>
      <c r="I116" s="29">
        <v>108224.0</v>
      </c>
      <c r="J116" s="29" t="s">
        <v>1125</v>
      </c>
      <c r="K116" s="27" t="s">
        <v>1137</v>
      </c>
      <c r="L116" s="25">
        <v>3.0</v>
      </c>
      <c r="M116" s="27" t="s">
        <v>1137</v>
      </c>
      <c r="N116" s="30" t="s">
        <v>1174</v>
      </c>
      <c r="O116" s="26" t="s">
        <v>814</v>
      </c>
      <c r="P116" s="26" t="s">
        <v>3985</v>
      </c>
      <c r="Q116" s="26" t="str">
        <f t="shared" si="29"/>
        <v>กลุ่มงานทรัพยากรบุคคล</v>
      </c>
      <c r="R116" s="26" t="str">
        <f t="shared" si="24"/>
        <v>ภารกิจด้านอำนวยการ</v>
      </c>
      <c r="S116" s="26" t="str">
        <f t="shared" si="16"/>
        <v>กลุ่มงานทรัพยากรบุคคล</v>
      </c>
      <c r="T116" s="26" t="s">
        <v>812</v>
      </c>
      <c r="U116" s="26" t="s">
        <v>1302</v>
      </c>
      <c r="V116" s="25" t="s">
        <v>3978</v>
      </c>
      <c r="W116" s="26" t="s">
        <v>1323</v>
      </c>
      <c r="X116" s="25" t="s">
        <v>46</v>
      </c>
      <c r="Y116" s="31">
        <v>5.0</v>
      </c>
      <c r="Z116" s="31">
        <v>10.0</v>
      </c>
      <c r="AA116" s="31">
        <v>85.0</v>
      </c>
      <c r="AB116" s="31">
        <v>5.0</v>
      </c>
      <c r="AC116" s="32">
        <v>1.0</v>
      </c>
      <c r="AD116" s="26"/>
      <c r="AE116" s="26" t="s">
        <v>4314</v>
      </c>
      <c r="AF116" s="32">
        <v>31.0</v>
      </c>
      <c r="AG116" s="37">
        <v>1.549900190541E12</v>
      </c>
      <c r="AH116" s="61"/>
      <c r="AI116" s="44">
        <v>231024.0</v>
      </c>
    </row>
    <row r="117" ht="38.25" hidden="1" customHeight="1">
      <c r="A117" s="32">
        <v>116.0</v>
      </c>
      <c r="B117" s="26" t="s">
        <v>1037</v>
      </c>
      <c r="C117" s="26" t="s">
        <v>4315</v>
      </c>
      <c r="D117" s="64" t="s">
        <v>4316</v>
      </c>
      <c r="E117" s="26" t="s">
        <v>4313</v>
      </c>
      <c r="F117" s="26" t="s">
        <v>4313</v>
      </c>
      <c r="G117" s="27" t="s">
        <v>1110</v>
      </c>
      <c r="H117" s="27" t="s">
        <v>1110</v>
      </c>
      <c r="I117" s="29">
        <v>16420.0</v>
      </c>
      <c r="J117" s="29" t="s">
        <v>4301</v>
      </c>
      <c r="K117" s="27" t="s">
        <v>1137</v>
      </c>
      <c r="L117" s="25">
        <v>3.0</v>
      </c>
      <c r="M117" s="27" t="s">
        <v>1137</v>
      </c>
      <c r="N117" s="30" t="s">
        <v>1174</v>
      </c>
      <c r="O117" s="26" t="s">
        <v>814</v>
      </c>
      <c r="P117" s="26" t="s">
        <v>3985</v>
      </c>
      <c r="Q117" s="26" t="str">
        <f t="shared" si="29"/>
        <v>กลุ่มงานทรัพยากรบุคคล</v>
      </c>
      <c r="R117" s="26" t="str">
        <f t="shared" si="24"/>
        <v>ภารกิจด้านอำนวยการ</v>
      </c>
      <c r="S117" s="26" t="str">
        <f t="shared" si="16"/>
        <v>กลุ่มงานทรัพยากรบุคคล</v>
      </c>
      <c r="T117" s="26" t="s">
        <v>812</v>
      </c>
      <c r="U117" s="26" t="s">
        <v>1302</v>
      </c>
      <c r="V117" s="25" t="s">
        <v>3978</v>
      </c>
      <c r="W117" s="26" t="s">
        <v>1323</v>
      </c>
      <c r="X117" s="25" t="s">
        <v>46</v>
      </c>
      <c r="Y117" s="31">
        <v>5.0</v>
      </c>
      <c r="Z117" s="31">
        <v>10.0</v>
      </c>
      <c r="AA117" s="31">
        <v>85.0</v>
      </c>
      <c r="AB117" s="31">
        <v>5.0</v>
      </c>
      <c r="AC117" s="32">
        <v>1.0</v>
      </c>
      <c r="AD117" s="26"/>
      <c r="AE117" s="26"/>
      <c r="AF117" s="32">
        <v>31.0</v>
      </c>
      <c r="AG117" s="46"/>
      <c r="AH117" s="46"/>
      <c r="AI117" s="47"/>
    </row>
    <row r="118" ht="38.25" hidden="1" customHeight="1">
      <c r="A118" s="25">
        <v>117.0</v>
      </c>
      <c r="B118" s="26" t="s">
        <v>1037</v>
      </c>
      <c r="C118" s="26" t="s">
        <v>4317</v>
      </c>
      <c r="D118" s="26" t="s">
        <v>4318</v>
      </c>
      <c r="E118" s="26" t="s">
        <v>4313</v>
      </c>
      <c r="F118" s="26" t="s">
        <v>4313</v>
      </c>
      <c r="G118" s="27" t="s">
        <v>1110</v>
      </c>
      <c r="H118" s="27" t="s">
        <v>1110</v>
      </c>
      <c r="I118" s="29" t="s">
        <v>4319</v>
      </c>
      <c r="J118" s="29" t="s">
        <v>3949</v>
      </c>
      <c r="K118" s="27" t="s">
        <v>1137</v>
      </c>
      <c r="L118" s="25">
        <v>3.0</v>
      </c>
      <c r="M118" s="27" t="s">
        <v>1137</v>
      </c>
      <c r="N118" s="30" t="s">
        <v>1174</v>
      </c>
      <c r="O118" s="26" t="s">
        <v>814</v>
      </c>
      <c r="P118" s="26" t="s">
        <v>3985</v>
      </c>
      <c r="Q118" s="26" t="str">
        <f t="shared" si="29"/>
        <v>กลุ่มงานทรัพยากรบุคคล</v>
      </c>
      <c r="R118" s="26" t="str">
        <f t="shared" si="24"/>
        <v>ภารกิจด้านอำนวยการ</v>
      </c>
      <c r="S118" s="26" t="str">
        <f t="shared" si="16"/>
        <v>กลุ่มงานทรัพยากรบุคคล</v>
      </c>
      <c r="T118" s="26" t="s">
        <v>812</v>
      </c>
      <c r="U118" s="26" t="s">
        <v>1302</v>
      </c>
      <c r="V118" s="25" t="s">
        <v>3978</v>
      </c>
      <c r="W118" s="26" t="s">
        <v>1323</v>
      </c>
      <c r="X118" s="25" t="s">
        <v>46</v>
      </c>
      <c r="Y118" s="31">
        <v>5.0</v>
      </c>
      <c r="Z118" s="31">
        <v>10.0</v>
      </c>
      <c r="AA118" s="31">
        <v>85.0</v>
      </c>
      <c r="AB118" s="31">
        <v>5.0</v>
      </c>
      <c r="AC118" s="32">
        <v>1.0</v>
      </c>
      <c r="AD118" s="26"/>
      <c r="AE118" s="26"/>
      <c r="AF118" s="32">
        <v>31.0</v>
      </c>
      <c r="AG118" s="37">
        <v>1.509966145218E12</v>
      </c>
      <c r="AH118" s="37" t="s">
        <v>961</v>
      </c>
      <c r="AI118" s="38" t="s">
        <v>4320</v>
      </c>
    </row>
    <row r="119" ht="38.25" hidden="1" customHeight="1">
      <c r="A119" s="32">
        <v>118.0</v>
      </c>
      <c r="B119" s="26" t="s">
        <v>1037</v>
      </c>
      <c r="C119" s="26" t="s">
        <v>4321</v>
      </c>
      <c r="D119" s="26" t="s">
        <v>4322</v>
      </c>
      <c r="E119" s="26" t="s">
        <v>4313</v>
      </c>
      <c r="F119" s="26" t="s">
        <v>4313</v>
      </c>
      <c r="G119" s="27" t="s">
        <v>1110</v>
      </c>
      <c r="H119" s="27" t="s">
        <v>1110</v>
      </c>
      <c r="I119" s="28" t="s">
        <v>4323</v>
      </c>
      <c r="J119" s="29" t="s">
        <v>3949</v>
      </c>
      <c r="K119" s="27" t="s">
        <v>1137</v>
      </c>
      <c r="L119" s="25">
        <v>3.0</v>
      </c>
      <c r="M119" s="27" t="s">
        <v>1137</v>
      </c>
      <c r="N119" s="30" t="s">
        <v>1174</v>
      </c>
      <c r="O119" s="26" t="s">
        <v>814</v>
      </c>
      <c r="P119" s="26" t="s">
        <v>3985</v>
      </c>
      <c r="Q119" s="26" t="str">
        <f t="shared" si="29"/>
        <v>กลุ่มงานทรัพยากรบุคคล</v>
      </c>
      <c r="R119" s="26" t="str">
        <f t="shared" si="24"/>
        <v>ภารกิจด้านอำนวยการ</v>
      </c>
      <c r="S119" s="26" t="str">
        <f t="shared" si="16"/>
        <v>กลุ่มงานทรัพยากรบุคคล</v>
      </c>
      <c r="T119" s="26" t="s">
        <v>812</v>
      </c>
      <c r="U119" s="26" t="s">
        <v>1302</v>
      </c>
      <c r="V119" s="25" t="s">
        <v>3978</v>
      </c>
      <c r="W119" s="26" t="s">
        <v>1323</v>
      </c>
      <c r="X119" s="25" t="s">
        <v>46</v>
      </c>
      <c r="Y119" s="31">
        <v>5.0</v>
      </c>
      <c r="Z119" s="31">
        <v>10.0</v>
      </c>
      <c r="AA119" s="31">
        <v>85.0</v>
      </c>
      <c r="AB119" s="31">
        <v>5.0</v>
      </c>
      <c r="AC119" s="32">
        <v>1.0</v>
      </c>
      <c r="AD119" s="26"/>
      <c r="AE119" s="26"/>
      <c r="AF119" s="32">
        <v>31.0</v>
      </c>
      <c r="AG119" s="33">
        <v>1.500701267449E12</v>
      </c>
      <c r="AH119" s="33" t="s">
        <v>1075</v>
      </c>
      <c r="AI119" s="34" t="s">
        <v>4324</v>
      </c>
    </row>
    <row r="120" ht="38.25" hidden="1" customHeight="1">
      <c r="A120" s="25">
        <v>119.0</v>
      </c>
      <c r="B120" s="26"/>
      <c r="C120" s="26"/>
      <c r="D120" s="26"/>
      <c r="E120" s="26" t="s">
        <v>4325</v>
      </c>
      <c r="F120" s="26" t="s">
        <v>4326</v>
      </c>
      <c r="G120" s="27" t="s">
        <v>1099</v>
      </c>
      <c r="H120" s="27" t="s">
        <v>1110</v>
      </c>
      <c r="I120" s="29">
        <v>107112.0</v>
      </c>
      <c r="J120" s="29" t="s">
        <v>1125</v>
      </c>
      <c r="K120" s="27" t="s">
        <v>1137</v>
      </c>
      <c r="L120" s="25">
        <v>1.0</v>
      </c>
      <c r="M120" s="27" t="s">
        <v>1137</v>
      </c>
      <c r="N120" s="30" t="s">
        <v>1174</v>
      </c>
      <c r="O120" s="26" t="s">
        <v>4327</v>
      </c>
      <c r="P120" s="26" t="s">
        <v>4328</v>
      </c>
      <c r="Q120" s="26" t="str">
        <f t="shared" si="29"/>
        <v>กลุ่มงานเทคนิคการแพทย์และพยาธิวิทยาคลินิก</v>
      </c>
      <c r="R120" s="26" t="s">
        <v>4054</v>
      </c>
      <c r="S120" s="26" t="str">
        <f t="shared" si="16"/>
        <v>กลุ่มงานเทคนิคการแพทย์และพยาธิวิทยาคลินิก</v>
      </c>
      <c r="T120" s="26" t="s">
        <v>4329</v>
      </c>
      <c r="U120" s="26" t="s">
        <v>1302</v>
      </c>
      <c r="V120" s="25">
        <v>16.0</v>
      </c>
      <c r="W120" s="26" t="s">
        <v>4054</v>
      </c>
      <c r="X120" s="25" t="s">
        <v>3978</v>
      </c>
      <c r="Y120" s="31">
        <v>18.0</v>
      </c>
      <c r="Z120" s="31">
        <v>20.0</v>
      </c>
      <c r="AA120" s="31">
        <v>199.0</v>
      </c>
      <c r="AB120" s="31">
        <v>20.0</v>
      </c>
      <c r="AC120" s="32">
        <v>0.0</v>
      </c>
      <c r="AD120" s="64" t="s">
        <v>4330</v>
      </c>
      <c r="AE120" s="26"/>
      <c r="AF120" s="32">
        <v>10.0</v>
      </c>
      <c r="AG120" s="65"/>
      <c r="AH120" s="65"/>
      <c r="AI120" s="66"/>
    </row>
    <row r="121" ht="38.25" hidden="1" customHeight="1">
      <c r="A121" s="32">
        <v>120.0</v>
      </c>
      <c r="B121" s="26"/>
      <c r="C121" s="26"/>
      <c r="D121" s="26"/>
      <c r="E121" s="26" t="s">
        <v>4325</v>
      </c>
      <c r="F121" s="26" t="s">
        <v>4326</v>
      </c>
      <c r="G121" s="27" t="s">
        <v>1099</v>
      </c>
      <c r="H121" s="27" t="s">
        <v>1110</v>
      </c>
      <c r="I121" s="29">
        <v>106678.0</v>
      </c>
      <c r="J121" s="29" t="s">
        <v>1125</v>
      </c>
      <c r="K121" s="27" t="s">
        <v>1137</v>
      </c>
      <c r="L121" s="25">
        <v>1.0</v>
      </c>
      <c r="M121" s="27" t="s">
        <v>1137</v>
      </c>
      <c r="N121" s="30" t="s">
        <v>1174</v>
      </c>
      <c r="O121" s="26" t="s">
        <v>4327</v>
      </c>
      <c r="P121" s="26" t="s">
        <v>4328</v>
      </c>
      <c r="Q121" s="26" t="str">
        <f t="shared" si="29"/>
        <v>กลุ่มงานเทคนิคการแพทย์และพยาธิวิทยาคลินิก</v>
      </c>
      <c r="R121" s="26" t="s">
        <v>4054</v>
      </c>
      <c r="S121" s="26" t="str">
        <f t="shared" si="16"/>
        <v>กลุ่มงานเทคนิคการแพทย์และพยาธิวิทยาคลินิก</v>
      </c>
      <c r="T121" s="26" t="s">
        <v>4329</v>
      </c>
      <c r="U121" s="26" t="s">
        <v>1302</v>
      </c>
      <c r="V121" s="25">
        <v>16.0</v>
      </c>
      <c r="W121" s="26" t="s">
        <v>4054</v>
      </c>
      <c r="X121" s="25" t="s">
        <v>3978</v>
      </c>
      <c r="Y121" s="31">
        <v>18.0</v>
      </c>
      <c r="Z121" s="31">
        <v>20.0</v>
      </c>
      <c r="AA121" s="31">
        <v>199.0</v>
      </c>
      <c r="AB121" s="31">
        <v>20.0</v>
      </c>
      <c r="AC121" s="32">
        <v>0.0</v>
      </c>
      <c r="AD121" s="64" t="s">
        <v>4331</v>
      </c>
      <c r="AE121" s="26"/>
      <c r="AF121" s="32">
        <v>10.0</v>
      </c>
      <c r="AG121" s="65"/>
      <c r="AH121" s="65"/>
      <c r="AI121" s="66"/>
    </row>
    <row r="122" ht="38.25" hidden="1" customHeight="1">
      <c r="A122" s="25">
        <v>121.0</v>
      </c>
      <c r="B122" s="26" t="s">
        <v>806</v>
      </c>
      <c r="C122" s="26" t="s">
        <v>4332</v>
      </c>
      <c r="D122" s="26" t="s">
        <v>4333</v>
      </c>
      <c r="E122" s="26" t="s">
        <v>4334</v>
      </c>
      <c r="F122" s="26" t="s">
        <v>4326</v>
      </c>
      <c r="G122" s="27" t="s">
        <v>4220</v>
      </c>
      <c r="H122" s="27" t="s">
        <v>4253</v>
      </c>
      <c r="I122" s="29">
        <v>99285.0</v>
      </c>
      <c r="J122" s="29" t="s">
        <v>1125</v>
      </c>
      <c r="K122" s="27" t="s">
        <v>1137</v>
      </c>
      <c r="L122" s="25">
        <v>1.0</v>
      </c>
      <c r="M122" s="27" t="s">
        <v>1137</v>
      </c>
      <c r="N122" s="30" t="s">
        <v>1174</v>
      </c>
      <c r="O122" s="26" t="str">
        <f t="shared" ref="O122:O137" si="30">+T122</f>
        <v>กลุ่มงานเทคนิคการแพทย์และพยาธิวิทยาคลินิก</v>
      </c>
      <c r="P122" s="26" t="s">
        <v>4328</v>
      </c>
      <c r="Q122" s="26" t="str">
        <f t="shared" si="29"/>
        <v>กลุ่มงานเทคนิคการแพทย์และพยาธิวิทยาคลินิก</v>
      </c>
      <c r="R122" s="26" t="str">
        <f t="shared" ref="R122:R137" si="31">+W122</f>
        <v>ภารกิจด้านบริการทุติยภูมิและตติยภูมิ</v>
      </c>
      <c r="S122" s="26" t="str">
        <f t="shared" si="16"/>
        <v>กลุ่มงานเทคนิคการแพทย์และพยาธิวิทยาคลินิก</v>
      </c>
      <c r="T122" s="26" t="s">
        <v>4329</v>
      </c>
      <c r="U122" s="26" t="s">
        <v>1302</v>
      </c>
      <c r="V122" s="25">
        <v>16.0</v>
      </c>
      <c r="W122" s="26" t="s">
        <v>4054</v>
      </c>
      <c r="X122" s="25" t="s">
        <v>3978</v>
      </c>
      <c r="Y122" s="31">
        <v>18.0</v>
      </c>
      <c r="Z122" s="31">
        <v>20.0</v>
      </c>
      <c r="AA122" s="31">
        <v>199.0</v>
      </c>
      <c r="AB122" s="31">
        <v>20.0</v>
      </c>
      <c r="AC122" s="32">
        <v>1.0</v>
      </c>
      <c r="AD122" s="26"/>
      <c r="AE122" s="26" t="s">
        <v>4335</v>
      </c>
      <c r="AF122" s="32">
        <v>10.0</v>
      </c>
      <c r="AG122" s="37">
        <v>5.550500457138E12</v>
      </c>
      <c r="AH122" s="37" t="s">
        <v>3469</v>
      </c>
      <c r="AI122" s="38" t="s">
        <v>4336</v>
      </c>
    </row>
    <row r="123" ht="38.25" hidden="1" customHeight="1">
      <c r="A123" s="32">
        <v>122.0</v>
      </c>
      <c r="B123" s="26" t="s">
        <v>806</v>
      </c>
      <c r="C123" s="26" t="s">
        <v>4337</v>
      </c>
      <c r="D123" s="26" t="s">
        <v>4338</v>
      </c>
      <c r="E123" s="26" t="s">
        <v>4334</v>
      </c>
      <c r="F123" s="26" t="s">
        <v>4326</v>
      </c>
      <c r="G123" s="27" t="s">
        <v>4249</v>
      </c>
      <c r="H123" s="27" t="s">
        <v>1110</v>
      </c>
      <c r="I123" s="29">
        <v>107119.0</v>
      </c>
      <c r="J123" s="29" t="s">
        <v>1125</v>
      </c>
      <c r="K123" s="27" t="s">
        <v>1137</v>
      </c>
      <c r="L123" s="25">
        <v>1.0</v>
      </c>
      <c r="M123" s="27" t="s">
        <v>1137</v>
      </c>
      <c r="N123" s="30" t="s">
        <v>1174</v>
      </c>
      <c r="O123" s="26" t="str">
        <f t="shared" si="30"/>
        <v>กลุ่มงานเทคนิคการแพทย์และพยาธิวิทยาคลินิก</v>
      </c>
      <c r="P123" s="26" t="s">
        <v>4328</v>
      </c>
      <c r="Q123" s="26" t="str">
        <f t="shared" si="29"/>
        <v>กลุ่มงานเทคนิคการแพทย์และพยาธิวิทยาคลินิก</v>
      </c>
      <c r="R123" s="26" t="str">
        <f t="shared" si="31"/>
        <v>ภารกิจด้านบริการทุติยภูมิและตติยภูมิ</v>
      </c>
      <c r="S123" s="26" t="str">
        <f t="shared" si="16"/>
        <v>กลุ่มงานเทคนิคการแพทย์และพยาธิวิทยาคลินิก</v>
      </c>
      <c r="T123" s="26" t="s">
        <v>4329</v>
      </c>
      <c r="U123" s="26" t="s">
        <v>1302</v>
      </c>
      <c r="V123" s="25">
        <v>16.0</v>
      </c>
      <c r="W123" s="26" t="s">
        <v>4054</v>
      </c>
      <c r="X123" s="25" t="s">
        <v>3978</v>
      </c>
      <c r="Y123" s="31">
        <v>18.0</v>
      </c>
      <c r="Z123" s="31">
        <v>20.0</v>
      </c>
      <c r="AA123" s="31">
        <v>199.0</v>
      </c>
      <c r="AB123" s="31">
        <v>20.0</v>
      </c>
      <c r="AC123" s="32">
        <v>1.0</v>
      </c>
      <c r="AD123" s="26"/>
      <c r="AE123" s="26"/>
      <c r="AF123" s="32">
        <v>10.0</v>
      </c>
      <c r="AG123" s="33">
        <v>3.7101004532E12</v>
      </c>
      <c r="AH123" s="33" t="s">
        <v>1992</v>
      </c>
      <c r="AI123" s="34" t="s">
        <v>4339</v>
      </c>
    </row>
    <row r="124" ht="38.25" hidden="1" customHeight="1">
      <c r="A124" s="25">
        <v>123.0</v>
      </c>
      <c r="B124" s="26" t="s">
        <v>1037</v>
      </c>
      <c r="C124" s="26" t="s">
        <v>4340</v>
      </c>
      <c r="D124" s="26" t="s">
        <v>4341</v>
      </c>
      <c r="E124" s="26" t="s">
        <v>4334</v>
      </c>
      <c r="F124" s="26" t="s">
        <v>4326</v>
      </c>
      <c r="G124" s="27" t="s">
        <v>4249</v>
      </c>
      <c r="H124" s="27" t="s">
        <v>1110</v>
      </c>
      <c r="I124" s="29">
        <v>194203.0</v>
      </c>
      <c r="J124" s="29" t="s">
        <v>1125</v>
      </c>
      <c r="K124" s="27" t="s">
        <v>1137</v>
      </c>
      <c r="L124" s="25">
        <v>1.0</v>
      </c>
      <c r="M124" s="27" t="s">
        <v>1137</v>
      </c>
      <c r="N124" s="30" t="s">
        <v>1174</v>
      </c>
      <c r="O124" s="26" t="str">
        <f t="shared" si="30"/>
        <v>กลุ่มงานเทคนิคการแพทย์และพยาธิวิทยาคลินิก</v>
      </c>
      <c r="P124" s="26" t="s">
        <v>4328</v>
      </c>
      <c r="Q124" s="26" t="str">
        <f t="shared" si="29"/>
        <v>กลุ่มงานเทคนิคการแพทย์และพยาธิวิทยาคลินิก</v>
      </c>
      <c r="R124" s="26" t="str">
        <f t="shared" si="31"/>
        <v>ภารกิจด้านบริการทุติยภูมิและตติยภูมิ</v>
      </c>
      <c r="S124" s="26" t="str">
        <f t="shared" si="16"/>
        <v>กลุ่มงานเทคนิคการแพทย์และพยาธิวิทยาคลินิก</v>
      </c>
      <c r="T124" s="26" t="s">
        <v>4329</v>
      </c>
      <c r="U124" s="26" t="s">
        <v>1302</v>
      </c>
      <c r="V124" s="25">
        <v>16.0</v>
      </c>
      <c r="W124" s="26" t="s">
        <v>4054</v>
      </c>
      <c r="X124" s="25" t="s">
        <v>3978</v>
      </c>
      <c r="Y124" s="31">
        <v>18.0</v>
      </c>
      <c r="Z124" s="31">
        <v>20.0</v>
      </c>
      <c r="AA124" s="31">
        <v>199.0</v>
      </c>
      <c r="AB124" s="31">
        <v>20.0</v>
      </c>
      <c r="AC124" s="32">
        <v>1.0</v>
      </c>
      <c r="AD124" s="26"/>
      <c r="AE124" s="26"/>
      <c r="AF124" s="32">
        <v>10.0</v>
      </c>
      <c r="AG124" s="37">
        <v>1.509900757258E12</v>
      </c>
      <c r="AH124" s="37" t="s">
        <v>3464</v>
      </c>
      <c r="AI124" s="38" t="s">
        <v>4342</v>
      </c>
    </row>
    <row r="125" ht="38.25" hidden="1" customHeight="1">
      <c r="A125" s="32">
        <v>124.0</v>
      </c>
      <c r="B125" s="26" t="s">
        <v>1037</v>
      </c>
      <c r="C125" s="26" t="s">
        <v>4343</v>
      </c>
      <c r="D125" s="26" t="s">
        <v>4344</v>
      </c>
      <c r="E125" s="26" t="s">
        <v>4334</v>
      </c>
      <c r="F125" s="26" t="s">
        <v>4326</v>
      </c>
      <c r="G125" s="27" t="s">
        <v>4220</v>
      </c>
      <c r="H125" s="27" t="s">
        <v>4253</v>
      </c>
      <c r="I125" s="29">
        <v>231172.0</v>
      </c>
      <c r="J125" s="29" t="s">
        <v>1125</v>
      </c>
      <c r="K125" s="27" t="s">
        <v>1137</v>
      </c>
      <c r="L125" s="25">
        <v>1.0</v>
      </c>
      <c r="M125" s="27" t="s">
        <v>1137</v>
      </c>
      <c r="N125" s="30" t="s">
        <v>1174</v>
      </c>
      <c r="O125" s="26" t="str">
        <f t="shared" si="30"/>
        <v>กลุ่มงานเทคนิคการแพทย์และพยาธิวิทยาคลินิก</v>
      </c>
      <c r="P125" s="26" t="s">
        <v>4328</v>
      </c>
      <c r="Q125" s="26" t="str">
        <f t="shared" si="29"/>
        <v>กลุ่มงานเทคนิคการแพทย์และพยาธิวิทยาคลินิก</v>
      </c>
      <c r="R125" s="26" t="str">
        <f t="shared" si="31"/>
        <v>ภารกิจด้านบริการทุติยภูมิและตติยภูมิ</v>
      </c>
      <c r="S125" s="26" t="str">
        <f t="shared" si="16"/>
        <v>กลุ่มงานเทคนิคการแพทย์และพยาธิวิทยาคลินิก</v>
      </c>
      <c r="T125" s="26" t="s">
        <v>4329</v>
      </c>
      <c r="U125" s="26" t="s">
        <v>1302</v>
      </c>
      <c r="V125" s="25">
        <v>16.0</v>
      </c>
      <c r="W125" s="26" t="s">
        <v>4054</v>
      </c>
      <c r="X125" s="25" t="s">
        <v>3978</v>
      </c>
      <c r="Y125" s="31">
        <v>18.0</v>
      </c>
      <c r="Z125" s="31">
        <v>20.0</v>
      </c>
      <c r="AA125" s="31">
        <v>199.0</v>
      </c>
      <c r="AB125" s="31">
        <v>20.0</v>
      </c>
      <c r="AC125" s="32">
        <v>1.0</v>
      </c>
      <c r="AD125" s="26"/>
      <c r="AE125" s="26"/>
      <c r="AF125" s="32">
        <v>10.0</v>
      </c>
      <c r="AG125" s="33">
        <v>1.500200161052E12</v>
      </c>
      <c r="AH125" s="33" t="s">
        <v>2928</v>
      </c>
      <c r="AI125" s="34" t="s">
        <v>4345</v>
      </c>
    </row>
    <row r="126" ht="38.25" hidden="1" customHeight="1">
      <c r="A126" s="25">
        <v>125.0</v>
      </c>
      <c r="B126" s="26" t="s">
        <v>2692</v>
      </c>
      <c r="C126" s="26" t="s">
        <v>4346</v>
      </c>
      <c r="D126" s="26" t="s">
        <v>4347</v>
      </c>
      <c r="E126" s="26" t="s">
        <v>4334</v>
      </c>
      <c r="F126" s="26" t="s">
        <v>4326</v>
      </c>
      <c r="G126" s="27" t="s">
        <v>4249</v>
      </c>
      <c r="H126" s="27" t="s">
        <v>1110</v>
      </c>
      <c r="I126" s="29">
        <v>231173.0</v>
      </c>
      <c r="J126" s="29" t="s">
        <v>1125</v>
      </c>
      <c r="K126" s="27" t="s">
        <v>1137</v>
      </c>
      <c r="L126" s="25">
        <v>1.0</v>
      </c>
      <c r="M126" s="27" t="s">
        <v>1137</v>
      </c>
      <c r="N126" s="30" t="s">
        <v>1174</v>
      </c>
      <c r="O126" s="26" t="str">
        <f t="shared" si="30"/>
        <v>กลุ่มงานเทคนิคการแพทย์และพยาธิวิทยาคลินิก</v>
      </c>
      <c r="P126" s="26" t="s">
        <v>4328</v>
      </c>
      <c r="Q126" s="26" t="str">
        <f t="shared" si="29"/>
        <v>กลุ่มงานเทคนิคการแพทย์และพยาธิวิทยาคลินิก</v>
      </c>
      <c r="R126" s="26" t="str">
        <f t="shared" si="31"/>
        <v>ภารกิจด้านบริการทุติยภูมิและตติยภูมิ</v>
      </c>
      <c r="S126" s="26" t="str">
        <f t="shared" si="16"/>
        <v>กลุ่มงานเทคนิคการแพทย์และพยาธิวิทยาคลินิก</v>
      </c>
      <c r="T126" s="26" t="s">
        <v>4329</v>
      </c>
      <c r="U126" s="26" t="s">
        <v>1302</v>
      </c>
      <c r="V126" s="25">
        <v>16.0</v>
      </c>
      <c r="W126" s="26" t="s">
        <v>4054</v>
      </c>
      <c r="X126" s="25" t="s">
        <v>3978</v>
      </c>
      <c r="Y126" s="31">
        <v>18.0</v>
      </c>
      <c r="Z126" s="31">
        <v>20.0</v>
      </c>
      <c r="AA126" s="31">
        <v>199.0</v>
      </c>
      <c r="AB126" s="31">
        <v>20.0</v>
      </c>
      <c r="AC126" s="89">
        <v>2.0</v>
      </c>
      <c r="AD126" s="26"/>
      <c r="AE126" s="26"/>
      <c r="AF126" s="32">
        <v>10.0</v>
      </c>
      <c r="AG126" s="37">
        <v>1.529900668506E12</v>
      </c>
      <c r="AH126" s="37" t="s">
        <v>2919</v>
      </c>
      <c r="AI126" s="44">
        <v>232337.0</v>
      </c>
    </row>
    <row r="127" ht="38.25" hidden="1" customHeight="1">
      <c r="A127" s="32">
        <v>126.0</v>
      </c>
      <c r="B127" s="26" t="s">
        <v>1037</v>
      </c>
      <c r="C127" s="26" t="s">
        <v>4348</v>
      </c>
      <c r="D127" s="26" t="s">
        <v>4349</v>
      </c>
      <c r="E127" s="26" t="s">
        <v>4334</v>
      </c>
      <c r="F127" s="26" t="s">
        <v>4326</v>
      </c>
      <c r="G127" s="27" t="s">
        <v>4220</v>
      </c>
      <c r="H127" s="27" t="s">
        <v>4253</v>
      </c>
      <c r="I127" s="29">
        <v>231174.0</v>
      </c>
      <c r="J127" s="29" t="s">
        <v>1125</v>
      </c>
      <c r="K127" s="27" t="s">
        <v>1137</v>
      </c>
      <c r="L127" s="25">
        <v>1.0</v>
      </c>
      <c r="M127" s="27" t="s">
        <v>1137</v>
      </c>
      <c r="N127" s="30" t="s">
        <v>1174</v>
      </c>
      <c r="O127" s="26" t="str">
        <f t="shared" si="30"/>
        <v>กลุ่มงานเทคนิคการแพทย์และพยาธิวิทยาคลินิก</v>
      </c>
      <c r="P127" s="26" t="s">
        <v>4328</v>
      </c>
      <c r="Q127" s="26" t="str">
        <f t="shared" si="29"/>
        <v>กลุ่มงานเทคนิคการแพทย์และพยาธิวิทยาคลินิก</v>
      </c>
      <c r="R127" s="26" t="str">
        <f t="shared" si="31"/>
        <v>ภารกิจด้านบริการทุติยภูมิและตติยภูมิ</v>
      </c>
      <c r="S127" s="26" t="str">
        <f t="shared" si="16"/>
        <v>กลุ่มงานเทคนิคการแพทย์และพยาธิวิทยาคลินิก</v>
      </c>
      <c r="T127" s="26" t="s">
        <v>4329</v>
      </c>
      <c r="U127" s="26" t="s">
        <v>1302</v>
      </c>
      <c r="V127" s="25">
        <v>16.0</v>
      </c>
      <c r="W127" s="26" t="s">
        <v>4054</v>
      </c>
      <c r="X127" s="25" t="s">
        <v>3978</v>
      </c>
      <c r="Y127" s="31">
        <v>18.0</v>
      </c>
      <c r="Z127" s="31">
        <v>20.0</v>
      </c>
      <c r="AA127" s="31">
        <v>199.0</v>
      </c>
      <c r="AB127" s="31">
        <v>20.0</v>
      </c>
      <c r="AC127" s="32">
        <v>1.0</v>
      </c>
      <c r="AD127" s="26"/>
      <c r="AE127" s="26"/>
      <c r="AF127" s="32">
        <v>10.0</v>
      </c>
      <c r="AG127" s="33">
        <v>1.509901396844E12</v>
      </c>
      <c r="AH127" s="33" t="s">
        <v>2961</v>
      </c>
      <c r="AI127" s="40">
        <v>232814.0</v>
      </c>
    </row>
    <row r="128" ht="38.25" hidden="1" customHeight="1">
      <c r="A128" s="25">
        <v>127.0</v>
      </c>
      <c r="B128" s="26" t="s">
        <v>2692</v>
      </c>
      <c r="C128" s="26" t="s">
        <v>4350</v>
      </c>
      <c r="D128" s="26" t="s">
        <v>4351</v>
      </c>
      <c r="E128" s="26" t="s">
        <v>4334</v>
      </c>
      <c r="F128" s="26" t="s">
        <v>4326</v>
      </c>
      <c r="G128" s="27" t="s">
        <v>4220</v>
      </c>
      <c r="H128" s="27" t="s">
        <v>4253</v>
      </c>
      <c r="I128" s="29">
        <v>231176.0</v>
      </c>
      <c r="J128" s="29" t="s">
        <v>1125</v>
      </c>
      <c r="K128" s="27" t="s">
        <v>1137</v>
      </c>
      <c r="L128" s="25">
        <v>1.0</v>
      </c>
      <c r="M128" s="27" t="s">
        <v>1137</v>
      </c>
      <c r="N128" s="30" t="s">
        <v>1174</v>
      </c>
      <c r="O128" s="26" t="str">
        <f t="shared" si="30"/>
        <v>กลุ่มงานเทคนิคการแพทย์และพยาธิวิทยาคลินิก</v>
      </c>
      <c r="P128" s="26" t="s">
        <v>4328</v>
      </c>
      <c r="Q128" s="26" t="str">
        <f t="shared" si="29"/>
        <v>กลุ่มงานเทคนิคการแพทย์และพยาธิวิทยาคลินิก</v>
      </c>
      <c r="R128" s="26" t="str">
        <f t="shared" si="31"/>
        <v>ภารกิจด้านบริการทุติยภูมิและตติยภูมิ</v>
      </c>
      <c r="S128" s="26" t="str">
        <f t="shared" si="16"/>
        <v>กลุ่มงานเทคนิคการแพทย์และพยาธิวิทยาคลินิก</v>
      </c>
      <c r="T128" s="26" t="s">
        <v>4329</v>
      </c>
      <c r="U128" s="26" t="s">
        <v>1302</v>
      </c>
      <c r="V128" s="25">
        <v>16.0</v>
      </c>
      <c r="W128" s="26" t="s">
        <v>4054</v>
      </c>
      <c r="X128" s="25" t="s">
        <v>3978</v>
      </c>
      <c r="Y128" s="31">
        <v>18.0</v>
      </c>
      <c r="Z128" s="31">
        <v>20.0</v>
      </c>
      <c r="AA128" s="31">
        <v>199.0</v>
      </c>
      <c r="AB128" s="31">
        <v>20.0</v>
      </c>
      <c r="AC128" s="32">
        <v>1.0</v>
      </c>
      <c r="AD128" s="26"/>
      <c r="AE128" s="26"/>
      <c r="AF128" s="32">
        <v>10.0</v>
      </c>
      <c r="AG128" s="37">
        <v>1.509901130763E12</v>
      </c>
      <c r="AH128" s="37" t="s">
        <v>3081</v>
      </c>
      <c r="AI128" s="44">
        <v>232053.0</v>
      </c>
    </row>
    <row r="129" ht="38.25" hidden="1" customHeight="1">
      <c r="A129" s="32">
        <v>128.0</v>
      </c>
      <c r="B129" s="76" t="s">
        <v>1037</v>
      </c>
      <c r="C129" s="76" t="s">
        <v>4352</v>
      </c>
      <c r="D129" s="76" t="s">
        <v>4353</v>
      </c>
      <c r="E129" s="76" t="s">
        <v>4334</v>
      </c>
      <c r="F129" s="76" t="s">
        <v>4326</v>
      </c>
      <c r="G129" s="77" t="s">
        <v>4220</v>
      </c>
      <c r="H129" s="77" t="s">
        <v>4253</v>
      </c>
      <c r="I129" s="78">
        <v>231175.0</v>
      </c>
      <c r="J129" s="78" t="s">
        <v>1125</v>
      </c>
      <c r="K129" s="77" t="s">
        <v>1137</v>
      </c>
      <c r="L129" s="79">
        <v>1.0</v>
      </c>
      <c r="M129" s="27" t="s">
        <v>1137</v>
      </c>
      <c r="N129" s="80" t="s">
        <v>1174</v>
      </c>
      <c r="O129" s="76" t="str">
        <f t="shared" si="30"/>
        <v>กลุ่มงานเทคนิคการแพทย์และพยาธิวิทยาคลินิก</v>
      </c>
      <c r="P129" s="76" t="s">
        <v>4328</v>
      </c>
      <c r="Q129" s="76" t="str">
        <f t="shared" si="29"/>
        <v>กลุ่มงานเทคนิคการแพทย์และพยาธิวิทยาคลินิก</v>
      </c>
      <c r="R129" s="76" t="str">
        <f t="shared" si="31"/>
        <v>ภารกิจด้านบริการทุติยภูมิและตติยภูมิ</v>
      </c>
      <c r="S129" s="76" t="str">
        <f t="shared" si="16"/>
        <v>กลุ่มงานเทคนิคการแพทย์และพยาธิวิทยาคลินิก</v>
      </c>
      <c r="T129" s="76" t="s">
        <v>4329</v>
      </c>
      <c r="U129" s="76" t="s">
        <v>1302</v>
      </c>
      <c r="V129" s="79">
        <v>16.0</v>
      </c>
      <c r="W129" s="76" t="s">
        <v>4054</v>
      </c>
      <c r="X129" s="79" t="s">
        <v>3978</v>
      </c>
      <c r="Y129" s="81">
        <v>18.0</v>
      </c>
      <c r="Z129" s="81">
        <v>20.0</v>
      </c>
      <c r="AA129" s="81">
        <v>199.0</v>
      </c>
      <c r="AB129" s="81">
        <v>20.0</v>
      </c>
      <c r="AC129" s="32">
        <v>1.0</v>
      </c>
      <c r="AD129" s="76"/>
      <c r="AE129" s="76"/>
      <c r="AF129" s="32">
        <v>10.0</v>
      </c>
      <c r="AG129" s="33">
        <v>1.509901283411E12</v>
      </c>
      <c r="AH129" s="33" t="s">
        <v>3077</v>
      </c>
      <c r="AI129" s="34" t="s">
        <v>4354</v>
      </c>
    </row>
    <row r="130" ht="38.25" hidden="1" customHeight="1">
      <c r="A130" s="25">
        <v>129.0</v>
      </c>
      <c r="B130" s="26" t="s">
        <v>1037</v>
      </c>
      <c r="C130" s="26" t="s">
        <v>4355</v>
      </c>
      <c r="D130" s="26" t="s">
        <v>4356</v>
      </c>
      <c r="E130" s="26" t="s">
        <v>4334</v>
      </c>
      <c r="F130" s="26" t="s">
        <v>4326</v>
      </c>
      <c r="G130" s="27" t="s">
        <v>4220</v>
      </c>
      <c r="H130" s="27" t="s">
        <v>4253</v>
      </c>
      <c r="I130" s="29">
        <v>184327.0</v>
      </c>
      <c r="J130" s="29" t="s">
        <v>1125</v>
      </c>
      <c r="K130" s="27" t="s">
        <v>1137</v>
      </c>
      <c r="L130" s="25">
        <v>1.0</v>
      </c>
      <c r="M130" s="27" t="s">
        <v>1137</v>
      </c>
      <c r="N130" s="30" t="s">
        <v>1174</v>
      </c>
      <c r="O130" s="26" t="str">
        <f t="shared" si="30"/>
        <v>กลุ่มงานเทคนิคการแพทย์และพยาธิวิทยาคลินิก</v>
      </c>
      <c r="P130" s="26" t="s">
        <v>4328</v>
      </c>
      <c r="Q130" s="26" t="str">
        <f t="shared" si="29"/>
        <v>กลุ่มงานเทคนิคการแพทย์และพยาธิวิทยาคลินิก</v>
      </c>
      <c r="R130" s="26" t="str">
        <f t="shared" si="31"/>
        <v>ภารกิจด้านบริการทุติยภูมิและตติยภูมิ</v>
      </c>
      <c r="S130" s="26" t="str">
        <f t="shared" si="16"/>
        <v>กลุ่มงานเทคนิคการแพทย์และพยาธิวิทยาคลินิก</v>
      </c>
      <c r="T130" s="26" t="s">
        <v>4329</v>
      </c>
      <c r="U130" s="26" t="s">
        <v>1302</v>
      </c>
      <c r="V130" s="25">
        <v>16.0</v>
      </c>
      <c r="W130" s="26" t="s">
        <v>4054</v>
      </c>
      <c r="X130" s="25" t="s">
        <v>3978</v>
      </c>
      <c r="Y130" s="31">
        <v>18.0</v>
      </c>
      <c r="Z130" s="31">
        <v>20.0</v>
      </c>
      <c r="AA130" s="31">
        <v>199.0</v>
      </c>
      <c r="AB130" s="31">
        <v>20.0</v>
      </c>
      <c r="AC130" s="32">
        <v>1.0</v>
      </c>
      <c r="AD130" s="26"/>
      <c r="AE130" s="26"/>
      <c r="AF130" s="32">
        <v>10.0</v>
      </c>
      <c r="AG130" s="37">
        <v>1.509900470153E12</v>
      </c>
      <c r="AH130" s="37" t="s">
        <v>2290</v>
      </c>
      <c r="AI130" s="44">
        <v>230166.0</v>
      </c>
    </row>
    <row r="131" ht="38.25" hidden="1" customHeight="1">
      <c r="A131" s="32">
        <v>130.0</v>
      </c>
      <c r="B131" s="26" t="s">
        <v>1037</v>
      </c>
      <c r="C131" s="26" t="s">
        <v>4357</v>
      </c>
      <c r="D131" s="26" t="s">
        <v>4358</v>
      </c>
      <c r="E131" s="26" t="s">
        <v>4334</v>
      </c>
      <c r="F131" s="26" t="s">
        <v>4326</v>
      </c>
      <c r="G131" s="27" t="s">
        <v>4249</v>
      </c>
      <c r="H131" s="27" t="s">
        <v>1110</v>
      </c>
      <c r="I131" s="29">
        <v>108010.0</v>
      </c>
      <c r="J131" s="29" t="s">
        <v>1125</v>
      </c>
      <c r="K131" s="27" t="s">
        <v>1137</v>
      </c>
      <c r="L131" s="25">
        <v>1.0</v>
      </c>
      <c r="M131" s="27" t="s">
        <v>1137</v>
      </c>
      <c r="N131" s="30" t="s">
        <v>1174</v>
      </c>
      <c r="O131" s="26" t="str">
        <f t="shared" si="30"/>
        <v>กลุ่มงานเทคนิคการแพทย์และพยาธิวิทยาคลินิก</v>
      </c>
      <c r="P131" s="26" t="s">
        <v>4328</v>
      </c>
      <c r="Q131" s="26" t="str">
        <f t="shared" si="29"/>
        <v>กลุ่มงานเทคนิคการแพทย์และพยาธิวิทยาคลินิก</v>
      </c>
      <c r="R131" s="26" t="str">
        <f t="shared" si="31"/>
        <v>ภารกิจด้านบริการทุติยภูมิและตติยภูมิ</v>
      </c>
      <c r="S131" s="26" t="str">
        <f t="shared" si="16"/>
        <v>กลุ่มงานเทคนิคการแพทย์และพยาธิวิทยาคลินิก</v>
      </c>
      <c r="T131" s="26" t="s">
        <v>4329</v>
      </c>
      <c r="U131" s="26" t="s">
        <v>1302</v>
      </c>
      <c r="V131" s="25">
        <v>16.0</v>
      </c>
      <c r="W131" s="26" t="s">
        <v>4054</v>
      </c>
      <c r="X131" s="25" t="s">
        <v>3978</v>
      </c>
      <c r="Y131" s="31">
        <v>18.0</v>
      </c>
      <c r="Z131" s="31">
        <v>20.0</v>
      </c>
      <c r="AA131" s="31">
        <v>199.0</v>
      </c>
      <c r="AB131" s="31">
        <v>20.0</v>
      </c>
      <c r="AC131" s="32">
        <v>1.0</v>
      </c>
      <c r="AD131" s="26"/>
      <c r="AE131" s="26"/>
      <c r="AF131" s="32">
        <v>10.0</v>
      </c>
      <c r="AG131" s="33">
        <v>1.509901353479E12</v>
      </c>
      <c r="AH131" s="33" t="s">
        <v>2295</v>
      </c>
      <c r="AI131" s="34" t="s">
        <v>4359</v>
      </c>
    </row>
    <row r="132" ht="38.25" hidden="1" customHeight="1">
      <c r="A132" s="25">
        <v>131.0</v>
      </c>
      <c r="B132" s="26" t="s">
        <v>1037</v>
      </c>
      <c r="C132" s="26" t="s">
        <v>4360</v>
      </c>
      <c r="D132" s="26" t="s">
        <v>4361</v>
      </c>
      <c r="E132" s="26" t="s">
        <v>4334</v>
      </c>
      <c r="F132" s="26" t="s">
        <v>4326</v>
      </c>
      <c r="G132" s="27" t="s">
        <v>4249</v>
      </c>
      <c r="H132" s="27" t="s">
        <v>1110</v>
      </c>
      <c r="I132" s="90">
        <v>107122.0</v>
      </c>
      <c r="J132" s="29" t="s">
        <v>1125</v>
      </c>
      <c r="K132" s="27" t="s">
        <v>1137</v>
      </c>
      <c r="L132" s="25">
        <v>1.0</v>
      </c>
      <c r="M132" s="27" t="s">
        <v>1137</v>
      </c>
      <c r="N132" s="30" t="s">
        <v>1174</v>
      </c>
      <c r="O132" s="26" t="str">
        <f t="shared" si="30"/>
        <v>กลุ่มงานเทคนิคการแพทย์และพยาธิวิทยาคลินิก</v>
      </c>
      <c r="P132" s="26" t="s">
        <v>4328</v>
      </c>
      <c r="Q132" s="26" t="str">
        <f t="shared" si="29"/>
        <v>กลุ่มงานเทคนิคการแพทย์และพยาธิวิทยาคลินิก</v>
      </c>
      <c r="R132" s="26" t="str">
        <f t="shared" si="31"/>
        <v>ภารกิจด้านบริการทุติยภูมิและตติยภูมิ</v>
      </c>
      <c r="S132" s="26" t="str">
        <f t="shared" si="16"/>
        <v>กลุ่มงานเทคนิคการแพทย์และพยาธิวิทยาคลินิก</v>
      </c>
      <c r="T132" s="26" t="s">
        <v>4329</v>
      </c>
      <c r="U132" s="26" t="s">
        <v>1302</v>
      </c>
      <c r="V132" s="25">
        <v>16.0</v>
      </c>
      <c r="W132" s="26" t="s">
        <v>4054</v>
      </c>
      <c r="X132" s="25" t="s">
        <v>3978</v>
      </c>
      <c r="Y132" s="31">
        <v>18.0</v>
      </c>
      <c r="Z132" s="31">
        <v>20.0</v>
      </c>
      <c r="AA132" s="31">
        <v>199.0</v>
      </c>
      <c r="AB132" s="31">
        <v>20.0</v>
      </c>
      <c r="AC132" s="32">
        <v>1.0</v>
      </c>
      <c r="AD132" s="64"/>
      <c r="AE132" s="26"/>
      <c r="AF132" s="32">
        <v>10.0</v>
      </c>
      <c r="AG132" s="33">
        <v>1.509902780591E12</v>
      </c>
      <c r="AH132" s="33" t="s">
        <v>1456</v>
      </c>
      <c r="AI132" s="34" t="s">
        <v>4362</v>
      </c>
    </row>
    <row r="133" ht="38.25" hidden="1" customHeight="1">
      <c r="A133" s="32">
        <v>132.0</v>
      </c>
      <c r="B133" s="26" t="s">
        <v>1037</v>
      </c>
      <c r="C133" s="26" t="s">
        <v>4363</v>
      </c>
      <c r="D133" s="26" t="s">
        <v>4364</v>
      </c>
      <c r="E133" s="26" t="s">
        <v>4334</v>
      </c>
      <c r="F133" s="26" t="s">
        <v>4326</v>
      </c>
      <c r="G133" s="27" t="s">
        <v>1110</v>
      </c>
      <c r="H133" s="27" t="s">
        <v>1110</v>
      </c>
      <c r="I133" s="28" t="s">
        <v>4365</v>
      </c>
      <c r="J133" s="29" t="s">
        <v>3949</v>
      </c>
      <c r="K133" s="27" t="s">
        <v>1137</v>
      </c>
      <c r="L133" s="25">
        <v>1.0</v>
      </c>
      <c r="M133" s="27" t="s">
        <v>1137</v>
      </c>
      <c r="N133" s="30" t="s">
        <v>1174</v>
      </c>
      <c r="O133" s="26" t="str">
        <f t="shared" si="30"/>
        <v>กลุ่มงานเทคนิคการแพทย์และพยาธิวิทยาคลินิก</v>
      </c>
      <c r="P133" s="26" t="s">
        <v>4328</v>
      </c>
      <c r="Q133" s="26" t="str">
        <f t="shared" si="29"/>
        <v>กลุ่มงานเทคนิคการแพทย์และพยาธิวิทยาคลินิก</v>
      </c>
      <c r="R133" s="26" t="str">
        <f t="shared" si="31"/>
        <v>ภารกิจด้านบริการทุติยภูมิและตติยภูมิ</v>
      </c>
      <c r="S133" s="26" t="str">
        <f t="shared" si="16"/>
        <v>กลุ่มงานเทคนิคการแพทย์และพยาธิวิทยาคลินิก</v>
      </c>
      <c r="T133" s="26" t="s">
        <v>4329</v>
      </c>
      <c r="U133" s="26" t="s">
        <v>1302</v>
      </c>
      <c r="V133" s="25">
        <v>16.0</v>
      </c>
      <c r="W133" s="26" t="s">
        <v>4054</v>
      </c>
      <c r="X133" s="25" t="s">
        <v>3978</v>
      </c>
      <c r="Y133" s="31">
        <v>18.0</v>
      </c>
      <c r="Z133" s="31">
        <v>20.0</v>
      </c>
      <c r="AA133" s="31">
        <v>199.0</v>
      </c>
      <c r="AB133" s="31">
        <v>20.0</v>
      </c>
      <c r="AC133" s="32">
        <v>1.0</v>
      </c>
      <c r="AD133" s="26"/>
      <c r="AE133" s="26"/>
      <c r="AF133" s="32">
        <v>10.0</v>
      </c>
      <c r="AG133" s="37">
        <v>1.520100127073E12</v>
      </c>
      <c r="AH133" s="37" t="s">
        <v>1123</v>
      </c>
      <c r="AI133" s="44">
        <v>234280.0</v>
      </c>
    </row>
    <row r="134" ht="38.25" hidden="1" customHeight="1">
      <c r="A134" s="25">
        <v>133.0</v>
      </c>
      <c r="B134" s="26"/>
      <c r="C134" s="26"/>
      <c r="D134" s="26"/>
      <c r="E134" s="26" t="s">
        <v>4334</v>
      </c>
      <c r="F134" s="26" t="s">
        <v>4326</v>
      </c>
      <c r="G134" s="27" t="s">
        <v>1110</v>
      </c>
      <c r="H134" s="27" t="s">
        <v>1110</v>
      </c>
      <c r="I134" s="28" t="s">
        <v>4366</v>
      </c>
      <c r="J134" s="29" t="s">
        <v>3949</v>
      </c>
      <c r="K134" s="27" t="s">
        <v>1137</v>
      </c>
      <c r="L134" s="25">
        <v>1.0</v>
      </c>
      <c r="M134" s="27" t="s">
        <v>1137</v>
      </c>
      <c r="N134" s="30" t="s">
        <v>1174</v>
      </c>
      <c r="O134" s="26" t="str">
        <f t="shared" si="30"/>
        <v>กลุ่มงานเทคนิคการแพทย์และพยาธิวิทยาคลินิก</v>
      </c>
      <c r="P134" s="26" t="s">
        <v>4328</v>
      </c>
      <c r="Q134" s="26" t="str">
        <f t="shared" si="29"/>
        <v>กลุ่มงานเทคนิคการแพทย์และพยาธิวิทยาคลินิก</v>
      </c>
      <c r="R134" s="26" t="str">
        <f t="shared" si="31"/>
        <v>ภารกิจด้านบริการทุติยภูมิและตติยภูมิ</v>
      </c>
      <c r="S134" s="26" t="str">
        <f t="shared" si="16"/>
        <v>กลุ่มงานเทคนิคการแพทย์และพยาธิวิทยาคลินิก</v>
      </c>
      <c r="T134" s="26" t="s">
        <v>4329</v>
      </c>
      <c r="U134" s="26" t="s">
        <v>1302</v>
      </c>
      <c r="V134" s="25">
        <v>16.0</v>
      </c>
      <c r="W134" s="26" t="s">
        <v>4054</v>
      </c>
      <c r="X134" s="25" t="s">
        <v>3978</v>
      </c>
      <c r="Y134" s="31">
        <v>18.0</v>
      </c>
      <c r="Z134" s="31">
        <v>20.0</v>
      </c>
      <c r="AA134" s="31">
        <v>199.0</v>
      </c>
      <c r="AB134" s="31">
        <v>20.0</v>
      </c>
      <c r="AC134" s="32">
        <v>1.0</v>
      </c>
      <c r="AD134" s="26"/>
      <c r="AE134" s="26"/>
      <c r="AF134" s="32">
        <v>10.0</v>
      </c>
      <c r="AG134" s="33"/>
      <c r="AH134" s="46"/>
      <c r="AI134" s="40"/>
    </row>
    <row r="135" ht="38.25" hidden="1" customHeight="1">
      <c r="A135" s="32">
        <v>134.0</v>
      </c>
      <c r="B135" s="26" t="s">
        <v>1037</v>
      </c>
      <c r="C135" s="26" t="s">
        <v>4367</v>
      </c>
      <c r="D135" s="26" t="s">
        <v>4368</v>
      </c>
      <c r="E135" s="26" t="s">
        <v>4334</v>
      </c>
      <c r="F135" s="26" t="s">
        <v>4326</v>
      </c>
      <c r="G135" s="27" t="s">
        <v>1110</v>
      </c>
      <c r="H135" s="27" t="s">
        <v>1110</v>
      </c>
      <c r="I135" s="28" t="s">
        <v>4369</v>
      </c>
      <c r="J135" s="29" t="s">
        <v>3949</v>
      </c>
      <c r="K135" s="27" t="s">
        <v>1137</v>
      </c>
      <c r="L135" s="25">
        <v>1.0</v>
      </c>
      <c r="M135" s="27" t="s">
        <v>1137</v>
      </c>
      <c r="N135" s="30" t="s">
        <v>1174</v>
      </c>
      <c r="O135" s="26" t="str">
        <f t="shared" si="30"/>
        <v>กลุ่มงานเทคนิคการแพทย์และพยาธิวิทยาคลินิก</v>
      </c>
      <c r="P135" s="26" t="s">
        <v>4328</v>
      </c>
      <c r="Q135" s="26" t="str">
        <f t="shared" si="29"/>
        <v>กลุ่มงานเทคนิคการแพทย์และพยาธิวิทยาคลินิก</v>
      </c>
      <c r="R135" s="26" t="str">
        <f t="shared" si="31"/>
        <v>ภารกิจด้านบริการทุติยภูมิและตติยภูมิ</v>
      </c>
      <c r="S135" s="26" t="str">
        <f t="shared" si="16"/>
        <v>กลุ่มงานเทคนิคการแพทย์และพยาธิวิทยาคลินิก</v>
      </c>
      <c r="T135" s="26" t="s">
        <v>4329</v>
      </c>
      <c r="U135" s="26" t="s">
        <v>1302</v>
      </c>
      <c r="V135" s="25">
        <v>16.0</v>
      </c>
      <c r="W135" s="26" t="s">
        <v>4054</v>
      </c>
      <c r="X135" s="25" t="s">
        <v>3978</v>
      </c>
      <c r="Y135" s="31">
        <v>18.0</v>
      </c>
      <c r="Z135" s="31">
        <v>20.0</v>
      </c>
      <c r="AA135" s="31">
        <v>199.0</v>
      </c>
      <c r="AB135" s="31">
        <v>20.0</v>
      </c>
      <c r="AC135" s="32">
        <v>1.0</v>
      </c>
      <c r="AD135" s="26"/>
      <c r="AE135" s="26"/>
      <c r="AF135" s="32">
        <v>10.0</v>
      </c>
      <c r="AG135" s="37">
        <v>1.560101536252E12</v>
      </c>
      <c r="AH135" s="37" t="s">
        <v>1128</v>
      </c>
      <c r="AI135" s="44">
        <v>235472.0</v>
      </c>
    </row>
    <row r="136" ht="38.25" hidden="1" customHeight="1">
      <c r="A136" s="25">
        <v>135.0</v>
      </c>
      <c r="B136" s="26"/>
      <c r="C136" s="26"/>
      <c r="D136" s="26"/>
      <c r="E136" s="26" t="s">
        <v>4334</v>
      </c>
      <c r="F136" s="26" t="s">
        <v>4326</v>
      </c>
      <c r="G136" s="27" t="s">
        <v>1110</v>
      </c>
      <c r="H136" s="27" t="s">
        <v>1110</v>
      </c>
      <c r="I136" s="28" t="s">
        <v>4370</v>
      </c>
      <c r="J136" s="29" t="s">
        <v>3949</v>
      </c>
      <c r="K136" s="27" t="s">
        <v>1137</v>
      </c>
      <c r="L136" s="25">
        <v>1.0</v>
      </c>
      <c r="M136" s="27" t="s">
        <v>1137</v>
      </c>
      <c r="N136" s="30" t="s">
        <v>1174</v>
      </c>
      <c r="O136" s="26" t="str">
        <f t="shared" si="30"/>
        <v>กลุ่มงานเทคนิคการแพทย์และพยาธิวิทยาคลินิก</v>
      </c>
      <c r="P136" s="26" t="s">
        <v>4328</v>
      </c>
      <c r="Q136" s="26" t="str">
        <f t="shared" si="29"/>
        <v>กลุ่มงานเทคนิคการแพทย์และพยาธิวิทยาคลินิก</v>
      </c>
      <c r="R136" s="26" t="str">
        <f t="shared" si="31"/>
        <v>ภารกิจด้านบริการทุติยภูมิและตติยภูมิ</v>
      </c>
      <c r="S136" s="26" t="str">
        <f t="shared" si="16"/>
        <v>กลุ่มงานเทคนิคการแพทย์และพยาธิวิทยาคลินิก</v>
      </c>
      <c r="T136" s="26" t="s">
        <v>4329</v>
      </c>
      <c r="U136" s="26" t="s">
        <v>1302</v>
      </c>
      <c r="V136" s="25">
        <v>16.0</v>
      </c>
      <c r="W136" s="26" t="s">
        <v>4054</v>
      </c>
      <c r="X136" s="25" t="s">
        <v>3978</v>
      </c>
      <c r="Y136" s="31">
        <v>18.0</v>
      </c>
      <c r="Z136" s="31">
        <v>20.0</v>
      </c>
      <c r="AA136" s="31">
        <v>199.0</v>
      </c>
      <c r="AB136" s="31">
        <v>20.0</v>
      </c>
      <c r="AC136" s="32">
        <v>1.0</v>
      </c>
      <c r="AD136" s="26"/>
      <c r="AE136" s="26"/>
      <c r="AF136" s="32">
        <v>10.0</v>
      </c>
      <c r="AG136" s="33"/>
      <c r="AH136" s="33"/>
      <c r="AI136" s="34"/>
    </row>
    <row r="137" ht="38.25" hidden="1" customHeight="1">
      <c r="A137" s="32">
        <v>136.0</v>
      </c>
      <c r="B137" s="26" t="s">
        <v>2692</v>
      </c>
      <c r="C137" s="26" t="s">
        <v>4371</v>
      </c>
      <c r="D137" s="26" t="s">
        <v>4372</v>
      </c>
      <c r="E137" s="26" t="s">
        <v>4334</v>
      </c>
      <c r="F137" s="26" t="s">
        <v>4326</v>
      </c>
      <c r="G137" s="27" t="s">
        <v>1110</v>
      </c>
      <c r="H137" s="27" t="s">
        <v>1110</v>
      </c>
      <c r="I137" s="28" t="s">
        <v>4373</v>
      </c>
      <c r="J137" s="29" t="s">
        <v>3949</v>
      </c>
      <c r="K137" s="27" t="s">
        <v>1137</v>
      </c>
      <c r="L137" s="25">
        <v>1.0</v>
      </c>
      <c r="M137" s="27" t="s">
        <v>1137</v>
      </c>
      <c r="N137" s="30" t="s">
        <v>1174</v>
      </c>
      <c r="O137" s="26" t="str">
        <f t="shared" si="30"/>
        <v>กลุ่มงานเทคนิคการแพทย์และพยาธิวิทยาคลินิก</v>
      </c>
      <c r="P137" s="26" t="s">
        <v>4328</v>
      </c>
      <c r="Q137" s="26" t="str">
        <f t="shared" si="29"/>
        <v>กลุ่มงานเทคนิคการแพทย์และพยาธิวิทยาคลินิก</v>
      </c>
      <c r="R137" s="26" t="str">
        <f t="shared" si="31"/>
        <v>ภารกิจด้านบริการทุติยภูมิและตติยภูมิ</v>
      </c>
      <c r="S137" s="26" t="str">
        <f t="shared" si="16"/>
        <v>กลุ่มงานเทคนิคการแพทย์และพยาธิวิทยาคลินิก</v>
      </c>
      <c r="T137" s="26" t="s">
        <v>4329</v>
      </c>
      <c r="U137" s="26" t="s">
        <v>1302</v>
      </c>
      <c r="V137" s="25">
        <v>16.0</v>
      </c>
      <c r="W137" s="26" t="s">
        <v>4054</v>
      </c>
      <c r="X137" s="25" t="s">
        <v>3978</v>
      </c>
      <c r="Y137" s="31">
        <v>18.0</v>
      </c>
      <c r="Z137" s="31">
        <v>20.0</v>
      </c>
      <c r="AA137" s="31">
        <v>199.0</v>
      </c>
      <c r="AB137" s="31">
        <v>20.0</v>
      </c>
      <c r="AC137" s="32">
        <v>1.0</v>
      </c>
      <c r="AD137" s="26"/>
      <c r="AE137" s="26"/>
      <c r="AF137" s="32">
        <v>10.0</v>
      </c>
      <c r="AG137" s="33">
        <v>1.509966109009E12</v>
      </c>
      <c r="AH137" s="33" t="s">
        <v>1262</v>
      </c>
      <c r="AI137" s="40">
        <v>235431.0</v>
      </c>
    </row>
    <row r="138" ht="45.75" hidden="1" customHeight="1">
      <c r="A138" s="32"/>
      <c r="B138" s="26"/>
      <c r="C138" s="26"/>
      <c r="D138" s="26"/>
      <c r="E138" s="26" t="s">
        <v>4334</v>
      </c>
      <c r="F138" s="26" t="s">
        <v>4326</v>
      </c>
      <c r="G138" s="27" t="s">
        <v>4249</v>
      </c>
      <c r="H138" s="27" t="s">
        <v>1110</v>
      </c>
      <c r="I138" s="29">
        <v>107122.0</v>
      </c>
      <c r="J138" s="29" t="s">
        <v>1125</v>
      </c>
      <c r="K138" s="27" t="s">
        <v>1137</v>
      </c>
      <c r="L138" s="25">
        <v>1.0</v>
      </c>
      <c r="M138" s="27" t="s">
        <v>1137</v>
      </c>
      <c r="N138" s="30" t="s">
        <v>1174</v>
      </c>
      <c r="O138" s="26" t="s">
        <v>4327</v>
      </c>
      <c r="P138" s="26" t="s">
        <v>4328</v>
      </c>
      <c r="Q138" s="26" t="str">
        <f t="shared" si="29"/>
        <v>กลุ่มงานเทคนิคการแพทย์และพยาธิวิทยาคลินิก</v>
      </c>
      <c r="R138" s="26" t="s">
        <v>4054</v>
      </c>
      <c r="S138" s="26" t="str">
        <f t="shared" si="16"/>
        <v>กลุ่มงานเทคนิคการแพทย์และพยาธิวิทยาคลินิก</v>
      </c>
      <c r="T138" s="26" t="s">
        <v>4329</v>
      </c>
      <c r="U138" s="26" t="s">
        <v>1302</v>
      </c>
      <c r="V138" s="25">
        <v>16.0</v>
      </c>
      <c r="W138" s="26" t="s">
        <v>4054</v>
      </c>
      <c r="X138" s="25" t="s">
        <v>3978</v>
      </c>
      <c r="Y138" s="31">
        <v>18.0</v>
      </c>
      <c r="Z138" s="31">
        <v>20.0</v>
      </c>
      <c r="AA138" s="31">
        <v>199.0</v>
      </c>
      <c r="AB138" s="31">
        <v>20.0</v>
      </c>
      <c r="AC138" s="32">
        <v>0.0</v>
      </c>
      <c r="AD138" s="26" t="s">
        <v>4374</v>
      </c>
      <c r="AE138" s="26"/>
      <c r="AF138" s="32">
        <v>10.0</v>
      </c>
      <c r="AG138" s="65"/>
      <c r="AH138" s="65"/>
      <c r="AI138" s="66"/>
    </row>
    <row r="139" ht="45.75" hidden="1" customHeight="1">
      <c r="A139" s="25">
        <v>137.0</v>
      </c>
      <c r="B139" s="26" t="s">
        <v>2692</v>
      </c>
      <c r="C139" s="26" t="s">
        <v>4375</v>
      </c>
      <c r="D139" s="26" t="s">
        <v>4376</v>
      </c>
      <c r="E139" s="26" t="s">
        <v>4334</v>
      </c>
      <c r="F139" s="26" t="s">
        <v>4326</v>
      </c>
      <c r="G139" s="27" t="s">
        <v>1110</v>
      </c>
      <c r="H139" s="27" t="s">
        <v>1110</v>
      </c>
      <c r="I139" s="28" t="s">
        <v>4377</v>
      </c>
      <c r="J139" s="29" t="s">
        <v>3949</v>
      </c>
      <c r="K139" s="27" t="s">
        <v>1137</v>
      </c>
      <c r="L139" s="25">
        <v>1.0</v>
      </c>
      <c r="M139" s="27" t="s">
        <v>1137</v>
      </c>
      <c r="N139" s="30" t="s">
        <v>1174</v>
      </c>
      <c r="O139" s="26" t="str">
        <f t="shared" ref="O139:O144" si="32">+T139</f>
        <v>กลุ่มงานเทคนิคการแพทย์และพยาธิวิทยาคลินิก</v>
      </c>
      <c r="P139" s="26" t="s">
        <v>4328</v>
      </c>
      <c r="Q139" s="26" t="str">
        <f t="shared" si="29"/>
        <v>กลุ่มงานเทคนิคการแพทย์และพยาธิวิทยาคลินิก</v>
      </c>
      <c r="R139" s="26" t="str">
        <f t="shared" ref="R139:R144" si="33">+W139</f>
        <v>ภารกิจด้านบริการทุติยภูมิและตติยภูมิ</v>
      </c>
      <c r="S139" s="26" t="str">
        <f t="shared" si="16"/>
        <v>กลุ่มงานเทคนิคการแพทย์และพยาธิวิทยาคลินิก</v>
      </c>
      <c r="T139" s="26" t="s">
        <v>4329</v>
      </c>
      <c r="U139" s="26" t="s">
        <v>1302</v>
      </c>
      <c r="V139" s="25">
        <v>16.0</v>
      </c>
      <c r="W139" s="26" t="s">
        <v>4054</v>
      </c>
      <c r="X139" s="25" t="s">
        <v>3978</v>
      </c>
      <c r="Y139" s="31">
        <v>18.0</v>
      </c>
      <c r="Z139" s="31">
        <v>20.0</v>
      </c>
      <c r="AA139" s="31">
        <v>199.0</v>
      </c>
      <c r="AB139" s="31">
        <v>20.0</v>
      </c>
      <c r="AC139" s="32">
        <v>1.0</v>
      </c>
      <c r="AD139" s="26"/>
      <c r="AE139" s="26"/>
      <c r="AF139" s="32">
        <v>10.0</v>
      </c>
      <c r="AG139" s="37">
        <v>1.509963026528E12</v>
      </c>
      <c r="AH139" s="37" t="s">
        <v>1451</v>
      </c>
      <c r="AI139" s="44">
        <v>234610.0</v>
      </c>
    </row>
    <row r="140" ht="45.75" hidden="1" customHeight="1">
      <c r="A140" s="32">
        <v>138.0</v>
      </c>
      <c r="B140" s="26" t="s">
        <v>1037</v>
      </c>
      <c r="C140" s="26" t="s">
        <v>4378</v>
      </c>
      <c r="D140" s="26" t="s">
        <v>4379</v>
      </c>
      <c r="E140" s="26" t="s">
        <v>4334</v>
      </c>
      <c r="F140" s="26" t="s">
        <v>4326</v>
      </c>
      <c r="G140" s="27" t="s">
        <v>1110</v>
      </c>
      <c r="H140" s="27" t="s">
        <v>1110</v>
      </c>
      <c r="I140" s="29" t="s">
        <v>4380</v>
      </c>
      <c r="J140" s="29" t="s">
        <v>3963</v>
      </c>
      <c r="K140" s="27" t="s">
        <v>1137</v>
      </c>
      <c r="L140" s="25">
        <v>1.0</v>
      </c>
      <c r="M140" s="27" t="s">
        <v>1137</v>
      </c>
      <c r="N140" s="30" t="s">
        <v>1174</v>
      </c>
      <c r="O140" s="26" t="str">
        <f t="shared" si="32"/>
        <v>กลุ่มงานเทคนิคการแพทย์และพยาธิวิทยาคลินิก</v>
      </c>
      <c r="P140" s="26" t="s">
        <v>4328</v>
      </c>
      <c r="Q140" s="26" t="str">
        <f t="shared" si="29"/>
        <v>กลุ่มงานเทคนิคการแพทย์และพยาธิวิทยาคลินิก</v>
      </c>
      <c r="R140" s="26" t="str">
        <f t="shared" si="33"/>
        <v>ภารกิจด้านบริการทุติยภูมิและตติยภูมิ</v>
      </c>
      <c r="S140" s="26" t="str">
        <f t="shared" si="16"/>
        <v>กลุ่มงานเทคนิคการแพทย์และพยาธิวิทยาคลินิก</v>
      </c>
      <c r="T140" s="26" t="s">
        <v>4329</v>
      </c>
      <c r="U140" s="26" t="s">
        <v>1302</v>
      </c>
      <c r="V140" s="25">
        <v>16.0</v>
      </c>
      <c r="W140" s="26" t="s">
        <v>4054</v>
      </c>
      <c r="X140" s="25" t="s">
        <v>3978</v>
      </c>
      <c r="Y140" s="31">
        <v>18.0</v>
      </c>
      <c r="Z140" s="31">
        <v>20.0</v>
      </c>
      <c r="AA140" s="31">
        <v>199.0</v>
      </c>
      <c r="AB140" s="31">
        <v>20.0</v>
      </c>
      <c r="AC140" s="32">
        <v>1.0</v>
      </c>
      <c r="AD140" s="26"/>
      <c r="AE140" s="26"/>
      <c r="AF140" s="32">
        <v>10.0</v>
      </c>
      <c r="AG140" s="33">
        <v>1.509966231513E12</v>
      </c>
      <c r="AH140" s="33" t="s">
        <v>627</v>
      </c>
      <c r="AI140" s="40">
        <v>235593.0</v>
      </c>
    </row>
    <row r="141" ht="38.25" hidden="1" customHeight="1">
      <c r="A141" s="25">
        <v>139.0</v>
      </c>
      <c r="B141" s="26" t="s">
        <v>1037</v>
      </c>
      <c r="C141" s="26" t="s">
        <v>4381</v>
      </c>
      <c r="D141" s="26" t="s">
        <v>4382</v>
      </c>
      <c r="E141" s="26" t="s">
        <v>4383</v>
      </c>
      <c r="F141" s="26" t="s">
        <v>4384</v>
      </c>
      <c r="G141" s="27" t="s">
        <v>4220</v>
      </c>
      <c r="H141" s="27" t="s">
        <v>4253</v>
      </c>
      <c r="I141" s="29">
        <v>232410.0</v>
      </c>
      <c r="J141" s="29" t="s">
        <v>1125</v>
      </c>
      <c r="K141" s="27" t="s">
        <v>1137</v>
      </c>
      <c r="L141" s="25">
        <v>1.0</v>
      </c>
      <c r="M141" s="27" t="s">
        <v>1137</v>
      </c>
      <c r="N141" s="30" t="s">
        <v>1174</v>
      </c>
      <c r="O141" s="26" t="str">
        <f t="shared" si="32"/>
        <v>กลุ่มงานพยาธิวิทยากายวิภาค</v>
      </c>
      <c r="P141" s="26" t="s">
        <v>4328</v>
      </c>
      <c r="Q141" s="26" t="str">
        <f t="shared" si="29"/>
        <v>กลุ่มงานพยาธิวิทยากายวิภาค</v>
      </c>
      <c r="R141" s="26" t="str">
        <f t="shared" si="33"/>
        <v>ภารกิจด้านบริการทุติยภูมิและตติยภูมิ</v>
      </c>
      <c r="S141" s="26" t="str">
        <f t="shared" si="16"/>
        <v>กลุ่มงานพยาธิวิทยากายวิภาค</v>
      </c>
      <c r="T141" s="26" t="s">
        <v>4385</v>
      </c>
      <c r="U141" s="26" t="s">
        <v>1302</v>
      </c>
      <c r="V141" s="25">
        <v>10.0</v>
      </c>
      <c r="W141" s="26" t="s">
        <v>4054</v>
      </c>
      <c r="X141" s="25" t="s">
        <v>3978</v>
      </c>
      <c r="Y141" s="31">
        <v>4.0</v>
      </c>
      <c r="Z141" s="31">
        <v>4.0</v>
      </c>
      <c r="AA141" s="31">
        <v>199.0</v>
      </c>
      <c r="AB141" s="31">
        <v>20.0</v>
      </c>
      <c r="AC141" s="32">
        <v>1.0</v>
      </c>
      <c r="AD141" s="26"/>
      <c r="AE141" s="26"/>
      <c r="AF141" s="32">
        <v>10.0</v>
      </c>
      <c r="AG141" s="37">
        <v>8.502084010676E12</v>
      </c>
      <c r="AH141" s="37" t="s">
        <v>3046</v>
      </c>
      <c r="AI141" s="44">
        <v>231020.0</v>
      </c>
    </row>
    <row r="142" ht="38.25" hidden="1" customHeight="1">
      <c r="A142" s="25">
        <v>140.0</v>
      </c>
      <c r="B142" s="26" t="s">
        <v>1037</v>
      </c>
      <c r="C142" s="26" t="s">
        <v>4386</v>
      </c>
      <c r="D142" s="26" t="s">
        <v>4387</v>
      </c>
      <c r="E142" s="26" t="s">
        <v>4383</v>
      </c>
      <c r="F142" s="26" t="s">
        <v>4384</v>
      </c>
      <c r="G142" s="27" t="s">
        <v>4220</v>
      </c>
      <c r="H142" s="27" t="s">
        <v>4253</v>
      </c>
      <c r="I142" s="29">
        <v>232411.0</v>
      </c>
      <c r="J142" s="29" t="s">
        <v>1125</v>
      </c>
      <c r="K142" s="27" t="s">
        <v>1137</v>
      </c>
      <c r="L142" s="25">
        <v>1.0</v>
      </c>
      <c r="M142" s="27" t="s">
        <v>1137</v>
      </c>
      <c r="N142" s="30" t="s">
        <v>1174</v>
      </c>
      <c r="O142" s="26" t="str">
        <f t="shared" si="32"/>
        <v>กลุ่มงานพยาธิวิทยากายวิภาค</v>
      </c>
      <c r="P142" s="26" t="s">
        <v>4328</v>
      </c>
      <c r="Q142" s="26" t="str">
        <f t="shared" si="29"/>
        <v>กลุ่มงานพยาธิวิทยากายวิภาค</v>
      </c>
      <c r="R142" s="26" t="str">
        <f t="shared" si="33"/>
        <v>ภารกิจด้านบริการทุติยภูมิและตติยภูมิ</v>
      </c>
      <c r="S142" s="26" t="str">
        <f t="shared" si="16"/>
        <v>กลุ่มงานพยาธิวิทยากายวิภาค</v>
      </c>
      <c r="T142" s="26" t="s">
        <v>4385</v>
      </c>
      <c r="U142" s="26" t="s">
        <v>1302</v>
      </c>
      <c r="V142" s="25">
        <v>10.0</v>
      </c>
      <c r="W142" s="26" t="s">
        <v>4054</v>
      </c>
      <c r="X142" s="25" t="s">
        <v>3978</v>
      </c>
      <c r="Y142" s="31">
        <v>4.0</v>
      </c>
      <c r="Z142" s="31">
        <v>4.0</v>
      </c>
      <c r="AA142" s="31">
        <v>199.0</v>
      </c>
      <c r="AB142" s="31">
        <v>20.0</v>
      </c>
      <c r="AC142" s="32">
        <v>1.0</v>
      </c>
      <c r="AD142" s="26"/>
      <c r="AE142" s="26"/>
      <c r="AF142" s="32">
        <v>10.0</v>
      </c>
      <c r="AG142" s="33">
        <v>1.509900426669E12</v>
      </c>
      <c r="AH142" s="33" t="s">
        <v>3085</v>
      </c>
      <c r="AI142" s="34" t="s">
        <v>4388</v>
      </c>
    </row>
    <row r="143" ht="38.25" hidden="1" customHeight="1">
      <c r="A143" s="32">
        <v>141.0</v>
      </c>
      <c r="B143" s="26"/>
      <c r="C143" s="26"/>
      <c r="D143" s="26"/>
      <c r="E143" s="26" t="s">
        <v>4383</v>
      </c>
      <c r="F143" s="26" t="s">
        <v>4384</v>
      </c>
      <c r="G143" s="27" t="s">
        <v>4249</v>
      </c>
      <c r="H143" s="27" t="s">
        <v>1110</v>
      </c>
      <c r="I143" s="29">
        <v>114831.0</v>
      </c>
      <c r="J143" s="29" t="s">
        <v>1125</v>
      </c>
      <c r="K143" s="27" t="s">
        <v>1137</v>
      </c>
      <c r="L143" s="25">
        <v>1.0</v>
      </c>
      <c r="M143" s="27" t="s">
        <v>1137</v>
      </c>
      <c r="N143" s="30" t="s">
        <v>1174</v>
      </c>
      <c r="O143" s="26" t="str">
        <f t="shared" si="32"/>
        <v>กลุ่มงานพยาธิวิทยากายวิภาค</v>
      </c>
      <c r="P143" s="26" t="s">
        <v>4328</v>
      </c>
      <c r="Q143" s="26" t="str">
        <f t="shared" si="29"/>
        <v>กลุ่มงานพยาธิวิทยากายวิภาค</v>
      </c>
      <c r="R143" s="26" t="str">
        <f t="shared" si="33"/>
        <v>ภารกิจด้านบริการทุติยภูมิและตติยภูมิ</v>
      </c>
      <c r="S143" s="26" t="str">
        <f t="shared" si="16"/>
        <v>กลุ่มงานพยาธิวิทยากายวิภาค</v>
      </c>
      <c r="T143" s="26" t="s">
        <v>4385</v>
      </c>
      <c r="U143" s="26" t="s">
        <v>1302</v>
      </c>
      <c r="V143" s="25">
        <v>10.0</v>
      </c>
      <c r="W143" s="26" t="s">
        <v>4054</v>
      </c>
      <c r="X143" s="25" t="s">
        <v>3978</v>
      </c>
      <c r="Y143" s="31">
        <v>4.0</v>
      </c>
      <c r="Z143" s="31">
        <v>4.0</v>
      </c>
      <c r="AA143" s="31">
        <v>199.0</v>
      </c>
      <c r="AB143" s="31">
        <v>20.0</v>
      </c>
      <c r="AC143" s="32">
        <v>0.0</v>
      </c>
      <c r="AD143" s="26" t="s">
        <v>4389</v>
      </c>
      <c r="AE143" s="26"/>
      <c r="AF143" s="32">
        <v>10.0</v>
      </c>
      <c r="AG143" s="65"/>
      <c r="AH143" s="65"/>
      <c r="AI143" s="66"/>
    </row>
    <row r="144" ht="38.25" hidden="1" customHeight="1">
      <c r="A144" s="32">
        <v>141.0</v>
      </c>
      <c r="B144" s="26" t="s">
        <v>1037</v>
      </c>
      <c r="C144" s="26" t="s">
        <v>4390</v>
      </c>
      <c r="D144" s="26" t="s">
        <v>4391</v>
      </c>
      <c r="E144" s="26" t="s">
        <v>4383</v>
      </c>
      <c r="F144" s="26" t="s">
        <v>4384</v>
      </c>
      <c r="G144" s="27" t="s">
        <v>4249</v>
      </c>
      <c r="H144" s="27" t="s">
        <v>1110</v>
      </c>
      <c r="I144" s="90">
        <v>114831.0</v>
      </c>
      <c r="J144" s="29" t="s">
        <v>1125</v>
      </c>
      <c r="K144" s="27" t="s">
        <v>1137</v>
      </c>
      <c r="L144" s="25">
        <v>1.0</v>
      </c>
      <c r="M144" s="27" t="s">
        <v>1137</v>
      </c>
      <c r="N144" s="30" t="s">
        <v>1174</v>
      </c>
      <c r="O144" s="26" t="str">
        <f t="shared" si="32"/>
        <v>กลุ่มงานพยาธิวิทยากายวิภาค</v>
      </c>
      <c r="P144" s="26" t="s">
        <v>4328</v>
      </c>
      <c r="Q144" s="26" t="str">
        <f t="shared" si="29"/>
        <v>กลุ่มงานพยาธิวิทยากายวิภาค</v>
      </c>
      <c r="R144" s="26" t="str">
        <f t="shared" si="33"/>
        <v>ภารกิจด้านบริการทุติยภูมิและตติยภูมิ</v>
      </c>
      <c r="S144" s="26" t="str">
        <f t="shared" si="16"/>
        <v>กลุ่มงานพยาธิวิทยากายวิภาค</v>
      </c>
      <c r="T144" s="26" t="s">
        <v>4385</v>
      </c>
      <c r="U144" s="26" t="s">
        <v>1302</v>
      </c>
      <c r="V144" s="25">
        <v>10.0</v>
      </c>
      <c r="W144" s="26" t="s">
        <v>4054</v>
      </c>
      <c r="X144" s="25" t="s">
        <v>3978</v>
      </c>
      <c r="Y144" s="31">
        <v>4.0</v>
      </c>
      <c r="Z144" s="31">
        <v>4.0</v>
      </c>
      <c r="AA144" s="31">
        <v>199.0</v>
      </c>
      <c r="AB144" s="31">
        <v>20.0</v>
      </c>
      <c r="AC144" s="32">
        <v>1.0</v>
      </c>
      <c r="AD144" s="64"/>
      <c r="AE144" s="26"/>
      <c r="AF144" s="32">
        <v>10.0</v>
      </c>
      <c r="AG144" s="33">
        <v>1.500700187603E12</v>
      </c>
      <c r="AH144" s="46"/>
      <c r="AI144" s="40">
        <v>233454.0</v>
      </c>
    </row>
    <row r="145" ht="38.25" hidden="1" customHeight="1">
      <c r="A145" s="25">
        <v>142.0</v>
      </c>
      <c r="B145" s="26" t="s">
        <v>806</v>
      </c>
      <c r="C145" s="26" t="s">
        <v>4392</v>
      </c>
      <c r="D145" s="26" t="s">
        <v>4393</v>
      </c>
      <c r="E145" s="26" t="s">
        <v>4394</v>
      </c>
      <c r="F145" s="26" t="s">
        <v>4395</v>
      </c>
      <c r="G145" s="27" t="s">
        <v>1099</v>
      </c>
      <c r="H145" s="27" t="s">
        <v>1110</v>
      </c>
      <c r="I145" s="29">
        <v>183756.0</v>
      </c>
      <c r="J145" s="29" t="s">
        <v>1125</v>
      </c>
      <c r="K145" s="27" t="s">
        <v>1137</v>
      </c>
      <c r="L145" s="25">
        <v>1.0</v>
      </c>
      <c r="M145" s="27" t="s">
        <v>1137</v>
      </c>
      <c r="N145" s="59" t="s">
        <v>3981</v>
      </c>
      <c r="O145" s="26" t="s">
        <v>4396</v>
      </c>
      <c r="P145" s="26" t="s">
        <v>4397</v>
      </c>
      <c r="Q145" s="26" t="s">
        <v>4398</v>
      </c>
      <c r="R145" s="26" t="s">
        <v>3991</v>
      </c>
      <c r="S145" s="26" t="str">
        <f t="shared" si="16"/>
        <v>กลุ่มงานเวชศาสตร์ฉุกเฉิน</v>
      </c>
      <c r="T145" s="26" t="s">
        <v>4399</v>
      </c>
      <c r="U145" s="26" t="s">
        <v>1302</v>
      </c>
      <c r="V145" s="25">
        <v>1.0</v>
      </c>
      <c r="W145" s="26" t="s">
        <v>4054</v>
      </c>
      <c r="X145" s="25" t="s">
        <v>3978</v>
      </c>
      <c r="Y145" s="31">
        <v>12.0</v>
      </c>
      <c r="Z145" s="31">
        <v>17.0</v>
      </c>
      <c r="AA145" s="31">
        <v>199.0</v>
      </c>
      <c r="AB145" s="31">
        <v>12.0</v>
      </c>
      <c r="AC145" s="32">
        <v>1.0</v>
      </c>
      <c r="AD145" s="26"/>
      <c r="AE145" s="26"/>
      <c r="AF145" s="32">
        <v>12.0</v>
      </c>
      <c r="AG145" s="33">
        <v>1.580200062658E12</v>
      </c>
      <c r="AH145" s="46"/>
      <c r="AI145" s="40">
        <v>233123.0</v>
      </c>
    </row>
    <row r="146" ht="38.25" hidden="1" customHeight="1">
      <c r="A146" s="25">
        <v>143.0</v>
      </c>
      <c r="B146" s="26" t="s">
        <v>1037</v>
      </c>
      <c r="C146" s="26" t="s">
        <v>4400</v>
      </c>
      <c r="D146" s="26" t="s">
        <v>4401</v>
      </c>
      <c r="E146" s="26" t="s">
        <v>4394</v>
      </c>
      <c r="F146" s="26" t="s">
        <v>4395</v>
      </c>
      <c r="G146" s="27" t="s">
        <v>1099</v>
      </c>
      <c r="H146" s="27" t="s">
        <v>1110</v>
      </c>
      <c r="I146" s="29">
        <v>183757.0</v>
      </c>
      <c r="J146" s="29" t="s">
        <v>1125</v>
      </c>
      <c r="K146" s="27" t="s">
        <v>1137</v>
      </c>
      <c r="L146" s="25">
        <v>1.0</v>
      </c>
      <c r="M146" s="27" t="s">
        <v>1137</v>
      </c>
      <c r="N146" s="59" t="s">
        <v>3981</v>
      </c>
      <c r="O146" s="26" t="s">
        <v>4396</v>
      </c>
      <c r="P146" s="26" t="s">
        <v>4397</v>
      </c>
      <c r="Q146" s="26" t="s">
        <v>4398</v>
      </c>
      <c r="R146" s="26" t="s">
        <v>3991</v>
      </c>
      <c r="S146" s="26" t="str">
        <f t="shared" si="16"/>
        <v>กลุ่มงานเวชศาสตร์ฉุกเฉิน</v>
      </c>
      <c r="T146" s="26" t="s">
        <v>4399</v>
      </c>
      <c r="U146" s="26" t="s">
        <v>1302</v>
      </c>
      <c r="V146" s="25">
        <v>1.0</v>
      </c>
      <c r="W146" s="26" t="s">
        <v>4054</v>
      </c>
      <c r="X146" s="25" t="s">
        <v>3978</v>
      </c>
      <c r="Y146" s="31">
        <v>12.0</v>
      </c>
      <c r="Z146" s="31">
        <v>17.0</v>
      </c>
      <c r="AA146" s="31">
        <v>199.0</v>
      </c>
      <c r="AB146" s="31">
        <v>12.0</v>
      </c>
      <c r="AC146" s="32">
        <v>1.0</v>
      </c>
      <c r="AD146" s="26"/>
      <c r="AE146" s="26"/>
      <c r="AF146" s="32">
        <v>12.0</v>
      </c>
      <c r="AG146" s="37">
        <v>1.549900403375E12</v>
      </c>
      <c r="AH146" s="61"/>
      <c r="AI146" s="44">
        <v>233120.0</v>
      </c>
    </row>
    <row r="147" ht="38.25" hidden="1" customHeight="1">
      <c r="A147" s="32">
        <v>144.0</v>
      </c>
      <c r="B147" s="26"/>
      <c r="C147" s="26"/>
      <c r="D147" s="26"/>
      <c r="E147" s="26" t="s">
        <v>4394</v>
      </c>
      <c r="F147" s="26" t="s">
        <v>4395</v>
      </c>
      <c r="G147" s="27" t="s">
        <v>1099</v>
      </c>
      <c r="H147" s="27" t="s">
        <v>1110</v>
      </c>
      <c r="I147" s="29">
        <v>194103.0</v>
      </c>
      <c r="J147" s="29" t="s">
        <v>1125</v>
      </c>
      <c r="K147" s="27" t="s">
        <v>1137</v>
      </c>
      <c r="L147" s="25">
        <v>1.0</v>
      </c>
      <c r="M147" s="27" t="s">
        <v>1137</v>
      </c>
      <c r="N147" s="30" t="s">
        <v>1174</v>
      </c>
      <c r="O147" s="26" t="s">
        <v>4396</v>
      </c>
      <c r="P147" s="26" t="s">
        <v>4397</v>
      </c>
      <c r="Q147" s="26" t="s">
        <v>4398</v>
      </c>
      <c r="R147" s="26" t="s">
        <v>3991</v>
      </c>
      <c r="S147" s="26" t="str">
        <f t="shared" si="16"/>
        <v>กลุ่มงานเวชศาสตร์ฉุกเฉิน</v>
      </c>
      <c r="T147" s="26" t="s">
        <v>4399</v>
      </c>
      <c r="U147" s="26" t="s">
        <v>1302</v>
      </c>
      <c r="V147" s="25">
        <v>1.0</v>
      </c>
      <c r="W147" s="26" t="s">
        <v>4054</v>
      </c>
      <c r="X147" s="25" t="s">
        <v>3978</v>
      </c>
      <c r="Y147" s="31">
        <v>12.0</v>
      </c>
      <c r="Z147" s="31">
        <v>17.0</v>
      </c>
      <c r="AA147" s="31">
        <v>199.0</v>
      </c>
      <c r="AB147" s="31">
        <v>12.0</v>
      </c>
      <c r="AC147" s="32">
        <v>0.0</v>
      </c>
      <c r="AD147" s="64" t="s">
        <v>4402</v>
      </c>
      <c r="AE147" s="26"/>
      <c r="AF147" s="32">
        <v>12.0</v>
      </c>
      <c r="AG147" s="65"/>
      <c r="AH147" s="65"/>
      <c r="AI147" s="66"/>
    </row>
    <row r="148" ht="38.25" hidden="1" customHeight="1">
      <c r="A148" s="25">
        <v>145.0</v>
      </c>
      <c r="B148" s="82"/>
      <c r="C148" s="82"/>
      <c r="D148" s="82"/>
      <c r="E148" s="82" t="s">
        <v>4394</v>
      </c>
      <c r="F148" s="82" t="s">
        <v>4395</v>
      </c>
      <c r="G148" s="83" t="s">
        <v>1099</v>
      </c>
      <c r="H148" s="83" t="s">
        <v>1110</v>
      </c>
      <c r="I148" s="84">
        <v>194176.0</v>
      </c>
      <c r="J148" s="84" t="s">
        <v>1125</v>
      </c>
      <c r="K148" s="83" t="s">
        <v>1137</v>
      </c>
      <c r="L148" s="85">
        <v>1.0</v>
      </c>
      <c r="M148" s="27" t="s">
        <v>1137</v>
      </c>
      <c r="N148" s="91" t="s">
        <v>1174</v>
      </c>
      <c r="O148" s="82" t="s">
        <v>4396</v>
      </c>
      <c r="P148" s="82" t="s">
        <v>4397</v>
      </c>
      <c r="Q148" s="82" t="s">
        <v>4398</v>
      </c>
      <c r="R148" s="82" t="s">
        <v>3991</v>
      </c>
      <c r="S148" s="82" t="str">
        <f t="shared" si="16"/>
        <v>กลุ่มงานเวชศาสตร์ฉุกเฉิน</v>
      </c>
      <c r="T148" s="82" t="s">
        <v>4399</v>
      </c>
      <c r="U148" s="26" t="s">
        <v>1302</v>
      </c>
      <c r="V148" s="85">
        <v>1.0</v>
      </c>
      <c r="W148" s="82" t="s">
        <v>4054</v>
      </c>
      <c r="X148" s="85" t="s">
        <v>3978</v>
      </c>
      <c r="Y148" s="87">
        <v>12.0</v>
      </c>
      <c r="Z148" s="87">
        <v>17.0</v>
      </c>
      <c r="AA148" s="87">
        <v>199.0</v>
      </c>
      <c r="AB148" s="87">
        <v>12.0</v>
      </c>
      <c r="AC148" s="88">
        <v>0.0</v>
      </c>
      <c r="AD148" s="92" t="s">
        <v>4403</v>
      </c>
      <c r="AE148" s="82"/>
      <c r="AF148" s="88">
        <v>12.0</v>
      </c>
      <c r="AG148" s="65"/>
      <c r="AH148" s="65"/>
      <c r="AI148" s="66"/>
    </row>
    <row r="149" ht="38.25" hidden="1" customHeight="1">
      <c r="A149" s="25">
        <v>146.0</v>
      </c>
      <c r="B149" s="26" t="s">
        <v>2692</v>
      </c>
      <c r="C149" s="26" t="s">
        <v>4404</v>
      </c>
      <c r="D149" s="26" t="s">
        <v>4405</v>
      </c>
      <c r="E149" s="26" t="s">
        <v>4394</v>
      </c>
      <c r="F149" s="26" t="s">
        <v>4395</v>
      </c>
      <c r="G149" s="27" t="s">
        <v>1110</v>
      </c>
      <c r="H149" s="27" t="s">
        <v>1110</v>
      </c>
      <c r="I149" s="29">
        <v>4368.0</v>
      </c>
      <c r="J149" s="29" t="s">
        <v>1535</v>
      </c>
      <c r="K149" s="27" t="s">
        <v>1137</v>
      </c>
      <c r="L149" s="25">
        <v>1.0</v>
      </c>
      <c r="M149" s="27" t="s">
        <v>1137</v>
      </c>
      <c r="N149" s="59" t="s">
        <v>3981</v>
      </c>
      <c r="O149" s="26" t="s">
        <v>4396</v>
      </c>
      <c r="P149" s="26" t="s">
        <v>4397</v>
      </c>
      <c r="Q149" s="26" t="s">
        <v>4398</v>
      </c>
      <c r="R149" s="26" t="s">
        <v>3991</v>
      </c>
      <c r="S149" s="26" t="str">
        <f t="shared" si="16"/>
        <v>กลุ่มงานเวชศาสตร์ฉุกเฉิน</v>
      </c>
      <c r="T149" s="26" t="s">
        <v>4399</v>
      </c>
      <c r="U149" s="26" t="s">
        <v>1302</v>
      </c>
      <c r="V149" s="25">
        <v>1.0</v>
      </c>
      <c r="W149" s="26" t="s">
        <v>4054</v>
      </c>
      <c r="X149" s="25" t="s">
        <v>3978</v>
      </c>
      <c r="Y149" s="31">
        <v>12.0</v>
      </c>
      <c r="Z149" s="31">
        <v>17.0</v>
      </c>
      <c r="AA149" s="31">
        <v>199.0</v>
      </c>
      <c r="AB149" s="31">
        <v>12.0</v>
      </c>
      <c r="AC149" s="32">
        <v>1.0</v>
      </c>
      <c r="AD149" s="26"/>
      <c r="AE149" s="26"/>
      <c r="AF149" s="32">
        <v>12.0</v>
      </c>
      <c r="AG149" s="33">
        <v>1.510100157461E12</v>
      </c>
      <c r="AH149" s="33" t="s">
        <v>3220</v>
      </c>
      <c r="AI149" s="34" t="s">
        <v>4406</v>
      </c>
    </row>
    <row r="150" ht="38.25" hidden="1" customHeight="1">
      <c r="A150" s="32">
        <v>147.0</v>
      </c>
      <c r="B150" s="26" t="s">
        <v>1037</v>
      </c>
      <c r="C150" s="26" t="s">
        <v>4407</v>
      </c>
      <c r="D150" s="26" t="s">
        <v>4408</v>
      </c>
      <c r="E150" s="26" t="s">
        <v>4394</v>
      </c>
      <c r="F150" s="26" t="s">
        <v>4395</v>
      </c>
      <c r="G150" s="27" t="s">
        <v>1110</v>
      </c>
      <c r="H150" s="27" t="s">
        <v>1110</v>
      </c>
      <c r="I150" s="29">
        <v>4370.0</v>
      </c>
      <c r="J150" s="29" t="s">
        <v>1535</v>
      </c>
      <c r="K150" s="27" t="s">
        <v>1137</v>
      </c>
      <c r="L150" s="25">
        <v>1.0</v>
      </c>
      <c r="M150" s="27" t="s">
        <v>1137</v>
      </c>
      <c r="N150" s="59" t="s">
        <v>3981</v>
      </c>
      <c r="O150" s="26" t="s">
        <v>4396</v>
      </c>
      <c r="P150" s="26" t="s">
        <v>4397</v>
      </c>
      <c r="Q150" s="26" t="s">
        <v>4398</v>
      </c>
      <c r="R150" s="26" t="s">
        <v>3991</v>
      </c>
      <c r="S150" s="26" t="str">
        <f t="shared" si="16"/>
        <v>กลุ่มงานเวชศาสตร์ฉุกเฉิน</v>
      </c>
      <c r="T150" s="26" t="s">
        <v>4399</v>
      </c>
      <c r="U150" s="26" t="s">
        <v>1302</v>
      </c>
      <c r="V150" s="25">
        <v>1.0</v>
      </c>
      <c r="W150" s="26" t="s">
        <v>4054</v>
      </c>
      <c r="X150" s="25" t="s">
        <v>3978</v>
      </c>
      <c r="Y150" s="31">
        <v>12.0</v>
      </c>
      <c r="Z150" s="31">
        <v>17.0</v>
      </c>
      <c r="AA150" s="31">
        <v>199.0</v>
      </c>
      <c r="AB150" s="31">
        <v>12.0</v>
      </c>
      <c r="AC150" s="32">
        <v>1.0</v>
      </c>
      <c r="AD150" s="26"/>
      <c r="AE150" s="26"/>
      <c r="AF150" s="32">
        <v>12.0</v>
      </c>
      <c r="AG150" s="37">
        <v>1.500300170487E12</v>
      </c>
      <c r="AH150" s="37" t="s">
        <v>2993</v>
      </c>
      <c r="AI150" s="38" t="s">
        <v>4409</v>
      </c>
    </row>
    <row r="151" ht="38.25" hidden="1" customHeight="1">
      <c r="A151" s="25">
        <v>148.0</v>
      </c>
      <c r="B151" s="26" t="s">
        <v>1037</v>
      </c>
      <c r="C151" s="26" t="s">
        <v>4410</v>
      </c>
      <c r="D151" s="26" t="s">
        <v>4411</v>
      </c>
      <c r="E151" s="26" t="s">
        <v>4394</v>
      </c>
      <c r="F151" s="26" t="s">
        <v>4395</v>
      </c>
      <c r="G151" s="27" t="s">
        <v>1110</v>
      </c>
      <c r="H151" s="27" t="s">
        <v>1110</v>
      </c>
      <c r="I151" s="29">
        <v>4369.0</v>
      </c>
      <c r="J151" s="29" t="s">
        <v>1535</v>
      </c>
      <c r="K151" s="27" t="s">
        <v>1137</v>
      </c>
      <c r="L151" s="25">
        <v>1.0</v>
      </c>
      <c r="M151" s="27" t="s">
        <v>1137</v>
      </c>
      <c r="N151" s="59" t="s">
        <v>3981</v>
      </c>
      <c r="O151" s="26" t="s">
        <v>4396</v>
      </c>
      <c r="P151" s="26" t="s">
        <v>4397</v>
      </c>
      <c r="Q151" s="26" t="s">
        <v>4398</v>
      </c>
      <c r="R151" s="26" t="s">
        <v>3991</v>
      </c>
      <c r="S151" s="26" t="str">
        <f t="shared" si="16"/>
        <v>กลุ่มงานเวชศาสตร์ฉุกเฉิน</v>
      </c>
      <c r="T151" s="26" t="s">
        <v>4399</v>
      </c>
      <c r="U151" s="26" t="s">
        <v>1302</v>
      </c>
      <c r="V151" s="25">
        <v>1.0</v>
      </c>
      <c r="W151" s="26" t="s">
        <v>4054</v>
      </c>
      <c r="X151" s="25" t="s">
        <v>3978</v>
      </c>
      <c r="Y151" s="31">
        <v>12.0</v>
      </c>
      <c r="Z151" s="31">
        <v>17.0</v>
      </c>
      <c r="AA151" s="31">
        <v>199.0</v>
      </c>
      <c r="AB151" s="31">
        <v>12.0</v>
      </c>
      <c r="AC151" s="32">
        <v>1.0</v>
      </c>
      <c r="AD151" s="26"/>
      <c r="AE151" s="26"/>
      <c r="AF151" s="32">
        <v>12.0</v>
      </c>
      <c r="AG151" s="33">
        <v>3.50110022422E12</v>
      </c>
      <c r="AH151" s="33" t="s">
        <v>946</v>
      </c>
      <c r="AI151" s="40">
        <v>228742.0</v>
      </c>
    </row>
    <row r="152" ht="38.25" hidden="1" customHeight="1">
      <c r="A152" s="25">
        <v>149.0</v>
      </c>
      <c r="B152" s="26" t="s">
        <v>1037</v>
      </c>
      <c r="C152" s="26" t="s">
        <v>4229</v>
      </c>
      <c r="D152" s="26" t="s">
        <v>4412</v>
      </c>
      <c r="E152" s="26" t="s">
        <v>4394</v>
      </c>
      <c r="F152" s="26" t="s">
        <v>4395</v>
      </c>
      <c r="G152" s="27" t="s">
        <v>1110</v>
      </c>
      <c r="H152" s="27" t="s">
        <v>1110</v>
      </c>
      <c r="I152" s="29">
        <v>4371.0</v>
      </c>
      <c r="J152" s="29" t="s">
        <v>1535</v>
      </c>
      <c r="K152" s="27" t="s">
        <v>1137</v>
      </c>
      <c r="L152" s="25">
        <v>1.0</v>
      </c>
      <c r="M152" s="27" t="s">
        <v>1137</v>
      </c>
      <c r="N152" s="59" t="s">
        <v>3981</v>
      </c>
      <c r="O152" s="26" t="s">
        <v>4396</v>
      </c>
      <c r="P152" s="26" t="s">
        <v>4397</v>
      </c>
      <c r="Q152" s="26" t="s">
        <v>4398</v>
      </c>
      <c r="R152" s="26" t="s">
        <v>3991</v>
      </c>
      <c r="S152" s="26" t="str">
        <f t="shared" si="16"/>
        <v>กลุ่มงานเวชศาสตร์ฉุกเฉิน</v>
      </c>
      <c r="T152" s="26" t="s">
        <v>4399</v>
      </c>
      <c r="U152" s="26" t="s">
        <v>1302</v>
      </c>
      <c r="V152" s="25">
        <v>1.0</v>
      </c>
      <c r="W152" s="26" t="s">
        <v>4054</v>
      </c>
      <c r="X152" s="25" t="s">
        <v>3978</v>
      </c>
      <c r="Y152" s="31">
        <v>12.0</v>
      </c>
      <c r="Z152" s="31">
        <v>17.0</v>
      </c>
      <c r="AA152" s="31">
        <v>199.0</v>
      </c>
      <c r="AB152" s="31">
        <v>12.0</v>
      </c>
      <c r="AC152" s="32">
        <v>1.0</v>
      </c>
      <c r="AD152" s="26"/>
      <c r="AE152" s="26"/>
      <c r="AF152" s="32">
        <v>12.0</v>
      </c>
      <c r="AG152" s="37">
        <v>1.500201225739E12</v>
      </c>
      <c r="AH152" s="37" t="s">
        <v>1912</v>
      </c>
      <c r="AI152" s="38" t="s">
        <v>4413</v>
      </c>
    </row>
    <row r="153" ht="38.25" hidden="1" customHeight="1">
      <c r="A153" s="32">
        <v>150.0</v>
      </c>
      <c r="B153" s="26" t="s">
        <v>1037</v>
      </c>
      <c r="C153" s="26" t="s">
        <v>4414</v>
      </c>
      <c r="D153" s="26" t="s">
        <v>4415</v>
      </c>
      <c r="E153" s="26" t="s">
        <v>4394</v>
      </c>
      <c r="F153" s="26" t="s">
        <v>4395</v>
      </c>
      <c r="G153" s="27" t="s">
        <v>1110</v>
      </c>
      <c r="H153" s="27" t="s">
        <v>1110</v>
      </c>
      <c r="I153" s="29">
        <v>4372.0</v>
      </c>
      <c r="J153" s="29" t="s">
        <v>1535</v>
      </c>
      <c r="K153" s="27" t="s">
        <v>1137</v>
      </c>
      <c r="L153" s="25">
        <v>1.0</v>
      </c>
      <c r="M153" s="27" t="s">
        <v>1137</v>
      </c>
      <c r="N153" s="59" t="s">
        <v>3981</v>
      </c>
      <c r="O153" s="26" t="s">
        <v>4396</v>
      </c>
      <c r="P153" s="26" t="s">
        <v>4397</v>
      </c>
      <c r="Q153" s="26" t="s">
        <v>4398</v>
      </c>
      <c r="R153" s="26" t="s">
        <v>3991</v>
      </c>
      <c r="S153" s="26" t="str">
        <f t="shared" si="16"/>
        <v>กลุ่มงานเวชศาสตร์ฉุกเฉิน</v>
      </c>
      <c r="T153" s="26" t="s">
        <v>4399</v>
      </c>
      <c r="U153" s="26" t="s">
        <v>1302</v>
      </c>
      <c r="V153" s="25">
        <v>1.0</v>
      </c>
      <c r="W153" s="26" t="s">
        <v>4054</v>
      </c>
      <c r="X153" s="25" t="s">
        <v>3978</v>
      </c>
      <c r="Y153" s="31">
        <v>12.0</v>
      </c>
      <c r="Z153" s="31">
        <v>17.0</v>
      </c>
      <c r="AA153" s="31">
        <v>199.0</v>
      </c>
      <c r="AB153" s="31">
        <v>12.0</v>
      </c>
      <c r="AC153" s="32">
        <v>1.0</v>
      </c>
      <c r="AD153" s="26"/>
      <c r="AE153" s="26"/>
      <c r="AF153" s="32">
        <v>12.0</v>
      </c>
      <c r="AG153" s="33">
        <v>1.570400254712E12</v>
      </c>
      <c r="AH153" s="33" t="s">
        <v>950</v>
      </c>
      <c r="AI153" s="40">
        <v>235648.0</v>
      </c>
    </row>
    <row r="154" ht="38.25" hidden="1" customHeight="1">
      <c r="A154" s="25">
        <v>151.0</v>
      </c>
      <c r="B154" s="26" t="s">
        <v>1037</v>
      </c>
      <c r="C154" s="26" t="s">
        <v>4416</v>
      </c>
      <c r="D154" s="26" t="s">
        <v>4099</v>
      </c>
      <c r="E154" s="26" t="s">
        <v>4417</v>
      </c>
      <c r="F154" s="26" t="s">
        <v>4417</v>
      </c>
      <c r="G154" s="27" t="s">
        <v>1110</v>
      </c>
      <c r="H154" s="27" t="s">
        <v>1110</v>
      </c>
      <c r="I154" s="29" t="s">
        <v>4418</v>
      </c>
      <c r="J154" s="29" t="s">
        <v>3949</v>
      </c>
      <c r="K154" s="27" t="s">
        <v>1137</v>
      </c>
      <c r="L154" s="25">
        <v>1.0</v>
      </c>
      <c r="M154" s="27" t="s">
        <v>1137</v>
      </c>
      <c r="N154" s="59" t="s">
        <v>3981</v>
      </c>
      <c r="O154" s="26" t="s">
        <v>2344</v>
      </c>
      <c r="P154" s="26" t="s">
        <v>1567</v>
      </c>
      <c r="Q154" s="26" t="s">
        <v>2344</v>
      </c>
      <c r="R154" s="26" t="s">
        <v>1616</v>
      </c>
      <c r="S154" s="26" t="str">
        <f t="shared" si="16"/>
        <v>กลุ่มงานบริหารทั่วไป</v>
      </c>
      <c r="T154" s="26" t="s">
        <v>3992</v>
      </c>
      <c r="U154" s="26" t="s">
        <v>1302</v>
      </c>
      <c r="V154" s="25" t="s">
        <v>46</v>
      </c>
      <c r="W154" s="26" t="s">
        <v>1323</v>
      </c>
      <c r="X154" s="25" t="s">
        <v>46</v>
      </c>
      <c r="Y154" s="31">
        <v>3.0</v>
      </c>
      <c r="Z154" s="31">
        <v>15.0</v>
      </c>
      <c r="AA154" s="31">
        <v>85.0</v>
      </c>
      <c r="AB154" s="31">
        <v>3.0</v>
      </c>
      <c r="AC154" s="32">
        <v>1.0</v>
      </c>
      <c r="AD154" s="26"/>
      <c r="AE154" s="26"/>
      <c r="AF154" s="32">
        <v>33.0</v>
      </c>
      <c r="AG154" s="33">
        <v>1.579900718643E12</v>
      </c>
      <c r="AH154" s="33" t="s">
        <v>1635</v>
      </c>
      <c r="AI154" s="40">
        <v>234004.0</v>
      </c>
    </row>
    <row r="155" ht="38.25" hidden="1" customHeight="1">
      <c r="A155" s="32">
        <v>152.0</v>
      </c>
      <c r="B155" s="26" t="s">
        <v>1037</v>
      </c>
      <c r="C155" s="26" t="s">
        <v>4419</v>
      </c>
      <c r="D155" s="26" t="s">
        <v>4420</v>
      </c>
      <c r="E155" s="26" t="s">
        <v>4421</v>
      </c>
      <c r="F155" s="26" t="s">
        <v>4422</v>
      </c>
      <c r="G155" s="27" t="s">
        <v>4249</v>
      </c>
      <c r="H155" s="27" t="s">
        <v>1110</v>
      </c>
      <c r="I155" s="29">
        <v>245216.0</v>
      </c>
      <c r="J155" s="29" t="s">
        <v>1125</v>
      </c>
      <c r="K155" s="27" t="s">
        <v>1137</v>
      </c>
      <c r="L155" s="25">
        <v>1.0</v>
      </c>
      <c r="M155" s="27" t="s">
        <v>1137</v>
      </c>
      <c r="N155" s="30" t="s">
        <v>1174</v>
      </c>
      <c r="O155" s="26" t="str">
        <f t="shared" ref="O155:O160" si="34">+T155</f>
        <v>กลุ่มงานโภชนศาสตร์</v>
      </c>
      <c r="P155" s="26" t="s">
        <v>4423</v>
      </c>
      <c r="Q155" s="26" t="str">
        <f t="shared" ref="Q155:Q160" si="35">+T155</f>
        <v>กลุ่มงานโภชนศาสตร์</v>
      </c>
      <c r="R155" s="26" t="str">
        <f t="shared" ref="R155:R160" si="36">+W155</f>
        <v>ภารกิจด้านบริการทุติยภูมิและตติยภูมิ</v>
      </c>
      <c r="S155" s="26" t="str">
        <f t="shared" si="16"/>
        <v>กลุ่มงานโภชนศาสตร์</v>
      </c>
      <c r="T155" s="26" t="s">
        <v>4424</v>
      </c>
      <c r="U155" s="26" t="s">
        <v>1302</v>
      </c>
      <c r="V155" s="25">
        <v>9.0</v>
      </c>
      <c r="W155" s="26" t="s">
        <v>4054</v>
      </c>
      <c r="X155" s="25" t="s">
        <v>3978</v>
      </c>
      <c r="Y155" s="31">
        <v>4.0</v>
      </c>
      <c r="Z155" s="31">
        <v>4.0</v>
      </c>
      <c r="AA155" s="31">
        <v>199.0</v>
      </c>
      <c r="AB155" s="31">
        <v>4.0</v>
      </c>
      <c r="AC155" s="32">
        <v>1.0</v>
      </c>
      <c r="AD155" s="26"/>
      <c r="AE155" s="26"/>
      <c r="AF155" s="32">
        <v>14.0</v>
      </c>
      <c r="AG155" s="37">
        <v>3.501400290139E12</v>
      </c>
      <c r="AH155" s="37" t="s">
        <v>3299</v>
      </c>
      <c r="AI155" s="39">
        <v>226036.0</v>
      </c>
    </row>
    <row r="156" ht="38.25" hidden="1" customHeight="1">
      <c r="A156" s="25">
        <v>153.0</v>
      </c>
      <c r="B156" s="26" t="s">
        <v>1037</v>
      </c>
      <c r="C156" s="26" t="s">
        <v>4425</v>
      </c>
      <c r="D156" s="26" t="s">
        <v>4426</v>
      </c>
      <c r="E156" s="26" t="s">
        <v>4421</v>
      </c>
      <c r="F156" s="26" t="s">
        <v>4422</v>
      </c>
      <c r="G156" s="27" t="s">
        <v>1110</v>
      </c>
      <c r="H156" s="27" t="s">
        <v>1110</v>
      </c>
      <c r="I156" s="29">
        <v>4373.0</v>
      </c>
      <c r="J156" s="29" t="s">
        <v>1535</v>
      </c>
      <c r="K156" s="27" t="s">
        <v>1137</v>
      </c>
      <c r="L156" s="25">
        <v>1.0</v>
      </c>
      <c r="M156" s="27" t="s">
        <v>1137</v>
      </c>
      <c r="N156" s="30" t="s">
        <v>1174</v>
      </c>
      <c r="O156" s="26" t="str">
        <f t="shared" si="34"/>
        <v>กลุ่มงานโภชนศาสตร์</v>
      </c>
      <c r="P156" s="26" t="s">
        <v>4423</v>
      </c>
      <c r="Q156" s="26" t="str">
        <f t="shared" si="35"/>
        <v>กลุ่มงานโภชนศาสตร์</v>
      </c>
      <c r="R156" s="26" t="str">
        <f t="shared" si="36"/>
        <v>ภารกิจด้านบริการทุติยภูมิและตติยภูมิ</v>
      </c>
      <c r="S156" s="26" t="str">
        <f t="shared" si="16"/>
        <v>กลุ่มงานโภชนศาสตร์</v>
      </c>
      <c r="T156" s="26" t="s">
        <v>4424</v>
      </c>
      <c r="U156" s="26" t="s">
        <v>1302</v>
      </c>
      <c r="V156" s="25">
        <v>9.0</v>
      </c>
      <c r="W156" s="26" t="s">
        <v>4054</v>
      </c>
      <c r="X156" s="25" t="s">
        <v>3978</v>
      </c>
      <c r="Y156" s="31">
        <v>4.0</v>
      </c>
      <c r="Z156" s="31">
        <v>4.0</v>
      </c>
      <c r="AA156" s="31">
        <v>199.0</v>
      </c>
      <c r="AB156" s="31">
        <v>4.0</v>
      </c>
      <c r="AC156" s="32">
        <v>1.0</v>
      </c>
      <c r="AD156" s="26"/>
      <c r="AE156" s="26"/>
      <c r="AF156" s="32">
        <v>14.0</v>
      </c>
      <c r="AG156" s="33">
        <v>1.500900222208E12</v>
      </c>
      <c r="AH156" s="33" t="s">
        <v>2452</v>
      </c>
      <c r="AI156" s="40">
        <v>233911.0</v>
      </c>
    </row>
    <row r="157" ht="38.25" hidden="1" customHeight="1">
      <c r="A157" s="25">
        <v>154.0</v>
      </c>
      <c r="B157" s="26" t="s">
        <v>2692</v>
      </c>
      <c r="C157" s="26" t="s">
        <v>4427</v>
      </c>
      <c r="D157" s="26" t="s">
        <v>4428</v>
      </c>
      <c r="E157" s="26" t="s">
        <v>4429</v>
      </c>
      <c r="F157" s="26" t="s">
        <v>4430</v>
      </c>
      <c r="G157" s="27" t="s">
        <v>1110</v>
      </c>
      <c r="H157" s="27" t="s">
        <v>1110</v>
      </c>
      <c r="I157" s="29">
        <v>4382.0</v>
      </c>
      <c r="J157" s="29" t="s">
        <v>1535</v>
      </c>
      <c r="K157" s="27" t="s">
        <v>1137</v>
      </c>
      <c r="L157" s="25">
        <v>1.0</v>
      </c>
      <c r="M157" s="27" t="s">
        <v>1137</v>
      </c>
      <c r="N157" s="30" t="s">
        <v>1174</v>
      </c>
      <c r="O157" s="26" t="str">
        <f t="shared" si="34"/>
        <v>กลุ่มงานรังสีวิทยา</v>
      </c>
      <c r="P157" s="26" t="s">
        <v>4431</v>
      </c>
      <c r="Q157" s="26" t="str">
        <f t="shared" si="35"/>
        <v>กลุ่มงานรังสีวิทยา</v>
      </c>
      <c r="R157" s="26" t="str">
        <f t="shared" si="36"/>
        <v>ภารกิจด้านบริการทุติยภูมิและตติยภูมิ</v>
      </c>
      <c r="S157" s="26" t="str">
        <f t="shared" si="16"/>
        <v>กลุ่มงานรังสีวิทยา</v>
      </c>
      <c r="T157" s="26" t="s">
        <v>4432</v>
      </c>
      <c r="U157" s="26" t="s">
        <v>1302</v>
      </c>
      <c r="V157" s="25">
        <v>15.0</v>
      </c>
      <c r="W157" s="26" t="s">
        <v>4054</v>
      </c>
      <c r="X157" s="25" t="s">
        <v>3978</v>
      </c>
      <c r="Y157" s="31">
        <v>5.0</v>
      </c>
      <c r="Z157" s="31">
        <v>9.0</v>
      </c>
      <c r="AA157" s="31">
        <v>199.0</v>
      </c>
      <c r="AB157" s="31">
        <v>5.0</v>
      </c>
      <c r="AC157" s="32">
        <v>1.0</v>
      </c>
      <c r="AD157" s="26"/>
      <c r="AE157" s="26"/>
      <c r="AF157" s="32">
        <v>9.0</v>
      </c>
      <c r="AG157" s="37">
        <v>1.508700005014E12</v>
      </c>
      <c r="AH157" s="37" t="s">
        <v>644</v>
      </c>
      <c r="AI157" s="39">
        <v>235501.0</v>
      </c>
    </row>
    <row r="158" ht="38.25" hidden="1" customHeight="1">
      <c r="A158" s="32">
        <v>155.0</v>
      </c>
      <c r="B158" s="26" t="s">
        <v>2692</v>
      </c>
      <c r="C158" s="26" t="s">
        <v>4433</v>
      </c>
      <c r="D158" s="26" t="s">
        <v>4434</v>
      </c>
      <c r="E158" s="64" t="s">
        <v>4429</v>
      </c>
      <c r="F158" s="26" t="s">
        <v>4430</v>
      </c>
      <c r="G158" s="27" t="s">
        <v>1110</v>
      </c>
      <c r="H158" s="27" t="s">
        <v>1110</v>
      </c>
      <c r="I158" s="29" t="s">
        <v>4435</v>
      </c>
      <c r="J158" s="29" t="s">
        <v>3949</v>
      </c>
      <c r="K158" s="27" t="s">
        <v>1137</v>
      </c>
      <c r="L158" s="25">
        <v>1.0</v>
      </c>
      <c r="M158" s="27" t="s">
        <v>1137</v>
      </c>
      <c r="N158" s="30" t="s">
        <v>1174</v>
      </c>
      <c r="O158" s="26" t="str">
        <f t="shared" si="34"/>
        <v>กลุ่มงานรังสีวิทยา</v>
      </c>
      <c r="P158" s="26" t="s">
        <v>4431</v>
      </c>
      <c r="Q158" s="26" t="str">
        <f t="shared" si="35"/>
        <v>กลุ่มงานรังสีวิทยา</v>
      </c>
      <c r="R158" s="26" t="str">
        <f t="shared" si="36"/>
        <v>ภารกิจด้านบริการทุติยภูมิและตติยภูมิ</v>
      </c>
      <c r="S158" s="26" t="str">
        <f t="shared" si="16"/>
        <v>กลุ่มงานรังสีวิทยา</v>
      </c>
      <c r="T158" s="26" t="s">
        <v>4432</v>
      </c>
      <c r="U158" s="26" t="s">
        <v>1302</v>
      </c>
      <c r="V158" s="25">
        <v>15.0</v>
      </c>
      <c r="W158" s="26" t="s">
        <v>4054</v>
      </c>
      <c r="X158" s="25" t="s">
        <v>3978</v>
      </c>
      <c r="Y158" s="31">
        <v>5.0</v>
      </c>
      <c r="Z158" s="31">
        <v>9.0</v>
      </c>
      <c r="AA158" s="31">
        <v>199.0</v>
      </c>
      <c r="AB158" s="31">
        <v>5.0</v>
      </c>
      <c r="AC158" s="32">
        <v>1.0</v>
      </c>
      <c r="AD158" s="26"/>
      <c r="AE158" s="26"/>
      <c r="AF158" s="32">
        <v>9.0</v>
      </c>
      <c r="AG158" s="33">
        <v>1.104200395549E12</v>
      </c>
      <c r="AH158" s="33" t="s">
        <v>314</v>
      </c>
      <c r="AI158" s="34" t="s">
        <v>4436</v>
      </c>
    </row>
    <row r="159" ht="38.25" hidden="1" customHeight="1">
      <c r="A159" s="25">
        <v>156.0</v>
      </c>
      <c r="B159" s="26" t="s">
        <v>1037</v>
      </c>
      <c r="C159" s="26" t="s">
        <v>4437</v>
      </c>
      <c r="D159" s="26" t="s">
        <v>4438</v>
      </c>
      <c r="E159" s="26" t="s">
        <v>4429</v>
      </c>
      <c r="F159" s="64" t="s">
        <v>4439</v>
      </c>
      <c r="G159" s="27" t="s">
        <v>4249</v>
      </c>
      <c r="H159" s="27" t="s">
        <v>1110</v>
      </c>
      <c r="I159" s="29">
        <v>107114.0</v>
      </c>
      <c r="J159" s="29" t="s">
        <v>1125</v>
      </c>
      <c r="K159" s="27" t="s">
        <v>1137</v>
      </c>
      <c r="L159" s="25">
        <v>1.0</v>
      </c>
      <c r="M159" s="27" t="s">
        <v>1137</v>
      </c>
      <c r="N159" s="30" t="s">
        <v>1174</v>
      </c>
      <c r="O159" s="26" t="str">
        <f t="shared" si="34"/>
        <v>กลุ่มงานรังสีวิทยา</v>
      </c>
      <c r="P159" s="26" t="s">
        <v>4431</v>
      </c>
      <c r="Q159" s="26" t="str">
        <f t="shared" si="35"/>
        <v>กลุ่มงานรังสีวิทยา</v>
      </c>
      <c r="R159" s="26" t="str">
        <f t="shared" si="36"/>
        <v>ภารกิจด้านบริการทุติยภูมิและตติยภูมิ</v>
      </c>
      <c r="S159" s="26" t="str">
        <f t="shared" si="16"/>
        <v>กลุ่มงานรังสีวิทยา</v>
      </c>
      <c r="T159" s="26" t="s">
        <v>4432</v>
      </c>
      <c r="U159" s="26" t="s">
        <v>1302</v>
      </c>
      <c r="V159" s="25">
        <v>15.0</v>
      </c>
      <c r="W159" s="26" t="s">
        <v>4054</v>
      </c>
      <c r="X159" s="25" t="s">
        <v>3978</v>
      </c>
      <c r="Y159" s="31">
        <v>5.0</v>
      </c>
      <c r="Z159" s="31">
        <v>9.0</v>
      </c>
      <c r="AA159" s="31">
        <v>199.0</v>
      </c>
      <c r="AB159" s="31">
        <v>5.0</v>
      </c>
      <c r="AC159" s="32">
        <v>1.0</v>
      </c>
      <c r="AD159" s="26"/>
      <c r="AE159" s="26"/>
      <c r="AF159" s="32">
        <v>8.0</v>
      </c>
      <c r="AG159" s="37">
        <v>1.500700183535E12</v>
      </c>
      <c r="AH159" s="61"/>
      <c r="AI159" s="38" t="s">
        <v>4440</v>
      </c>
    </row>
    <row r="160" ht="38.25" hidden="1" customHeight="1">
      <c r="A160" s="25">
        <v>157.0</v>
      </c>
      <c r="B160" s="26" t="s">
        <v>2692</v>
      </c>
      <c r="C160" s="26" t="s">
        <v>4441</v>
      </c>
      <c r="D160" s="26" t="s">
        <v>4442</v>
      </c>
      <c r="E160" s="26" t="s">
        <v>4429</v>
      </c>
      <c r="F160" s="26" t="s">
        <v>4439</v>
      </c>
      <c r="G160" s="27" t="s">
        <v>1110</v>
      </c>
      <c r="H160" s="27" t="s">
        <v>1110</v>
      </c>
      <c r="I160" s="29">
        <v>10753.0</v>
      </c>
      <c r="J160" s="29" t="s">
        <v>4301</v>
      </c>
      <c r="K160" s="27" t="s">
        <v>1137</v>
      </c>
      <c r="L160" s="25">
        <v>1.0</v>
      </c>
      <c r="M160" s="27" t="s">
        <v>1137</v>
      </c>
      <c r="N160" s="30" t="s">
        <v>1174</v>
      </c>
      <c r="O160" s="26" t="str">
        <f t="shared" si="34"/>
        <v>กลุ่มงานรังสีวิทยา</v>
      </c>
      <c r="P160" s="26" t="s">
        <v>4431</v>
      </c>
      <c r="Q160" s="26" t="str">
        <f t="shared" si="35"/>
        <v>กลุ่มงานรังสีวิทยา</v>
      </c>
      <c r="R160" s="26" t="str">
        <f t="shared" si="36"/>
        <v>ภารกิจด้านบริการทุติยภูมิและตติยภูมิ</v>
      </c>
      <c r="S160" s="26" t="str">
        <f t="shared" si="16"/>
        <v>กลุ่มงานรังสีวิทยา</v>
      </c>
      <c r="T160" s="26" t="s">
        <v>4432</v>
      </c>
      <c r="U160" s="26" t="s">
        <v>1302</v>
      </c>
      <c r="V160" s="25">
        <v>15.0</v>
      </c>
      <c r="W160" s="26" t="s">
        <v>4054</v>
      </c>
      <c r="X160" s="25" t="s">
        <v>3978</v>
      </c>
      <c r="Y160" s="31">
        <v>5.0</v>
      </c>
      <c r="Z160" s="31">
        <v>9.0</v>
      </c>
      <c r="AA160" s="31">
        <v>199.0</v>
      </c>
      <c r="AB160" s="31">
        <v>5.0</v>
      </c>
      <c r="AC160" s="32">
        <v>1.0</v>
      </c>
      <c r="AD160" s="26"/>
      <c r="AE160" s="26"/>
      <c r="AF160" s="32">
        <v>8.0</v>
      </c>
      <c r="AG160" s="33">
        <v>1.509966119837E12</v>
      </c>
      <c r="AH160" s="33" t="s">
        <v>1382</v>
      </c>
      <c r="AI160" s="40">
        <v>235433.0</v>
      </c>
    </row>
    <row r="161" ht="38.25" hidden="1" customHeight="1">
      <c r="A161" s="32">
        <v>158.0</v>
      </c>
      <c r="B161" s="26" t="s">
        <v>2692</v>
      </c>
      <c r="C161" s="26" t="s">
        <v>4443</v>
      </c>
      <c r="D161" s="26" t="s">
        <v>4444</v>
      </c>
      <c r="E161" s="26" t="s">
        <v>4445</v>
      </c>
      <c r="F161" s="26" t="s">
        <v>4445</v>
      </c>
      <c r="G161" s="27" t="s">
        <v>4249</v>
      </c>
      <c r="H161" s="27" t="s">
        <v>1110</v>
      </c>
      <c r="I161" s="29">
        <v>107132.0</v>
      </c>
      <c r="J161" s="29" t="s">
        <v>1125</v>
      </c>
      <c r="K161" s="27" t="s">
        <v>1137</v>
      </c>
      <c r="L161" s="25">
        <v>1.0</v>
      </c>
      <c r="M161" s="27" t="s">
        <v>1137</v>
      </c>
      <c r="N161" s="30" t="s">
        <v>1174</v>
      </c>
      <c r="O161" s="26" t="s">
        <v>4446</v>
      </c>
      <c r="P161" s="26" t="s">
        <v>3992</v>
      </c>
      <c r="Q161" s="26" t="s">
        <v>3992</v>
      </c>
      <c r="R161" s="26" t="s">
        <v>1323</v>
      </c>
      <c r="S161" s="26" t="str">
        <f t="shared" si="16"/>
        <v>กลุ่มงานยุทธศาสตร์และแผนงานโครงการ</v>
      </c>
      <c r="T161" s="26" t="s">
        <v>2967</v>
      </c>
      <c r="U161" s="26" t="s">
        <v>1302</v>
      </c>
      <c r="V161" s="25" t="s">
        <v>3935</v>
      </c>
      <c r="W161" s="26" t="s">
        <v>1616</v>
      </c>
      <c r="X161" s="25" t="s">
        <v>21</v>
      </c>
      <c r="Y161" s="31">
        <v>1.0</v>
      </c>
      <c r="Z161" s="31">
        <v>9.0</v>
      </c>
      <c r="AA161" s="31">
        <v>28.0</v>
      </c>
      <c r="AB161" s="31">
        <v>1.0</v>
      </c>
      <c r="AC161" s="32">
        <v>1.0</v>
      </c>
      <c r="AD161" s="26"/>
      <c r="AE161" s="26"/>
      <c r="AF161" s="32">
        <v>25.0</v>
      </c>
      <c r="AG161" s="37">
        <v>3.57080024429E12</v>
      </c>
      <c r="AH161" s="37" t="s">
        <v>3560</v>
      </c>
      <c r="AI161" s="38" t="s">
        <v>4447</v>
      </c>
    </row>
    <row r="162" ht="38.25" hidden="1" customHeight="1">
      <c r="A162" s="25">
        <v>159.0</v>
      </c>
      <c r="B162" s="26" t="s">
        <v>1037</v>
      </c>
      <c r="C162" s="26" t="s">
        <v>4448</v>
      </c>
      <c r="D162" s="26" t="s">
        <v>4449</v>
      </c>
      <c r="E162" s="26" t="s">
        <v>4450</v>
      </c>
      <c r="F162" s="26" t="s">
        <v>4450</v>
      </c>
      <c r="G162" s="27" t="s">
        <v>4220</v>
      </c>
      <c r="H162" s="27" t="s">
        <v>1110</v>
      </c>
      <c r="I162" s="29">
        <v>241345.0</v>
      </c>
      <c r="J162" s="29" t="s">
        <v>1125</v>
      </c>
      <c r="K162" s="27" t="s">
        <v>1137</v>
      </c>
      <c r="L162" s="25">
        <v>1.0</v>
      </c>
      <c r="M162" s="27" t="s">
        <v>1137</v>
      </c>
      <c r="N162" s="30" t="s">
        <v>1174</v>
      </c>
      <c r="O162" s="26" t="str">
        <f t="shared" ref="O162:O166" si="37">+S162</f>
        <v>กลุ่มงานเทคโนโลยีสารสนเทศ</v>
      </c>
      <c r="P162" s="26" t="s">
        <v>1321</v>
      </c>
      <c r="Q162" s="26" t="str">
        <f t="shared" ref="Q162:Q170" si="38">+T162</f>
        <v>กลุ่มงานเทคโนโลยีสารสนเทศ</v>
      </c>
      <c r="R162" s="26" t="str">
        <f t="shared" ref="R162:R170" si="39">+W162</f>
        <v>ภารกิจสุขภาพดิจิทัล</v>
      </c>
      <c r="S162" s="26" t="s">
        <v>3973</v>
      </c>
      <c r="T162" s="26" t="s">
        <v>3973</v>
      </c>
      <c r="U162" s="26" t="s">
        <v>1302</v>
      </c>
      <c r="V162" s="25" t="s">
        <v>46</v>
      </c>
      <c r="W162" s="26" t="s">
        <v>3972</v>
      </c>
      <c r="X162" s="25" t="s">
        <v>3945</v>
      </c>
      <c r="Y162" s="31">
        <v>6.0</v>
      </c>
      <c r="Z162" s="31">
        <v>7.0</v>
      </c>
      <c r="AA162" s="31">
        <v>15.0</v>
      </c>
      <c r="AB162" s="31">
        <v>9.0</v>
      </c>
      <c r="AC162" s="32">
        <v>1.0</v>
      </c>
      <c r="AD162" s="26"/>
      <c r="AE162" s="26"/>
      <c r="AF162" s="32">
        <v>24.0</v>
      </c>
      <c r="AG162" s="37">
        <v>3.501400434203E12</v>
      </c>
      <c r="AH162" s="37" t="s">
        <v>3356</v>
      </c>
      <c r="AI162" s="44">
        <v>228890.0</v>
      </c>
    </row>
    <row r="163" ht="38.25" hidden="1" customHeight="1">
      <c r="A163" s="25">
        <v>160.0</v>
      </c>
      <c r="B163" s="26" t="s">
        <v>2692</v>
      </c>
      <c r="C163" s="26" t="s">
        <v>4451</v>
      </c>
      <c r="D163" s="26" t="s">
        <v>4452</v>
      </c>
      <c r="E163" s="26" t="s">
        <v>4450</v>
      </c>
      <c r="F163" s="26" t="s">
        <v>4450</v>
      </c>
      <c r="G163" s="27" t="s">
        <v>1110</v>
      </c>
      <c r="H163" s="27" t="s">
        <v>1110</v>
      </c>
      <c r="I163" s="29">
        <v>4353.0</v>
      </c>
      <c r="J163" s="29" t="s">
        <v>1535</v>
      </c>
      <c r="K163" s="27" t="s">
        <v>1137</v>
      </c>
      <c r="L163" s="25">
        <v>1.0</v>
      </c>
      <c r="M163" s="27" t="s">
        <v>1137</v>
      </c>
      <c r="N163" s="30" t="s">
        <v>1174</v>
      </c>
      <c r="O163" s="26" t="str">
        <f t="shared" si="37"/>
        <v>กลุ่มงานสุขภาพดิจิทัล</v>
      </c>
      <c r="P163" s="26" t="s">
        <v>1321</v>
      </c>
      <c r="Q163" s="26" t="str">
        <f t="shared" si="38"/>
        <v>กลุ่มงานสุขภาพดิจิทัล</v>
      </c>
      <c r="R163" s="26" t="str">
        <f t="shared" si="39"/>
        <v>ภารกิจสุขภาพดิจิทัล</v>
      </c>
      <c r="S163" s="26" t="s">
        <v>4453</v>
      </c>
      <c r="T163" s="26" t="s">
        <v>4453</v>
      </c>
      <c r="U163" s="26" t="s">
        <v>1302</v>
      </c>
      <c r="V163" s="25" t="s">
        <v>3935</v>
      </c>
      <c r="W163" s="26" t="s">
        <v>3972</v>
      </c>
      <c r="X163" s="25" t="s">
        <v>3945</v>
      </c>
      <c r="Y163" s="31">
        <v>3.0</v>
      </c>
      <c r="Z163" s="31">
        <v>4.0</v>
      </c>
      <c r="AA163" s="31">
        <v>15.0</v>
      </c>
      <c r="AB163" s="31">
        <v>9.0</v>
      </c>
      <c r="AC163" s="32">
        <v>1.0</v>
      </c>
      <c r="AD163" s="26"/>
      <c r="AE163" s="26"/>
      <c r="AF163" s="32">
        <v>24.0</v>
      </c>
      <c r="AG163" s="33">
        <v>2.103600001499E12</v>
      </c>
      <c r="AH163" s="33" t="s">
        <v>2049</v>
      </c>
      <c r="AI163" s="34" t="s">
        <v>4454</v>
      </c>
    </row>
    <row r="164" ht="38.25" hidden="1" customHeight="1">
      <c r="A164" s="25">
        <v>161.0</v>
      </c>
      <c r="B164" s="26" t="s">
        <v>2692</v>
      </c>
      <c r="C164" s="26" t="s">
        <v>4455</v>
      </c>
      <c r="D164" s="26" t="s">
        <v>4456</v>
      </c>
      <c r="E164" s="26" t="s">
        <v>4450</v>
      </c>
      <c r="F164" s="26" t="s">
        <v>4450</v>
      </c>
      <c r="G164" s="27" t="s">
        <v>1110</v>
      </c>
      <c r="H164" s="27" t="s">
        <v>1110</v>
      </c>
      <c r="I164" s="29" t="s">
        <v>4457</v>
      </c>
      <c r="J164" s="29" t="s">
        <v>3949</v>
      </c>
      <c r="K164" s="27" t="s">
        <v>1137</v>
      </c>
      <c r="L164" s="25">
        <v>1.0</v>
      </c>
      <c r="M164" s="27" t="s">
        <v>1137</v>
      </c>
      <c r="N164" s="30" t="s">
        <v>1174</v>
      </c>
      <c r="O164" s="26" t="str">
        <f t="shared" si="37"/>
        <v>กลุ่มงานสุขภาพดิจิทัล</v>
      </c>
      <c r="P164" s="26" t="s">
        <v>1321</v>
      </c>
      <c r="Q164" s="26" t="str">
        <f t="shared" si="38"/>
        <v>กลุ่มงานสุขภาพดิจิทัล</v>
      </c>
      <c r="R164" s="26" t="str">
        <f t="shared" si="39"/>
        <v>ภารกิจสุขภาพดิจิทัล</v>
      </c>
      <c r="S164" s="26" t="s">
        <v>4453</v>
      </c>
      <c r="T164" s="26" t="s">
        <v>4453</v>
      </c>
      <c r="U164" s="26" t="s">
        <v>1302</v>
      </c>
      <c r="V164" s="25" t="s">
        <v>3935</v>
      </c>
      <c r="W164" s="26" t="s">
        <v>3972</v>
      </c>
      <c r="X164" s="25" t="s">
        <v>3945</v>
      </c>
      <c r="Y164" s="31">
        <v>3.0</v>
      </c>
      <c r="Z164" s="31">
        <v>4.0</v>
      </c>
      <c r="AA164" s="31">
        <v>15.0</v>
      </c>
      <c r="AB164" s="31">
        <v>9.0</v>
      </c>
      <c r="AC164" s="32">
        <v>1.0</v>
      </c>
      <c r="AD164" s="26"/>
      <c r="AE164" s="26"/>
      <c r="AF164" s="32">
        <v>24.0</v>
      </c>
      <c r="AG164" s="33">
        <v>1.510100231971E12</v>
      </c>
      <c r="AH164" s="33" t="s">
        <v>853</v>
      </c>
      <c r="AI164" s="34" t="s">
        <v>4458</v>
      </c>
    </row>
    <row r="165" ht="38.25" hidden="1" customHeight="1">
      <c r="A165" s="32">
        <v>162.0</v>
      </c>
      <c r="B165" s="26" t="s">
        <v>2692</v>
      </c>
      <c r="C165" s="26" t="s">
        <v>4459</v>
      </c>
      <c r="D165" s="26" t="s">
        <v>4460</v>
      </c>
      <c r="E165" s="26" t="s">
        <v>4450</v>
      </c>
      <c r="F165" s="26" t="s">
        <v>4450</v>
      </c>
      <c r="G165" s="27" t="s">
        <v>1110</v>
      </c>
      <c r="H165" s="27" t="s">
        <v>1110</v>
      </c>
      <c r="I165" s="29" t="s">
        <v>4461</v>
      </c>
      <c r="J165" s="29" t="s">
        <v>3949</v>
      </c>
      <c r="K165" s="27" t="s">
        <v>1137</v>
      </c>
      <c r="L165" s="25">
        <v>1.0</v>
      </c>
      <c r="M165" s="27" t="s">
        <v>1137</v>
      </c>
      <c r="N165" s="30" t="s">
        <v>1174</v>
      </c>
      <c r="O165" s="26" t="str">
        <f t="shared" si="37"/>
        <v>กลุ่มงานสุขภาพดิจิทัล</v>
      </c>
      <c r="P165" s="26" t="s">
        <v>1321</v>
      </c>
      <c r="Q165" s="26" t="str">
        <f t="shared" si="38"/>
        <v>กลุ่มงานสุขภาพดิจิทัล</v>
      </c>
      <c r="R165" s="26" t="str">
        <f t="shared" si="39"/>
        <v>ภารกิจสุขภาพดิจิทัล</v>
      </c>
      <c r="S165" s="26" t="s">
        <v>4453</v>
      </c>
      <c r="T165" s="26" t="s">
        <v>4453</v>
      </c>
      <c r="U165" s="26" t="s">
        <v>1302</v>
      </c>
      <c r="V165" s="25" t="s">
        <v>3935</v>
      </c>
      <c r="W165" s="26" t="s">
        <v>3972</v>
      </c>
      <c r="X165" s="25" t="s">
        <v>3945</v>
      </c>
      <c r="Y165" s="31">
        <v>3.0</v>
      </c>
      <c r="Z165" s="31">
        <v>4.0</v>
      </c>
      <c r="AA165" s="31">
        <v>15.0</v>
      </c>
      <c r="AB165" s="31">
        <v>9.0</v>
      </c>
      <c r="AC165" s="32">
        <v>1.0</v>
      </c>
      <c r="AD165" s="26"/>
      <c r="AE165" s="26"/>
      <c r="AF165" s="32">
        <v>24.0</v>
      </c>
      <c r="AG165" s="37">
        <v>1.500900194573E12</v>
      </c>
      <c r="AH165" s="37" t="s">
        <v>1363</v>
      </c>
      <c r="AI165" s="38" t="s">
        <v>4462</v>
      </c>
    </row>
    <row r="166" ht="38.25" hidden="1" customHeight="1">
      <c r="A166" s="25">
        <v>163.0</v>
      </c>
      <c r="B166" s="26" t="s">
        <v>2692</v>
      </c>
      <c r="C166" s="26" t="s">
        <v>4463</v>
      </c>
      <c r="D166" s="26" t="s">
        <v>4464</v>
      </c>
      <c r="E166" s="26" t="s">
        <v>4450</v>
      </c>
      <c r="F166" s="26" t="s">
        <v>4450</v>
      </c>
      <c r="G166" s="27" t="s">
        <v>1110</v>
      </c>
      <c r="H166" s="27" t="s">
        <v>1110</v>
      </c>
      <c r="I166" s="29" t="s">
        <v>4465</v>
      </c>
      <c r="J166" s="29" t="s">
        <v>3949</v>
      </c>
      <c r="K166" s="27" t="s">
        <v>1137</v>
      </c>
      <c r="L166" s="25">
        <v>1.0</v>
      </c>
      <c r="M166" s="27" t="s">
        <v>1137</v>
      </c>
      <c r="N166" s="30" t="s">
        <v>1174</v>
      </c>
      <c r="O166" s="26" t="str">
        <f t="shared" si="37"/>
        <v>กลุ่มงานเทคโนโลยีสารสนเทศ</v>
      </c>
      <c r="P166" s="26" t="s">
        <v>1321</v>
      </c>
      <c r="Q166" s="26" t="str">
        <f t="shared" si="38"/>
        <v>กลุ่มงานเทคโนโลยีสารสนเทศ</v>
      </c>
      <c r="R166" s="26" t="str">
        <f t="shared" si="39"/>
        <v>ภารกิจสุขภาพดิจิทัล</v>
      </c>
      <c r="S166" s="26" t="s">
        <v>3973</v>
      </c>
      <c r="T166" s="26" t="s">
        <v>3973</v>
      </c>
      <c r="U166" s="26" t="s">
        <v>1302</v>
      </c>
      <c r="V166" s="25" t="s">
        <v>46</v>
      </c>
      <c r="W166" s="26" t="s">
        <v>3972</v>
      </c>
      <c r="X166" s="25" t="s">
        <v>3945</v>
      </c>
      <c r="Y166" s="31">
        <v>6.0</v>
      </c>
      <c r="Z166" s="31">
        <v>7.0</v>
      </c>
      <c r="AA166" s="31">
        <v>15.0</v>
      </c>
      <c r="AB166" s="31">
        <v>9.0</v>
      </c>
      <c r="AC166" s="32">
        <v>1.0</v>
      </c>
      <c r="AD166" s="26"/>
      <c r="AE166" s="26"/>
      <c r="AF166" s="32">
        <v>24.0</v>
      </c>
      <c r="AG166" s="33">
        <v>1.510100331266E12</v>
      </c>
      <c r="AH166" s="33" t="s">
        <v>1511</v>
      </c>
      <c r="AI166" s="40">
        <v>234494.0</v>
      </c>
    </row>
    <row r="167" ht="38.25" hidden="1" customHeight="1">
      <c r="A167" s="25">
        <v>164.0</v>
      </c>
      <c r="B167" s="26" t="s">
        <v>806</v>
      </c>
      <c r="C167" s="26" t="s">
        <v>4466</v>
      </c>
      <c r="D167" s="26" t="s">
        <v>4467</v>
      </c>
      <c r="E167" s="26" t="s">
        <v>4468</v>
      </c>
      <c r="F167" s="26" t="s">
        <v>4468</v>
      </c>
      <c r="G167" s="27" t="s">
        <v>4220</v>
      </c>
      <c r="H167" s="27" t="s">
        <v>1110</v>
      </c>
      <c r="I167" s="29">
        <v>107095.0</v>
      </c>
      <c r="J167" s="29" t="s">
        <v>1125</v>
      </c>
      <c r="K167" s="27" t="s">
        <v>1137</v>
      </c>
      <c r="L167" s="25">
        <v>3.0</v>
      </c>
      <c r="M167" s="27" t="s">
        <v>1137</v>
      </c>
      <c r="N167" s="30" t="s">
        <v>1174</v>
      </c>
      <c r="O167" s="26" t="s">
        <v>3940</v>
      </c>
      <c r="P167" s="26" t="s">
        <v>3940</v>
      </c>
      <c r="Q167" s="26" t="str">
        <f t="shared" si="38"/>
        <v>กลุ่มงานบัญชี</v>
      </c>
      <c r="R167" s="26" t="str">
        <f t="shared" si="39"/>
        <v>ภารกิจด้านอำนวยการ</v>
      </c>
      <c r="S167" s="26" t="str">
        <f t="shared" ref="S167:S170" si="40">+T167</f>
        <v>กลุ่มงานบัญชี</v>
      </c>
      <c r="T167" s="26" t="s">
        <v>3944</v>
      </c>
      <c r="U167" s="26" t="s">
        <v>1302</v>
      </c>
      <c r="V167" s="25" t="s">
        <v>3945</v>
      </c>
      <c r="W167" s="26" t="s">
        <v>1323</v>
      </c>
      <c r="X167" s="25" t="s">
        <v>46</v>
      </c>
      <c r="Y167" s="31">
        <v>3.0</v>
      </c>
      <c r="Z167" s="31">
        <v>5.0</v>
      </c>
      <c r="AA167" s="31">
        <v>85.0</v>
      </c>
      <c r="AB167" s="31">
        <v>6.0</v>
      </c>
      <c r="AC167" s="32">
        <v>1.0</v>
      </c>
      <c r="AD167" s="26"/>
      <c r="AE167" s="26" t="s">
        <v>4469</v>
      </c>
      <c r="AF167" s="32">
        <v>26.0</v>
      </c>
      <c r="AG167" s="37">
        <v>3.501200581458E12</v>
      </c>
      <c r="AH167" s="37" t="s">
        <v>3387</v>
      </c>
      <c r="AI167" s="38" t="s">
        <v>4470</v>
      </c>
    </row>
    <row r="168" ht="38.25" hidden="1" customHeight="1">
      <c r="A168" s="32">
        <v>165.0</v>
      </c>
      <c r="B168" s="26" t="s">
        <v>1037</v>
      </c>
      <c r="C168" s="26" t="s">
        <v>4471</v>
      </c>
      <c r="D168" s="26" t="s">
        <v>4472</v>
      </c>
      <c r="E168" s="26" t="s">
        <v>4468</v>
      </c>
      <c r="F168" s="26" t="s">
        <v>4468</v>
      </c>
      <c r="G168" s="27" t="s">
        <v>1110</v>
      </c>
      <c r="H168" s="27" t="s">
        <v>1110</v>
      </c>
      <c r="I168" s="29">
        <v>4343.0</v>
      </c>
      <c r="J168" s="29" t="s">
        <v>1535</v>
      </c>
      <c r="K168" s="27" t="s">
        <v>1137</v>
      </c>
      <c r="L168" s="25">
        <v>3.0</v>
      </c>
      <c r="M168" s="27" t="s">
        <v>1137</v>
      </c>
      <c r="N168" s="30" t="s">
        <v>1174</v>
      </c>
      <c r="O168" s="26" t="s">
        <v>817</v>
      </c>
      <c r="P168" s="26" t="s">
        <v>1208</v>
      </c>
      <c r="Q168" s="26" t="str">
        <f t="shared" si="38"/>
        <v>กลุ่มงานการเงิน</v>
      </c>
      <c r="R168" s="26" t="str">
        <f t="shared" si="39"/>
        <v>ภารกิจด้านอำนวยการ</v>
      </c>
      <c r="S168" s="26" t="str">
        <f t="shared" si="40"/>
        <v>กลุ่มงานการเงิน</v>
      </c>
      <c r="T168" s="26" t="s">
        <v>816</v>
      </c>
      <c r="U168" s="26" t="s">
        <v>1302</v>
      </c>
      <c r="V168" s="25" t="s">
        <v>1312</v>
      </c>
      <c r="W168" s="26" t="s">
        <v>1323</v>
      </c>
      <c r="X168" s="25" t="s">
        <v>46</v>
      </c>
      <c r="Y168" s="31">
        <v>3.0</v>
      </c>
      <c r="Z168" s="31">
        <v>20.0</v>
      </c>
      <c r="AA168" s="31">
        <v>85.0</v>
      </c>
      <c r="AB168" s="31">
        <v>6.0</v>
      </c>
      <c r="AC168" s="32">
        <v>1.0</v>
      </c>
      <c r="AD168" s="26"/>
      <c r="AE168" s="26"/>
      <c r="AF168" s="32">
        <v>26.0</v>
      </c>
      <c r="AG168" s="33">
        <v>1.510300072787E12</v>
      </c>
      <c r="AH168" s="33" t="s">
        <v>2932</v>
      </c>
      <c r="AI168" s="40">
        <v>231999.0</v>
      </c>
    </row>
    <row r="169" ht="38.25" hidden="1" customHeight="1">
      <c r="A169" s="25">
        <v>166.0</v>
      </c>
      <c r="B169" s="26" t="s">
        <v>1037</v>
      </c>
      <c r="C169" s="26" t="s">
        <v>4473</v>
      </c>
      <c r="D169" s="26" t="s">
        <v>4474</v>
      </c>
      <c r="E169" s="26" t="s">
        <v>4468</v>
      </c>
      <c r="F169" s="26" t="s">
        <v>4468</v>
      </c>
      <c r="G169" s="27" t="s">
        <v>1110</v>
      </c>
      <c r="H169" s="27" t="s">
        <v>1110</v>
      </c>
      <c r="I169" s="29">
        <v>4351.0</v>
      </c>
      <c r="J169" s="29" t="s">
        <v>1535</v>
      </c>
      <c r="K169" s="27" t="s">
        <v>1137</v>
      </c>
      <c r="L169" s="25">
        <v>3.0</v>
      </c>
      <c r="M169" s="27" t="s">
        <v>1137</v>
      </c>
      <c r="N169" s="30" t="s">
        <v>1174</v>
      </c>
      <c r="O169" s="26" t="s">
        <v>3940</v>
      </c>
      <c r="P169" s="26" t="s">
        <v>3940</v>
      </c>
      <c r="Q169" s="26" t="str">
        <f t="shared" si="38"/>
        <v>กลุ่มงานบัญชี</v>
      </c>
      <c r="R169" s="26" t="str">
        <f t="shared" si="39"/>
        <v>ภารกิจด้านอำนวยการ</v>
      </c>
      <c r="S169" s="26" t="str">
        <f t="shared" si="40"/>
        <v>กลุ่มงานบัญชี</v>
      </c>
      <c r="T169" s="26" t="s">
        <v>3944</v>
      </c>
      <c r="U169" s="26" t="s">
        <v>1302</v>
      </c>
      <c r="V169" s="25" t="s">
        <v>3945</v>
      </c>
      <c r="W169" s="26" t="s">
        <v>1323</v>
      </c>
      <c r="X169" s="25" t="s">
        <v>46</v>
      </c>
      <c r="Y169" s="31">
        <v>3.0</v>
      </c>
      <c r="Z169" s="31">
        <v>5.0</v>
      </c>
      <c r="AA169" s="31">
        <v>85.0</v>
      </c>
      <c r="AB169" s="31">
        <v>6.0</v>
      </c>
      <c r="AC169" s="32">
        <v>1.0</v>
      </c>
      <c r="AD169" s="26"/>
      <c r="AE169" s="26"/>
      <c r="AF169" s="32">
        <v>26.0</v>
      </c>
      <c r="AG169" s="37">
        <v>1.50990161602E12</v>
      </c>
      <c r="AH169" s="37" t="s">
        <v>2314</v>
      </c>
      <c r="AI169" s="38" t="s">
        <v>4475</v>
      </c>
    </row>
    <row r="170" ht="38.25" hidden="1" customHeight="1">
      <c r="A170" s="25">
        <v>167.0</v>
      </c>
      <c r="B170" s="26" t="s">
        <v>1037</v>
      </c>
      <c r="C170" s="26" t="s">
        <v>4476</v>
      </c>
      <c r="D170" s="26" t="s">
        <v>4477</v>
      </c>
      <c r="E170" s="26" t="s">
        <v>4478</v>
      </c>
      <c r="F170" s="26" t="s">
        <v>4478</v>
      </c>
      <c r="G170" s="27" t="s">
        <v>4249</v>
      </c>
      <c r="H170" s="27" t="s">
        <v>1110</v>
      </c>
      <c r="I170" s="29">
        <v>97836.0</v>
      </c>
      <c r="J170" s="29" t="s">
        <v>1125</v>
      </c>
      <c r="K170" s="27" t="s">
        <v>1137</v>
      </c>
      <c r="L170" s="25">
        <v>3.0</v>
      </c>
      <c r="M170" s="27" t="s">
        <v>1137</v>
      </c>
      <c r="N170" s="30" t="s">
        <v>1174</v>
      </c>
      <c r="O170" s="26" t="s">
        <v>4107</v>
      </c>
      <c r="P170" s="26" t="s">
        <v>4108</v>
      </c>
      <c r="Q170" s="26" t="str">
        <f t="shared" si="38"/>
        <v>กลุ่มงานพัสดุ</v>
      </c>
      <c r="R170" s="26" t="str">
        <f t="shared" si="39"/>
        <v>ภารกิจด้านอำนวยการ</v>
      </c>
      <c r="S170" s="26" t="str">
        <f t="shared" si="40"/>
        <v>กลุ่มงานพัสดุ</v>
      </c>
      <c r="T170" s="26" t="s">
        <v>4107</v>
      </c>
      <c r="U170" s="26" t="s">
        <v>1302</v>
      </c>
      <c r="V170" s="25" t="s">
        <v>3935</v>
      </c>
      <c r="W170" s="26" t="s">
        <v>1323</v>
      </c>
      <c r="X170" s="25" t="s">
        <v>46</v>
      </c>
      <c r="Y170" s="31">
        <v>5.0</v>
      </c>
      <c r="Z170" s="31">
        <v>15.0</v>
      </c>
      <c r="AA170" s="31">
        <v>85.0</v>
      </c>
      <c r="AB170" s="31">
        <v>85.0</v>
      </c>
      <c r="AC170" s="32">
        <v>1.0</v>
      </c>
      <c r="AD170" s="26"/>
      <c r="AE170" s="26"/>
      <c r="AF170" s="32">
        <v>28.0</v>
      </c>
      <c r="AG170" s="33">
        <v>1.50990149692E12</v>
      </c>
      <c r="AH170" s="33" t="s">
        <v>686</v>
      </c>
      <c r="AI170" s="34" t="s">
        <v>4479</v>
      </c>
    </row>
    <row r="171" ht="38.25" hidden="1" customHeight="1">
      <c r="A171" s="32">
        <v>168.0</v>
      </c>
      <c r="B171" s="64" t="s">
        <v>1037</v>
      </c>
      <c r="C171" s="48" t="s">
        <v>4480</v>
      </c>
      <c r="D171" s="48" t="s">
        <v>3980</v>
      </c>
      <c r="E171" s="48" t="s">
        <v>4481</v>
      </c>
      <c r="F171" s="48" t="s">
        <v>4482</v>
      </c>
      <c r="G171" s="50" t="s">
        <v>4159</v>
      </c>
      <c r="H171" s="50" t="s">
        <v>1110</v>
      </c>
      <c r="I171" s="93">
        <v>107111.0</v>
      </c>
      <c r="J171" s="93" t="s">
        <v>1125</v>
      </c>
      <c r="K171" s="50" t="s">
        <v>1137</v>
      </c>
      <c r="L171" s="54">
        <v>2.0</v>
      </c>
      <c r="M171" s="50" t="s">
        <v>1137</v>
      </c>
      <c r="N171" s="94" t="s">
        <v>1174</v>
      </c>
      <c r="O171" s="48" t="s">
        <v>4095</v>
      </c>
      <c r="P171" s="48" t="s">
        <v>4095</v>
      </c>
      <c r="Q171" s="48" t="s">
        <v>4095</v>
      </c>
      <c r="R171" s="48" t="s">
        <v>4054</v>
      </c>
      <c r="S171" s="48" t="s">
        <v>4095</v>
      </c>
      <c r="T171" s="48" t="s">
        <v>4095</v>
      </c>
      <c r="U171" s="48" t="s">
        <v>1302</v>
      </c>
      <c r="V171" s="54">
        <v>14.0</v>
      </c>
      <c r="W171" s="48" t="s">
        <v>4054</v>
      </c>
      <c r="X171" s="55">
        <v>4.0</v>
      </c>
      <c r="Y171" s="56">
        <v>12.0</v>
      </c>
      <c r="Z171" s="56">
        <v>18.0</v>
      </c>
      <c r="AA171" s="56">
        <v>199.0</v>
      </c>
      <c r="AB171" s="56">
        <v>5.0</v>
      </c>
      <c r="AC171" s="57"/>
      <c r="AD171" s="57"/>
      <c r="AE171" s="57"/>
      <c r="AF171" s="48"/>
      <c r="AG171" s="58"/>
      <c r="AH171" s="33"/>
      <c r="AI171" s="40"/>
    </row>
    <row r="172" ht="38.25" hidden="1" customHeight="1">
      <c r="A172" s="25">
        <v>169.0</v>
      </c>
      <c r="B172" s="48" t="s">
        <v>806</v>
      </c>
      <c r="C172" s="48" t="s">
        <v>4483</v>
      </c>
      <c r="D172" s="48" t="s">
        <v>4484</v>
      </c>
      <c r="E172" s="48" t="s">
        <v>4481</v>
      </c>
      <c r="F172" s="48" t="s">
        <v>4482</v>
      </c>
      <c r="G172" s="50" t="s">
        <v>4159</v>
      </c>
      <c r="H172" s="50" t="s">
        <v>1110</v>
      </c>
      <c r="I172" s="93">
        <v>107105.0</v>
      </c>
      <c r="J172" s="93" t="s">
        <v>1125</v>
      </c>
      <c r="K172" s="50" t="s">
        <v>1137</v>
      </c>
      <c r="L172" s="54">
        <v>2.0</v>
      </c>
      <c r="M172" s="50" t="s">
        <v>1137</v>
      </c>
      <c r="N172" s="94" t="s">
        <v>1174</v>
      </c>
      <c r="O172" s="48" t="s">
        <v>4095</v>
      </c>
      <c r="P172" s="48" t="s">
        <v>4095</v>
      </c>
      <c r="Q172" s="48" t="s">
        <v>4095</v>
      </c>
      <c r="R172" s="48" t="s">
        <v>4054</v>
      </c>
      <c r="S172" s="48" t="s">
        <v>4095</v>
      </c>
      <c r="T172" s="48" t="s">
        <v>4095</v>
      </c>
      <c r="U172" s="48" t="s">
        <v>1302</v>
      </c>
      <c r="V172" s="54">
        <v>14.0</v>
      </c>
      <c r="W172" s="48" t="s">
        <v>4054</v>
      </c>
      <c r="X172" s="55">
        <v>4.0</v>
      </c>
      <c r="Y172" s="56">
        <v>12.0</v>
      </c>
      <c r="Z172" s="56">
        <v>18.0</v>
      </c>
      <c r="AA172" s="56">
        <v>199.0</v>
      </c>
      <c r="AB172" s="56">
        <v>5.0</v>
      </c>
      <c r="AC172" s="57"/>
      <c r="AD172" s="57"/>
      <c r="AE172" s="57"/>
      <c r="AF172" s="48"/>
      <c r="AG172" s="58"/>
      <c r="AH172" s="33"/>
      <c r="AI172" s="40"/>
    </row>
    <row r="173" ht="38.25" hidden="1" customHeight="1">
      <c r="A173" s="25">
        <v>170.0</v>
      </c>
      <c r="B173" s="64" t="s">
        <v>1037</v>
      </c>
      <c r="C173" s="48" t="s">
        <v>4485</v>
      </c>
      <c r="D173" s="48" t="s">
        <v>4486</v>
      </c>
      <c r="E173" s="48" t="s">
        <v>4481</v>
      </c>
      <c r="F173" s="48" t="s">
        <v>4482</v>
      </c>
      <c r="G173" s="50" t="s">
        <v>4159</v>
      </c>
      <c r="H173" s="50" t="s">
        <v>1110</v>
      </c>
      <c r="I173" s="93">
        <v>107458.0</v>
      </c>
      <c r="J173" s="93" t="s">
        <v>1125</v>
      </c>
      <c r="K173" s="50" t="s">
        <v>1137</v>
      </c>
      <c r="L173" s="54">
        <v>2.0</v>
      </c>
      <c r="M173" s="50" t="s">
        <v>1137</v>
      </c>
      <c r="N173" s="94" t="s">
        <v>1174</v>
      </c>
      <c r="O173" s="48" t="s">
        <v>4095</v>
      </c>
      <c r="P173" s="48" t="s">
        <v>4095</v>
      </c>
      <c r="Q173" s="48" t="s">
        <v>4095</v>
      </c>
      <c r="R173" s="48" t="s">
        <v>4054</v>
      </c>
      <c r="S173" s="48" t="s">
        <v>4095</v>
      </c>
      <c r="T173" s="48" t="s">
        <v>4095</v>
      </c>
      <c r="U173" s="48" t="s">
        <v>1302</v>
      </c>
      <c r="V173" s="54">
        <v>14.0</v>
      </c>
      <c r="W173" s="48" t="s">
        <v>4054</v>
      </c>
      <c r="X173" s="55">
        <v>4.0</v>
      </c>
      <c r="Y173" s="56">
        <v>12.0</v>
      </c>
      <c r="Z173" s="56">
        <v>18.0</v>
      </c>
      <c r="AA173" s="56">
        <v>199.0</v>
      </c>
      <c r="AB173" s="56">
        <v>5.0</v>
      </c>
      <c r="AC173" s="57"/>
      <c r="AD173" s="57"/>
      <c r="AE173" s="57"/>
      <c r="AF173" s="48"/>
      <c r="AG173" s="58"/>
      <c r="AH173" s="33"/>
      <c r="AI173" s="40"/>
    </row>
    <row r="174" ht="38.25" hidden="1" customHeight="1">
      <c r="A174" s="25">
        <v>171.0</v>
      </c>
      <c r="B174" s="26" t="s">
        <v>1037</v>
      </c>
      <c r="C174" s="26" t="s">
        <v>4487</v>
      </c>
      <c r="D174" s="26" t="s">
        <v>4488</v>
      </c>
      <c r="E174" s="26" t="s">
        <v>4489</v>
      </c>
      <c r="F174" s="26" t="s">
        <v>4482</v>
      </c>
      <c r="G174" s="27" t="s">
        <v>4249</v>
      </c>
      <c r="H174" s="27" t="s">
        <v>1110</v>
      </c>
      <c r="I174" s="29">
        <v>232933.0</v>
      </c>
      <c r="J174" s="29" t="s">
        <v>1125</v>
      </c>
      <c r="K174" s="27" t="s">
        <v>1137</v>
      </c>
      <c r="L174" s="25">
        <v>1.0</v>
      </c>
      <c r="M174" s="27" t="s">
        <v>1137</v>
      </c>
      <c r="N174" s="30" t="s">
        <v>1174</v>
      </c>
      <c r="O174" s="26" t="s">
        <v>4095</v>
      </c>
      <c r="P174" s="26" t="str">
        <f>+O174</f>
        <v>กลุ่มงานทันตกรรม</v>
      </c>
      <c r="Q174" s="26" t="s">
        <v>4095</v>
      </c>
      <c r="R174" s="26" t="str">
        <f>+W174</f>
        <v>ภารกิจด้านบริการทุติยภูมิและตติยภูมิ</v>
      </c>
      <c r="S174" s="26" t="str">
        <f t="shared" ref="S174:S177" si="41">+T174</f>
        <v>กลุ่มงานทันตกรรม</v>
      </c>
      <c r="T174" s="26" t="s">
        <v>4095</v>
      </c>
      <c r="U174" s="26" t="s">
        <v>1302</v>
      </c>
      <c r="V174" s="25">
        <v>14.0</v>
      </c>
      <c r="W174" s="26" t="s">
        <v>4054</v>
      </c>
      <c r="X174" s="25" t="s">
        <v>3978</v>
      </c>
      <c r="Y174" s="31">
        <v>5.0</v>
      </c>
      <c r="Z174" s="31">
        <v>18.0</v>
      </c>
      <c r="AA174" s="31">
        <v>199.0</v>
      </c>
      <c r="AB174" s="31">
        <v>5.0</v>
      </c>
      <c r="AC174" s="32">
        <v>1.0</v>
      </c>
      <c r="AD174" s="26"/>
      <c r="AE174" s="26"/>
      <c r="AF174" s="32">
        <v>18.0</v>
      </c>
      <c r="AG174" s="37">
        <v>1.539900696356E12</v>
      </c>
      <c r="AH174" s="37" t="s">
        <v>1087</v>
      </c>
      <c r="AI174" s="39">
        <v>234801.0</v>
      </c>
    </row>
    <row r="175" ht="38.25" hidden="1" customHeight="1">
      <c r="A175" s="32">
        <v>172.0</v>
      </c>
      <c r="B175" s="26" t="s">
        <v>1037</v>
      </c>
      <c r="C175" s="26" t="s">
        <v>4490</v>
      </c>
      <c r="D175" s="26" t="s">
        <v>4491</v>
      </c>
      <c r="E175" s="26" t="s">
        <v>4492</v>
      </c>
      <c r="F175" s="26" t="s">
        <v>4493</v>
      </c>
      <c r="G175" s="27" t="s">
        <v>4159</v>
      </c>
      <c r="H175" s="27" t="s">
        <v>1110</v>
      </c>
      <c r="I175" s="29">
        <v>107548.0</v>
      </c>
      <c r="J175" s="29" t="s">
        <v>1125</v>
      </c>
      <c r="K175" s="27" t="s">
        <v>1137</v>
      </c>
      <c r="L175" s="25">
        <v>1.0</v>
      </c>
      <c r="M175" s="27" t="s">
        <v>1137</v>
      </c>
      <c r="N175" s="30" t="s">
        <v>1174</v>
      </c>
      <c r="O175" s="26" t="s">
        <v>4494</v>
      </c>
      <c r="P175" s="26" t="s">
        <v>1567</v>
      </c>
      <c r="Q175" s="26" t="str">
        <f t="shared" ref="Q175:Q188" si="42">+T175</f>
        <v>กลุ่มงานยุทธศาสตร์และแผนงานโครงการ</v>
      </c>
      <c r="R175" s="26" t="s">
        <v>4054</v>
      </c>
      <c r="S175" s="26" t="str">
        <f t="shared" si="41"/>
        <v>กลุ่มงานยุทธศาสตร์และแผนงานโครงการ</v>
      </c>
      <c r="T175" s="26" t="s">
        <v>2967</v>
      </c>
      <c r="U175" s="26" t="s">
        <v>1302</v>
      </c>
      <c r="V175" s="25" t="s">
        <v>3935</v>
      </c>
      <c r="W175" s="26" t="s">
        <v>1616</v>
      </c>
      <c r="X175" s="25" t="s">
        <v>21</v>
      </c>
      <c r="Y175" s="31">
        <v>3.0</v>
      </c>
      <c r="Z175" s="31">
        <v>9.0</v>
      </c>
      <c r="AA175" s="31">
        <v>28.0</v>
      </c>
      <c r="AB175" s="31">
        <v>6.0</v>
      </c>
      <c r="AC175" s="32">
        <v>1.0</v>
      </c>
      <c r="AD175" s="26"/>
      <c r="AE175" s="26"/>
      <c r="AF175" s="32">
        <v>19.0</v>
      </c>
      <c r="AG175" s="33">
        <v>1.50070009849E12</v>
      </c>
      <c r="AH175" s="33" t="s">
        <v>2303</v>
      </c>
      <c r="AI175" s="34" t="s">
        <v>4495</v>
      </c>
    </row>
    <row r="176" ht="38.25" hidden="1" customHeight="1">
      <c r="A176" s="25">
        <v>173.0</v>
      </c>
      <c r="B176" s="26" t="s">
        <v>1037</v>
      </c>
      <c r="C176" s="26" t="s">
        <v>4496</v>
      </c>
      <c r="D176" s="26" t="s">
        <v>4497</v>
      </c>
      <c r="E176" s="26" t="s">
        <v>4492</v>
      </c>
      <c r="F176" s="26" t="s">
        <v>4493</v>
      </c>
      <c r="G176" s="27" t="s">
        <v>4159</v>
      </c>
      <c r="H176" s="27" t="s">
        <v>1110</v>
      </c>
      <c r="I176" s="29">
        <v>106772.0</v>
      </c>
      <c r="J176" s="29" t="s">
        <v>1125</v>
      </c>
      <c r="K176" s="27" t="s">
        <v>1137</v>
      </c>
      <c r="L176" s="25">
        <v>1.0</v>
      </c>
      <c r="M176" s="27" t="s">
        <v>1137</v>
      </c>
      <c r="N176" s="30" t="s">
        <v>1174</v>
      </c>
      <c r="O176" s="26" t="s">
        <v>4494</v>
      </c>
      <c r="P176" s="26" t="s">
        <v>1567</v>
      </c>
      <c r="Q176" s="26" t="str">
        <f t="shared" si="42"/>
        <v>กลุ่มงานยุทธศาสตร์และแผนงานโครงการ</v>
      </c>
      <c r="R176" s="26" t="s">
        <v>4054</v>
      </c>
      <c r="S176" s="26" t="str">
        <f t="shared" si="41"/>
        <v>กลุ่มงานยุทธศาสตร์และแผนงานโครงการ</v>
      </c>
      <c r="T176" s="26" t="s">
        <v>2967</v>
      </c>
      <c r="U176" s="26" t="s">
        <v>1302</v>
      </c>
      <c r="V176" s="25" t="s">
        <v>3935</v>
      </c>
      <c r="W176" s="26" t="s">
        <v>1616</v>
      </c>
      <c r="X176" s="25" t="s">
        <v>21</v>
      </c>
      <c r="Y176" s="31">
        <v>3.0</v>
      </c>
      <c r="Z176" s="31">
        <v>9.0</v>
      </c>
      <c r="AA176" s="31">
        <v>28.0</v>
      </c>
      <c r="AB176" s="31">
        <v>6.0</v>
      </c>
      <c r="AC176" s="32">
        <v>1.0</v>
      </c>
      <c r="AD176" s="26"/>
      <c r="AE176" s="26"/>
      <c r="AF176" s="32">
        <v>19.0</v>
      </c>
      <c r="AG176" s="37">
        <v>1.540700083328E12</v>
      </c>
      <c r="AH176" s="37" t="s">
        <v>2768</v>
      </c>
      <c r="AI176" s="38" t="s">
        <v>4498</v>
      </c>
    </row>
    <row r="177" ht="38.25" hidden="1" customHeight="1">
      <c r="A177" s="25">
        <v>174.0</v>
      </c>
      <c r="B177" s="64" t="s">
        <v>1037</v>
      </c>
      <c r="C177" s="64" t="s">
        <v>4499</v>
      </c>
      <c r="D177" s="64" t="s">
        <v>4500</v>
      </c>
      <c r="E177" s="26" t="s">
        <v>4492</v>
      </c>
      <c r="F177" s="26" t="s">
        <v>4493</v>
      </c>
      <c r="G177" s="27" t="s">
        <v>1099</v>
      </c>
      <c r="H177" s="27" t="s">
        <v>1110</v>
      </c>
      <c r="I177" s="29">
        <v>107097.0</v>
      </c>
      <c r="J177" s="29" t="s">
        <v>1125</v>
      </c>
      <c r="K177" s="27" t="s">
        <v>1137</v>
      </c>
      <c r="L177" s="25">
        <v>1.0</v>
      </c>
      <c r="M177" s="27" t="s">
        <v>1137</v>
      </c>
      <c r="N177" s="30" t="s">
        <v>1174</v>
      </c>
      <c r="O177" s="26" t="s">
        <v>4494</v>
      </c>
      <c r="P177" s="26" t="s">
        <v>1567</v>
      </c>
      <c r="Q177" s="26" t="str">
        <f t="shared" si="42"/>
        <v>กลุ่มงานยุทธศาสตร์และแผนงานโครงการ</v>
      </c>
      <c r="R177" s="26" t="s">
        <v>4054</v>
      </c>
      <c r="S177" s="26" t="str">
        <f t="shared" si="41"/>
        <v>กลุ่มงานยุทธศาสตร์และแผนงานโครงการ</v>
      </c>
      <c r="T177" s="26" t="s">
        <v>2967</v>
      </c>
      <c r="U177" s="26" t="s">
        <v>1302</v>
      </c>
      <c r="V177" s="25" t="s">
        <v>3935</v>
      </c>
      <c r="W177" s="26" t="s">
        <v>1616</v>
      </c>
      <c r="X177" s="25" t="s">
        <v>21</v>
      </c>
      <c r="Y177" s="31">
        <v>3.0</v>
      </c>
      <c r="Z177" s="31">
        <v>9.0</v>
      </c>
      <c r="AA177" s="31">
        <v>28.0</v>
      </c>
      <c r="AB177" s="31">
        <v>6.0</v>
      </c>
      <c r="AC177" s="32">
        <v>0.0</v>
      </c>
      <c r="AD177" s="64"/>
      <c r="AE177" s="26"/>
      <c r="AF177" s="32">
        <v>19.0</v>
      </c>
      <c r="AG177" s="65"/>
      <c r="AH177" s="65"/>
      <c r="AI177" s="66"/>
    </row>
    <row r="178" ht="38.25" hidden="1" customHeight="1">
      <c r="A178" s="32">
        <v>175.0</v>
      </c>
      <c r="B178" s="26" t="s">
        <v>806</v>
      </c>
      <c r="C178" s="26" t="s">
        <v>4501</v>
      </c>
      <c r="D178" s="26" t="s">
        <v>4502</v>
      </c>
      <c r="E178" s="26" t="s">
        <v>4503</v>
      </c>
      <c r="F178" s="26" t="s">
        <v>4493</v>
      </c>
      <c r="G178" s="27" t="s">
        <v>4220</v>
      </c>
      <c r="H178" s="27" t="s">
        <v>4253</v>
      </c>
      <c r="I178" s="29">
        <v>232925.0</v>
      </c>
      <c r="J178" s="29" t="s">
        <v>1125</v>
      </c>
      <c r="K178" s="27" t="s">
        <v>1137</v>
      </c>
      <c r="L178" s="25">
        <v>1.0</v>
      </c>
      <c r="M178" s="27" t="s">
        <v>1137</v>
      </c>
      <c r="N178" s="30" t="s">
        <v>1174</v>
      </c>
      <c r="O178" s="26" t="s">
        <v>4504</v>
      </c>
      <c r="P178" s="26" t="s">
        <v>4504</v>
      </c>
      <c r="Q178" s="26" t="str">
        <f t="shared" si="42"/>
        <v>กลุ่มงานเวชระเบียนและข้อมูลทางการแพทย์</v>
      </c>
      <c r="R178" s="26" t="str">
        <f t="shared" ref="R178:R179" si="43">+W178</f>
        <v>ภารกิจสุขภาพดิจิทัล</v>
      </c>
      <c r="S178" s="26" t="s">
        <v>4505</v>
      </c>
      <c r="T178" s="26" t="s">
        <v>4505</v>
      </c>
      <c r="U178" s="26" t="s">
        <v>1302</v>
      </c>
      <c r="V178" s="25" t="s">
        <v>21</v>
      </c>
      <c r="W178" s="26" t="s">
        <v>3972</v>
      </c>
      <c r="X178" s="25" t="s">
        <v>3945</v>
      </c>
      <c r="Y178" s="31">
        <v>3.0</v>
      </c>
      <c r="Z178" s="31">
        <v>4.0</v>
      </c>
      <c r="AA178" s="31">
        <v>15.0</v>
      </c>
      <c r="AB178" s="31">
        <v>35.0</v>
      </c>
      <c r="AC178" s="32">
        <v>1.0</v>
      </c>
      <c r="AD178" s="26"/>
      <c r="AE178" s="26"/>
      <c r="AF178" s="32">
        <v>20.0</v>
      </c>
      <c r="AG178" s="33">
        <v>3.501100166165E12</v>
      </c>
      <c r="AH178" s="33" t="s">
        <v>3382</v>
      </c>
      <c r="AI178" s="34" t="s">
        <v>4506</v>
      </c>
    </row>
    <row r="179" ht="38.25" hidden="1" customHeight="1">
      <c r="A179" s="25">
        <v>176.0</v>
      </c>
      <c r="B179" s="26" t="s">
        <v>1037</v>
      </c>
      <c r="C179" s="26" t="s">
        <v>4507</v>
      </c>
      <c r="D179" s="26" t="s">
        <v>4508</v>
      </c>
      <c r="E179" s="26" t="s">
        <v>4503</v>
      </c>
      <c r="F179" s="26" t="s">
        <v>4493</v>
      </c>
      <c r="G179" s="77" t="s">
        <v>4249</v>
      </c>
      <c r="H179" s="27" t="s">
        <v>1110</v>
      </c>
      <c r="I179" s="29">
        <v>232926.0</v>
      </c>
      <c r="J179" s="29" t="s">
        <v>1125</v>
      </c>
      <c r="K179" s="27" t="s">
        <v>1137</v>
      </c>
      <c r="L179" s="25">
        <v>1.0</v>
      </c>
      <c r="M179" s="27" t="s">
        <v>1137</v>
      </c>
      <c r="N179" s="80" t="s">
        <v>1174</v>
      </c>
      <c r="O179" s="26" t="s">
        <v>4504</v>
      </c>
      <c r="P179" s="26" t="s">
        <v>4504</v>
      </c>
      <c r="Q179" s="26" t="str">
        <f t="shared" si="42"/>
        <v>กลุ่มงานเวชระเบียนและข้อมูลทางการแพทย์</v>
      </c>
      <c r="R179" s="26" t="str">
        <f t="shared" si="43"/>
        <v>ภารกิจสุขภาพดิจิทัล</v>
      </c>
      <c r="S179" s="26" t="s">
        <v>4505</v>
      </c>
      <c r="T179" s="26" t="s">
        <v>4505</v>
      </c>
      <c r="U179" s="26" t="s">
        <v>1302</v>
      </c>
      <c r="V179" s="25" t="s">
        <v>21</v>
      </c>
      <c r="W179" s="26" t="s">
        <v>3972</v>
      </c>
      <c r="X179" s="25" t="s">
        <v>3945</v>
      </c>
      <c r="Y179" s="31">
        <v>3.0</v>
      </c>
      <c r="Z179" s="31">
        <v>4.0</v>
      </c>
      <c r="AA179" s="31">
        <v>15.0</v>
      </c>
      <c r="AB179" s="31">
        <v>35.0</v>
      </c>
      <c r="AC179" s="32">
        <v>1.0</v>
      </c>
      <c r="AD179" s="26"/>
      <c r="AE179" s="26"/>
      <c r="AF179" s="32">
        <v>20.0</v>
      </c>
      <c r="AG179" s="37">
        <v>1.529900690072E12</v>
      </c>
      <c r="AH179" s="37" t="s">
        <v>1586</v>
      </c>
      <c r="AI179" s="44">
        <v>232723.0</v>
      </c>
    </row>
    <row r="180" ht="38.25" hidden="1" customHeight="1">
      <c r="A180" s="25">
        <v>177.0</v>
      </c>
      <c r="B180" s="70"/>
      <c r="C180" s="70"/>
      <c r="D180" s="64">
        <v>1.0</v>
      </c>
      <c r="E180" s="70" t="s">
        <v>4503</v>
      </c>
      <c r="F180" s="70" t="s">
        <v>4493</v>
      </c>
      <c r="G180" s="95" t="s">
        <v>1110</v>
      </c>
      <c r="H180" s="71" t="s">
        <v>1110</v>
      </c>
      <c r="I180" s="72" t="s">
        <v>4509</v>
      </c>
      <c r="J180" s="72" t="s">
        <v>3963</v>
      </c>
      <c r="K180" s="71" t="s">
        <v>1137</v>
      </c>
      <c r="L180" s="73">
        <v>1.0</v>
      </c>
      <c r="M180" s="71" t="s">
        <v>1137</v>
      </c>
      <c r="N180" s="96" t="s">
        <v>1174</v>
      </c>
      <c r="O180" s="97" t="s">
        <v>4504</v>
      </c>
      <c r="P180" s="97" t="s">
        <v>4504</v>
      </c>
      <c r="Q180" s="97" t="str">
        <f t="shared" si="42"/>
        <v>กลุ่มงานเวชระเบียนและข้อมูลทางการแพทย์</v>
      </c>
      <c r="R180" s="97" t="s">
        <v>4054</v>
      </c>
      <c r="S180" s="70" t="s">
        <v>4505</v>
      </c>
      <c r="T180" s="70" t="s">
        <v>4505</v>
      </c>
      <c r="U180" s="70" t="s">
        <v>1302</v>
      </c>
      <c r="V180" s="73" t="s">
        <v>21</v>
      </c>
      <c r="W180" s="70" t="s">
        <v>3972</v>
      </c>
      <c r="X180" s="73" t="s">
        <v>3945</v>
      </c>
      <c r="Y180" s="74">
        <v>3.0</v>
      </c>
      <c r="Z180" s="74">
        <v>4.0</v>
      </c>
      <c r="AA180" s="74">
        <v>15.0</v>
      </c>
      <c r="AB180" s="74">
        <v>35.0</v>
      </c>
      <c r="AC180" s="32">
        <v>0.0</v>
      </c>
      <c r="AD180" s="70" t="s">
        <v>4155</v>
      </c>
      <c r="AE180" s="70"/>
      <c r="AF180" s="75">
        <v>20.0</v>
      </c>
      <c r="AG180" s="65"/>
      <c r="AH180" s="65"/>
      <c r="AI180" s="66"/>
    </row>
    <row r="181" ht="38.25" hidden="1" customHeight="1">
      <c r="A181" s="32">
        <v>178.0</v>
      </c>
      <c r="B181" s="64" t="s">
        <v>2692</v>
      </c>
      <c r="C181" s="64" t="s">
        <v>4510</v>
      </c>
      <c r="D181" s="64" t="s">
        <v>4511</v>
      </c>
      <c r="E181" s="26" t="s">
        <v>4512</v>
      </c>
      <c r="F181" s="26" t="s">
        <v>4513</v>
      </c>
      <c r="G181" s="77" t="s">
        <v>1110</v>
      </c>
      <c r="H181" s="27" t="s">
        <v>1110</v>
      </c>
      <c r="I181" s="90">
        <v>6266.0</v>
      </c>
      <c r="J181" s="90" t="s">
        <v>1535</v>
      </c>
      <c r="K181" s="27" t="s">
        <v>1137</v>
      </c>
      <c r="L181" s="25">
        <v>1.0</v>
      </c>
      <c r="M181" s="27" t="s">
        <v>1137</v>
      </c>
      <c r="N181" s="80" t="s">
        <v>1174</v>
      </c>
      <c r="O181" s="76" t="s">
        <v>4514</v>
      </c>
      <c r="P181" s="76" t="s">
        <v>4514</v>
      </c>
      <c r="Q181" s="76" t="str">
        <f t="shared" si="42"/>
        <v>กลุ่มงานเวชกรรมสังคม</v>
      </c>
      <c r="R181" s="76" t="s">
        <v>4064</v>
      </c>
      <c r="S181" s="26" t="s">
        <v>4514</v>
      </c>
      <c r="T181" s="26" t="s">
        <v>4063</v>
      </c>
      <c r="U181" s="26" t="s">
        <v>1302</v>
      </c>
      <c r="V181" s="25" t="s">
        <v>4515</v>
      </c>
      <c r="W181" s="26" t="s">
        <v>4064</v>
      </c>
      <c r="X181" s="25" t="s">
        <v>3935</v>
      </c>
      <c r="Y181" s="31">
        <v>3.0</v>
      </c>
      <c r="Z181" s="31">
        <v>26.0</v>
      </c>
      <c r="AA181" s="63">
        <v>66.0</v>
      </c>
      <c r="AB181" s="31">
        <v>35.0</v>
      </c>
      <c r="AC181" s="32">
        <v>1.0</v>
      </c>
      <c r="AD181" s="26"/>
      <c r="AE181" s="26"/>
      <c r="AF181" s="32">
        <v>17.0</v>
      </c>
      <c r="AG181" s="33">
        <v>1.500701258369E12</v>
      </c>
      <c r="AH181" s="33" t="s">
        <v>1092</v>
      </c>
      <c r="AI181" s="34" t="s">
        <v>4516</v>
      </c>
    </row>
    <row r="182" ht="38.25" hidden="1" customHeight="1">
      <c r="A182" s="25">
        <v>179.0</v>
      </c>
      <c r="B182" s="26"/>
      <c r="C182" s="26"/>
      <c r="D182" s="26"/>
      <c r="E182" s="26" t="s">
        <v>4512</v>
      </c>
      <c r="F182" s="26" t="s">
        <v>4513</v>
      </c>
      <c r="G182" s="27" t="s">
        <v>4249</v>
      </c>
      <c r="H182" s="27" t="s">
        <v>1110</v>
      </c>
      <c r="I182" s="29">
        <v>107129.0</v>
      </c>
      <c r="J182" s="29" t="s">
        <v>1125</v>
      </c>
      <c r="K182" s="27" t="s">
        <v>1137</v>
      </c>
      <c r="L182" s="25">
        <v>1.0</v>
      </c>
      <c r="M182" s="27" t="s">
        <v>1137</v>
      </c>
      <c r="N182" s="30" t="s">
        <v>1174</v>
      </c>
      <c r="O182" s="26" t="s">
        <v>4517</v>
      </c>
      <c r="P182" s="26" t="s">
        <v>4063</v>
      </c>
      <c r="Q182" s="26" t="str">
        <f t="shared" si="42"/>
        <v>กลุ่มงานเวชกรรมสังคม</v>
      </c>
      <c r="R182" s="26" t="s">
        <v>4054</v>
      </c>
      <c r="S182" s="26" t="s">
        <v>4517</v>
      </c>
      <c r="T182" s="26" t="s">
        <v>4063</v>
      </c>
      <c r="U182" s="26" t="s">
        <v>1302</v>
      </c>
      <c r="V182" s="25" t="s">
        <v>4518</v>
      </c>
      <c r="W182" s="26" t="s">
        <v>4064</v>
      </c>
      <c r="X182" s="25" t="s">
        <v>3935</v>
      </c>
      <c r="Y182" s="31">
        <v>3.0</v>
      </c>
      <c r="Z182" s="31">
        <v>26.0</v>
      </c>
      <c r="AA182" s="31">
        <v>66.0</v>
      </c>
      <c r="AB182" s="31">
        <v>35.0</v>
      </c>
      <c r="AC182" s="32">
        <v>0.0</v>
      </c>
      <c r="AD182" s="26" t="s">
        <v>4519</v>
      </c>
      <c r="AE182" s="26"/>
      <c r="AF182" s="32">
        <v>17.0</v>
      </c>
      <c r="AG182" s="65"/>
      <c r="AH182" s="65"/>
      <c r="AI182" s="66"/>
    </row>
    <row r="183" ht="38.25" customHeight="1">
      <c r="A183" s="25">
        <v>180.0</v>
      </c>
      <c r="B183" s="26" t="s">
        <v>1037</v>
      </c>
      <c r="C183" s="26" t="s">
        <v>4520</v>
      </c>
      <c r="D183" s="26" t="s">
        <v>4521</v>
      </c>
      <c r="E183" s="26" t="s">
        <v>4512</v>
      </c>
      <c r="F183" s="26" t="s">
        <v>4513</v>
      </c>
      <c r="G183" s="27" t="s">
        <v>4249</v>
      </c>
      <c r="H183" s="27" t="s">
        <v>1110</v>
      </c>
      <c r="I183" s="29">
        <v>232932.0</v>
      </c>
      <c r="J183" s="29" t="s">
        <v>1125</v>
      </c>
      <c r="K183" s="27" t="s">
        <v>1137</v>
      </c>
      <c r="L183" s="25">
        <v>1.0</v>
      </c>
      <c r="M183" s="27" t="s">
        <v>1137</v>
      </c>
      <c r="N183" s="30" t="s">
        <v>1174</v>
      </c>
      <c r="O183" s="26"/>
      <c r="P183" s="76" t="s">
        <v>4522</v>
      </c>
      <c r="Q183" s="26" t="str">
        <f t="shared" si="42"/>
        <v>กลุ่มงานเวชกรรมสังคม</v>
      </c>
      <c r="R183" s="26" t="s">
        <v>4064</v>
      </c>
      <c r="S183" s="26" t="s">
        <v>4517</v>
      </c>
      <c r="T183" s="26" t="s">
        <v>4063</v>
      </c>
      <c r="U183" s="26" t="s">
        <v>1302</v>
      </c>
      <c r="V183" s="25" t="s">
        <v>4518</v>
      </c>
      <c r="W183" s="26" t="s">
        <v>4064</v>
      </c>
      <c r="X183" s="25" t="s">
        <v>3935</v>
      </c>
      <c r="Y183" s="31">
        <v>3.0</v>
      </c>
      <c r="Z183" s="31">
        <v>26.0</v>
      </c>
      <c r="AA183" s="63">
        <v>66.0</v>
      </c>
      <c r="AB183" s="31">
        <v>35.0</v>
      </c>
      <c r="AC183" s="32">
        <v>1.0</v>
      </c>
      <c r="AD183" s="26"/>
      <c r="AE183" s="26"/>
      <c r="AF183" s="32">
        <v>17.0</v>
      </c>
      <c r="AG183" s="37">
        <v>1.500300061963E12</v>
      </c>
      <c r="AH183" s="37" t="s">
        <v>1843</v>
      </c>
      <c r="AI183" s="38" t="s">
        <v>4523</v>
      </c>
    </row>
    <row r="184" ht="38.25" hidden="1" customHeight="1">
      <c r="A184" s="25">
        <v>181.0</v>
      </c>
      <c r="B184" s="26" t="s">
        <v>1037</v>
      </c>
      <c r="C184" s="26" t="s">
        <v>4524</v>
      </c>
      <c r="D184" s="26" t="s">
        <v>4525</v>
      </c>
      <c r="E184" s="26" t="s">
        <v>4512</v>
      </c>
      <c r="F184" s="26" t="s">
        <v>4513</v>
      </c>
      <c r="G184" s="27" t="s">
        <v>4249</v>
      </c>
      <c r="H184" s="27" t="s">
        <v>1110</v>
      </c>
      <c r="I184" s="29">
        <v>232913.0</v>
      </c>
      <c r="J184" s="29" t="s">
        <v>1125</v>
      </c>
      <c r="K184" s="27" t="s">
        <v>1137</v>
      </c>
      <c r="L184" s="25">
        <v>1.0</v>
      </c>
      <c r="M184" s="27" t="s">
        <v>1137</v>
      </c>
      <c r="N184" s="30" t="s">
        <v>1174</v>
      </c>
      <c r="O184" s="26" t="s">
        <v>4514</v>
      </c>
      <c r="P184" s="26" t="s">
        <v>4514</v>
      </c>
      <c r="Q184" s="26" t="str">
        <f t="shared" si="42"/>
        <v>กลุ่มงานเวชกรรมสังคม</v>
      </c>
      <c r="R184" s="26" t="s">
        <v>4064</v>
      </c>
      <c r="S184" s="26" t="s">
        <v>4517</v>
      </c>
      <c r="T184" s="26" t="s">
        <v>4063</v>
      </c>
      <c r="U184" s="26" t="s">
        <v>1302</v>
      </c>
      <c r="V184" s="25" t="s">
        <v>4518</v>
      </c>
      <c r="W184" s="26" t="s">
        <v>4064</v>
      </c>
      <c r="X184" s="25" t="s">
        <v>3935</v>
      </c>
      <c r="Y184" s="31">
        <v>3.0</v>
      </c>
      <c r="Z184" s="31">
        <v>26.0</v>
      </c>
      <c r="AA184" s="63">
        <v>66.0</v>
      </c>
      <c r="AB184" s="31">
        <v>35.0</v>
      </c>
      <c r="AC184" s="32">
        <v>1.0</v>
      </c>
      <c r="AD184" s="26"/>
      <c r="AE184" s="26"/>
      <c r="AF184" s="32">
        <v>17.0</v>
      </c>
      <c r="AG184" s="33">
        <v>1.571100148047E12</v>
      </c>
      <c r="AH184" s="33" t="s">
        <v>1206</v>
      </c>
      <c r="AI184" s="40">
        <v>234734.0</v>
      </c>
    </row>
    <row r="185" ht="38.25" hidden="1" customHeight="1">
      <c r="A185" s="32">
        <v>182.0</v>
      </c>
      <c r="B185" s="26" t="s">
        <v>1037</v>
      </c>
      <c r="C185" s="26" t="s">
        <v>4526</v>
      </c>
      <c r="D185" s="26" t="s">
        <v>4527</v>
      </c>
      <c r="E185" s="26" t="s">
        <v>4512</v>
      </c>
      <c r="F185" s="26" t="s">
        <v>4513</v>
      </c>
      <c r="G185" s="27" t="s">
        <v>4249</v>
      </c>
      <c r="H185" s="27" t="s">
        <v>1110</v>
      </c>
      <c r="I185" s="29">
        <v>108237.0</v>
      </c>
      <c r="J185" s="29" t="s">
        <v>1125</v>
      </c>
      <c r="K185" s="27" t="s">
        <v>1137</v>
      </c>
      <c r="L185" s="25">
        <v>1.0</v>
      </c>
      <c r="M185" s="27" t="s">
        <v>1137</v>
      </c>
      <c r="N185" s="30" t="s">
        <v>1174</v>
      </c>
      <c r="O185" s="26" t="s">
        <v>4514</v>
      </c>
      <c r="P185" s="26" t="s">
        <v>4514</v>
      </c>
      <c r="Q185" s="26" t="str">
        <f t="shared" si="42"/>
        <v>กลุ่มงานเวชกรรมสังคม</v>
      </c>
      <c r="R185" s="26" t="s">
        <v>4064</v>
      </c>
      <c r="S185" s="26" t="s">
        <v>4514</v>
      </c>
      <c r="T185" s="26" t="s">
        <v>4063</v>
      </c>
      <c r="U185" s="26" t="s">
        <v>1302</v>
      </c>
      <c r="V185" s="25" t="s">
        <v>4515</v>
      </c>
      <c r="W185" s="26" t="s">
        <v>4064</v>
      </c>
      <c r="X185" s="25" t="s">
        <v>3935</v>
      </c>
      <c r="Y185" s="31">
        <v>3.0</v>
      </c>
      <c r="Z185" s="31">
        <v>26.0</v>
      </c>
      <c r="AA185" s="63">
        <v>66.0</v>
      </c>
      <c r="AB185" s="31">
        <v>35.0</v>
      </c>
      <c r="AC185" s="32">
        <v>1.0</v>
      </c>
      <c r="AD185" s="26"/>
      <c r="AE185" s="26"/>
      <c r="AF185" s="32">
        <v>17.0</v>
      </c>
      <c r="AG185" s="37">
        <v>1.500900156094E12</v>
      </c>
      <c r="AH185" s="37" t="s">
        <v>1847</v>
      </c>
      <c r="AI185" s="44">
        <v>232210.0</v>
      </c>
    </row>
    <row r="186" ht="38.25" hidden="1" customHeight="1">
      <c r="A186" s="25">
        <v>183.0</v>
      </c>
      <c r="B186" s="26" t="s">
        <v>1037</v>
      </c>
      <c r="C186" s="26" t="s">
        <v>4528</v>
      </c>
      <c r="D186" s="26" t="s">
        <v>4529</v>
      </c>
      <c r="E186" s="26" t="s">
        <v>4512</v>
      </c>
      <c r="F186" s="26" t="s">
        <v>4513</v>
      </c>
      <c r="G186" s="27" t="s">
        <v>4249</v>
      </c>
      <c r="H186" s="27" t="s">
        <v>1110</v>
      </c>
      <c r="I186" s="29">
        <v>232914.0</v>
      </c>
      <c r="J186" s="29" t="s">
        <v>1125</v>
      </c>
      <c r="K186" s="27" t="s">
        <v>1137</v>
      </c>
      <c r="L186" s="25">
        <v>1.0</v>
      </c>
      <c r="M186" s="27" t="s">
        <v>1137</v>
      </c>
      <c r="N186" s="30" t="s">
        <v>1174</v>
      </c>
      <c r="O186" s="26" t="s">
        <v>4514</v>
      </c>
      <c r="P186" s="26" t="s">
        <v>4514</v>
      </c>
      <c r="Q186" s="26" t="str">
        <f t="shared" si="42"/>
        <v>กลุ่มงานเวชกรรมสังคม</v>
      </c>
      <c r="R186" s="26" t="s">
        <v>4064</v>
      </c>
      <c r="S186" s="26" t="s">
        <v>4514</v>
      </c>
      <c r="T186" s="26" t="s">
        <v>4063</v>
      </c>
      <c r="U186" s="26" t="s">
        <v>1302</v>
      </c>
      <c r="V186" s="25" t="s">
        <v>4515</v>
      </c>
      <c r="W186" s="26" t="s">
        <v>4064</v>
      </c>
      <c r="X186" s="25" t="s">
        <v>3935</v>
      </c>
      <c r="Y186" s="31">
        <v>3.0</v>
      </c>
      <c r="Z186" s="31">
        <v>26.0</v>
      </c>
      <c r="AA186" s="63">
        <v>66.0</v>
      </c>
      <c r="AB186" s="31">
        <v>35.0</v>
      </c>
      <c r="AC186" s="32">
        <v>1.0</v>
      </c>
      <c r="AD186" s="26"/>
      <c r="AE186" s="26"/>
      <c r="AF186" s="32">
        <v>17.0</v>
      </c>
      <c r="AG186" s="33">
        <v>1.520500116877E12</v>
      </c>
      <c r="AH186" s="33" t="s">
        <v>2013</v>
      </c>
      <c r="AI186" s="34" t="s">
        <v>4530</v>
      </c>
    </row>
    <row r="187" ht="38.25" customHeight="1">
      <c r="A187" s="25">
        <v>184.0</v>
      </c>
      <c r="B187" s="26" t="s">
        <v>2692</v>
      </c>
      <c r="C187" s="26" t="s">
        <v>4531</v>
      </c>
      <c r="D187" s="26" t="s">
        <v>4532</v>
      </c>
      <c r="E187" s="26" t="s">
        <v>4512</v>
      </c>
      <c r="F187" s="26" t="s">
        <v>4513</v>
      </c>
      <c r="G187" s="27" t="s">
        <v>4249</v>
      </c>
      <c r="H187" s="27" t="s">
        <v>1110</v>
      </c>
      <c r="I187" s="29">
        <v>232919.0</v>
      </c>
      <c r="J187" s="29" t="s">
        <v>1125</v>
      </c>
      <c r="K187" s="27" t="s">
        <v>1137</v>
      </c>
      <c r="L187" s="25">
        <v>1.0</v>
      </c>
      <c r="M187" s="27" t="s">
        <v>1137</v>
      </c>
      <c r="N187" s="30" t="s">
        <v>1174</v>
      </c>
      <c r="O187" s="26"/>
      <c r="P187" s="76" t="s">
        <v>4522</v>
      </c>
      <c r="Q187" s="26" t="str">
        <f t="shared" si="42"/>
        <v>กลุ่มงานอาชีวเวชกรรม</v>
      </c>
      <c r="R187" s="26" t="s">
        <v>4064</v>
      </c>
      <c r="S187" s="26" t="s">
        <v>4533</v>
      </c>
      <c r="T187" s="26" t="s">
        <v>4534</v>
      </c>
      <c r="U187" s="26" t="s">
        <v>1302</v>
      </c>
      <c r="V187" s="25" t="s">
        <v>4535</v>
      </c>
      <c r="W187" s="26" t="s">
        <v>4064</v>
      </c>
      <c r="X187" s="25" t="s">
        <v>3935</v>
      </c>
      <c r="Y187" s="31">
        <v>2.0</v>
      </c>
      <c r="Z187" s="31">
        <v>17.0</v>
      </c>
      <c r="AA187" s="63">
        <v>66.0</v>
      </c>
      <c r="AB187" s="31">
        <v>35.0</v>
      </c>
      <c r="AC187" s="32">
        <v>1.0</v>
      </c>
      <c r="AD187" s="26"/>
      <c r="AE187" s="26"/>
      <c r="AF187" s="32">
        <v>17.0</v>
      </c>
      <c r="AG187" s="33">
        <v>1.559900291305E12</v>
      </c>
      <c r="AH187" s="33" t="s">
        <v>1197</v>
      </c>
      <c r="AI187" s="34" t="s">
        <v>4536</v>
      </c>
    </row>
    <row r="188" ht="38.25" hidden="1" customHeight="1">
      <c r="A188" s="32">
        <v>185.0</v>
      </c>
      <c r="B188" s="26" t="s">
        <v>806</v>
      </c>
      <c r="C188" s="26" t="s">
        <v>4537</v>
      </c>
      <c r="D188" s="26" t="s">
        <v>4538</v>
      </c>
      <c r="E188" s="26" t="s">
        <v>4512</v>
      </c>
      <c r="F188" s="26" t="s">
        <v>4513</v>
      </c>
      <c r="G188" s="27" t="s">
        <v>4249</v>
      </c>
      <c r="H188" s="27" t="s">
        <v>1110</v>
      </c>
      <c r="I188" s="29">
        <v>232921.0</v>
      </c>
      <c r="J188" s="29" t="s">
        <v>1125</v>
      </c>
      <c r="K188" s="27" t="s">
        <v>1137</v>
      </c>
      <c r="L188" s="25">
        <v>1.0</v>
      </c>
      <c r="M188" s="27" t="s">
        <v>1137</v>
      </c>
      <c r="N188" s="30" t="s">
        <v>1174</v>
      </c>
      <c r="O188" s="26" t="s">
        <v>4534</v>
      </c>
      <c r="P188" s="26" t="s">
        <v>4539</v>
      </c>
      <c r="Q188" s="26" t="str">
        <f t="shared" si="42"/>
        <v>กลุ่มงานอาชีวเวชกรรม</v>
      </c>
      <c r="R188" s="26" t="s">
        <v>4064</v>
      </c>
      <c r="S188" s="26" t="s">
        <v>4540</v>
      </c>
      <c r="T188" s="26" t="s">
        <v>4534</v>
      </c>
      <c r="U188" s="26" t="s">
        <v>1302</v>
      </c>
      <c r="V188" s="25" t="s">
        <v>4541</v>
      </c>
      <c r="W188" s="26" t="s">
        <v>4064</v>
      </c>
      <c r="X188" s="25" t="s">
        <v>3935</v>
      </c>
      <c r="Y188" s="31">
        <v>1.0</v>
      </c>
      <c r="Z188" s="31">
        <v>17.0</v>
      </c>
      <c r="AA188" s="63">
        <v>66.0</v>
      </c>
      <c r="AB188" s="31">
        <v>35.0</v>
      </c>
      <c r="AC188" s="32">
        <v>1.0</v>
      </c>
      <c r="AD188" s="26"/>
      <c r="AE188" s="26"/>
      <c r="AF188" s="32">
        <v>17.0</v>
      </c>
      <c r="AG188" s="46"/>
      <c r="AH188" s="46"/>
      <c r="AI188" s="47"/>
    </row>
    <row r="189" ht="38.25" hidden="1" customHeight="1">
      <c r="A189" s="25">
        <v>186.0</v>
      </c>
      <c r="B189" s="26" t="s">
        <v>1037</v>
      </c>
      <c r="C189" s="26" t="s">
        <v>4542</v>
      </c>
      <c r="D189" s="26" t="s">
        <v>4543</v>
      </c>
      <c r="E189" s="26" t="s">
        <v>4512</v>
      </c>
      <c r="F189" s="26" t="s">
        <v>4513</v>
      </c>
      <c r="G189" s="27" t="s">
        <v>4249</v>
      </c>
      <c r="H189" s="27" t="s">
        <v>1110</v>
      </c>
      <c r="I189" s="29">
        <v>232922.0</v>
      </c>
      <c r="J189" s="29" t="s">
        <v>1125</v>
      </c>
      <c r="K189" s="27" t="s">
        <v>1137</v>
      </c>
      <c r="L189" s="25">
        <v>1.0</v>
      </c>
      <c r="M189" s="27" t="s">
        <v>1137</v>
      </c>
      <c r="N189" s="30" t="s">
        <v>1174</v>
      </c>
      <c r="O189" s="26" t="s">
        <v>4534</v>
      </c>
      <c r="P189" s="26" t="s">
        <v>4539</v>
      </c>
      <c r="Q189" s="26" t="s">
        <v>4534</v>
      </c>
      <c r="R189" s="26" t="s">
        <v>4064</v>
      </c>
      <c r="S189" s="26" t="s">
        <v>4544</v>
      </c>
      <c r="T189" s="26" t="s">
        <v>4534</v>
      </c>
      <c r="U189" s="26" t="s">
        <v>1302</v>
      </c>
      <c r="V189" s="98" t="s">
        <v>4545</v>
      </c>
      <c r="W189" s="26" t="s">
        <v>4064</v>
      </c>
      <c r="X189" s="25" t="s">
        <v>3935</v>
      </c>
      <c r="Y189" s="31">
        <v>1.0</v>
      </c>
      <c r="Z189" s="31">
        <v>17.0</v>
      </c>
      <c r="AA189" s="63">
        <v>66.0</v>
      </c>
      <c r="AB189" s="31">
        <v>35.0</v>
      </c>
      <c r="AC189" s="32">
        <v>1.0</v>
      </c>
      <c r="AD189" s="26"/>
      <c r="AE189" s="26"/>
      <c r="AF189" s="32">
        <v>17.0</v>
      </c>
      <c r="AG189" s="37">
        <v>1.529900550963E12</v>
      </c>
      <c r="AH189" s="37" t="s">
        <v>2009</v>
      </c>
      <c r="AI189" s="44">
        <v>232144.0</v>
      </c>
    </row>
    <row r="190" ht="38.25" hidden="1" customHeight="1">
      <c r="A190" s="25">
        <v>187.0</v>
      </c>
      <c r="B190" s="26" t="s">
        <v>1037</v>
      </c>
      <c r="C190" s="26" t="s">
        <v>4546</v>
      </c>
      <c r="D190" s="26" t="s">
        <v>4547</v>
      </c>
      <c r="E190" s="26" t="s">
        <v>4512</v>
      </c>
      <c r="F190" s="26" t="s">
        <v>4513</v>
      </c>
      <c r="G190" s="27" t="s">
        <v>4220</v>
      </c>
      <c r="H190" s="27" t="s">
        <v>4253</v>
      </c>
      <c r="I190" s="29">
        <v>108067.0</v>
      </c>
      <c r="J190" s="29" t="s">
        <v>1125</v>
      </c>
      <c r="K190" s="27" t="s">
        <v>1137</v>
      </c>
      <c r="L190" s="25">
        <v>1.0</v>
      </c>
      <c r="M190" s="27" t="s">
        <v>1137</v>
      </c>
      <c r="N190" s="30" t="s">
        <v>1174</v>
      </c>
      <c r="O190" s="26" t="s">
        <v>1557</v>
      </c>
      <c r="P190" s="26" t="s">
        <v>1567</v>
      </c>
      <c r="Q190" s="26" t="str">
        <f>+T190</f>
        <v>กลุ่มงานประกันสุขภาพ</v>
      </c>
      <c r="R190" s="26" t="str">
        <f t="shared" ref="R190:R200" si="44">+W190</f>
        <v>ภารกิจด้านพัฒนาระบบบริการและสนับสนุนบริการสุขภาพ</v>
      </c>
      <c r="S190" s="26" t="str">
        <f t="shared" ref="S190:S200" si="45">+T190</f>
        <v>กลุ่มงานประกันสุขภาพ</v>
      </c>
      <c r="T190" s="26" t="s">
        <v>1601</v>
      </c>
      <c r="U190" s="26" t="s">
        <v>1302</v>
      </c>
      <c r="V190" s="25" t="s">
        <v>46</v>
      </c>
      <c r="W190" s="26" t="s">
        <v>1616</v>
      </c>
      <c r="X190" s="25" t="s">
        <v>21</v>
      </c>
      <c r="Y190" s="31">
        <v>5.0</v>
      </c>
      <c r="Z190" s="31">
        <v>7.0</v>
      </c>
      <c r="AA190" s="31">
        <v>28.0</v>
      </c>
      <c r="AB190" s="31">
        <v>35.0</v>
      </c>
      <c r="AC190" s="32">
        <v>1.0</v>
      </c>
      <c r="AD190" s="26"/>
      <c r="AE190" s="26" t="s">
        <v>4548</v>
      </c>
      <c r="AF190" s="32">
        <v>17.0</v>
      </c>
      <c r="AG190" s="37">
        <v>1.580300045631E12</v>
      </c>
      <c r="AH190" s="37" t="s">
        <v>3551</v>
      </c>
      <c r="AI190" s="38" t="s">
        <v>4549</v>
      </c>
    </row>
    <row r="191" ht="38.25" hidden="1" customHeight="1">
      <c r="A191" s="32">
        <v>188.0</v>
      </c>
      <c r="B191" s="26" t="s">
        <v>1037</v>
      </c>
      <c r="C191" s="26" t="s">
        <v>4550</v>
      </c>
      <c r="D191" s="26" t="s">
        <v>4551</v>
      </c>
      <c r="E191" s="26" t="s">
        <v>4512</v>
      </c>
      <c r="F191" s="26" t="s">
        <v>4513</v>
      </c>
      <c r="G191" s="27" t="s">
        <v>4249</v>
      </c>
      <c r="H191" s="27" t="s">
        <v>1110</v>
      </c>
      <c r="I191" s="29">
        <v>232912.0</v>
      </c>
      <c r="J191" s="29" t="s">
        <v>1125</v>
      </c>
      <c r="K191" s="27" t="s">
        <v>1137</v>
      </c>
      <c r="L191" s="25">
        <v>1.0</v>
      </c>
      <c r="M191" s="27" t="s">
        <v>1137</v>
      </c>
      <c r="N191" s="30" t="s">
        <v>1174</v>
      </c>
      <c r="O191" s="26" t="str">
        <f t="shared" ref="O191:O195" si="46">+T191</f>
        <v>กลุ่มงานยุทธศาสตร์และแผนงานโครงการ</v>
      </c>
      <c r="P191" s="26" t="s">
        <v>1567</v>
      </c>
      <c r="Q191" s="26" t="str">
        <f>+R191</f>
        <v>ภารกิจด้านพัฒนาระบบบริการและสนับสนุนบริการสุขภาพ</v>
      </c>
      <c r="R191" s="26" t="str">
        <f t="shared" si="44"/>
        <v>ภารกิจด้านพัฒนาระบบบริการและสนับสนุนบริการสุขภาพ</v>
      </c>
      <c r="S191" s="26" t="str">
        <f t="shared" si="45"/>
        <v>กลุ่มงานยุทธศาสตร์และแผนงานโครงการ</v>
      </c>
      <c r="T191" s="64" t="s">
        <v>2967</v>
      </c>
      <c r="U191" s="26" t="s">
        <v>1302</v>
      </c>
      <c r="V191" s="25" t="s">
        <v>3935</v>
      </c>
      <c r="W191" s="26" t="s">
        <v>1616</v>
      </c>
      <c r="X191" s="25" t="s">
        <v>21</v>
      </c>
      <c r="Y191" s="31">
        <v>5.0</v>
      </c>
      <c r="Z191" s="31">
        <v>5.0</v>
      </c>
      <c r="AA191" s="31">
        <v>28.0</v>
      </c>
      <c r="AB191" s="31">
        <v>35.0</v>
      </c>
      <c r="AC191" s="32">
        <v>1.0</v>
      </c>
      <c r="AD191" s="26"/>
      <c r="AE191" s="26" t="s">
        <v>4552</v>
      </c>
      <c r="AF191" s="32">
        <v>17.0</v>
      </c>
      <c r="AG191" s="37">
        <v>1.560100391617E12</v>
      </c>
      <c r="AH191" s="37" t="s">
        <v>2437</v>
      </c>
      <c r="AI191" s="38" t="s">
        <v>4553</v>
      </c>
    </row>
    <row r="192" ht="38.25" hidden="1" customHeight="1">
      <c r="A192" s="25">
        <v>189.0</v>
      </c>
      <c r="B192" s="26" t="s">
        <v>2692</v>
      </c>
      <c r="C192" s="26" t="s">
        <v>4554</v>
      </c>
      <c r="D192" s="26" t="s">
        <v>4555</v>
      </c>
      <c r="E192" s="26" t="s">
        <v>4512</v>
      </c>
      <c r="F192" s="26" t="s">
        <v>4513</v>
      </c>
      <c r="G192" s="27" t="s">
        <v>4249</v>
      </c>
      <c r="H192" s="27" t="s">
        <v>1110</v>
      </c>
      <c r="I192" s="29">
        <v>232915.0</v>
      </c>
      <c r="J192" s="29" t="s">
        <v>1125</v>
      </c>
      <c r="K192" s="27" t="s">
        <v>1137</v>
      </c>
      <c r="L192" s="25">
        <v>1.0</v>
      </c>
      <c r="M192" s="27" t="s">
        <v>1137</v>
      </c>
      <c r="N192" s="30" t="s">
        <v>1174</v>
      </c>
      <c r="O192" s="26" t="str">
        <f t="shared" si="46"/>
        <v>กลุ่มงานพัฒนาคุณภาพบริการและมาตรฐาน</v>
      </c>
      <c r="P192" s="26" t="s">
        <v>1567</v>
      </c>
      <c r="Q192" s="26" t="str">
        <f t="shared" ref="Q192:Q215" si="47">+T192</f>
        <v>กลุ่มงานพัฒนาคุณภาพบริการและมาตรฐาน</v>
      </c>
      <c r="R192" s="26" t="str">
        <f t="shared" si="44"/>
        <v>ภารกิจด้านพัฒนาระบบบริการและสนับสนุนบริการสุขภาพ</v>
      </c>
      <c r="S192" s="26" t="str">
        <f t="shared" si="45"/>
        <v>กลุ่มงานพัฒนาคุณภาพบริการและมาตรฐาน</v>
      </c>
      <c r="T192" s="26" t="s">
        <v>754</v>
      </c>
      <c r="U192" s="26" t="s">
        <v>1302</v>
      </c>
      <c r="V192" s="25" t="s">
        <v>3978</v>
      </c>
      <c r="W192" s="26" t="s">
        <v>1616</v>
      </c>
      <c r="X192" s="25" t="s">
        <v>21</v>
      </c>
      <c r="Y192" s="31">
        <v>5.0</v>
      </c>
      <c r="Z192" s="31">
        <v>7.0</v>
      </c>
      <c r="AA192" s="31">
        <v>28.0</v>
      </c>
      <c r="AB192" s="31">
        <v>35.0</v>
      </c>
      <c r="AC192" s="32">
        <v>1.0</v>
      </c>
      <c r="AD192" s="26"/>
      <c r="AE192" s="26"/>
      <c r="AF192" s="32">
        <v>17.0</v>
      </c>
      <c r="AG192" s="37">
        <v>1.510100323549E12</v>
      </c>
      <c r="AH192" s="37" t="s">
        <v>1182</v>
      </c>
      <c r="AI192" s="62"/>
    </row>
    <row r="193" ht="38.25" hidden="1" customHeight="1">
      <c r="A193" s="25">
        <v>190.0</v>
      </c>
      <c r="B193" s="26" t="s">
        <v>2692</v>
      </c>
      <c r="C193" s="26" t="s">
        <v>4556</v>
      </c>
      <c r="D193" s="26" t="s">
        <v>4557</v>
      </c>
      <c r="E193" s="26" t="s">
        <v>4512</v>
      </c>
      <c r="F193" s="26" t="s">
        <v>4513</v>
      </c>
      <c r="G193" s="27" t="s">
        <v>4249</v>
      </c>
      <c r="H193" s="27" t="s">
        <v>1110</v>
      </c>
      <c r="I193" s="29">
        <v>232918.0</v>
      </c>
      <c r="J193" s="29" t="s">
        <v>1125</v>
      </c>
      <c r="K193" s="27" t="s">
        <v>1137</v>
      </c>
      <c r="L193" s="25">
        <v>1.0</v>
      </c>
      <c r="M193" s="27" t="s">
        <v>1137</v>
      </c>
      <c r="N193" s="30" t="s">
        <v>1174</v>
      </c>
      <c r="O193" s="26" t="str">
        <f t="shared" si="46"/>
        <v>กลุ่มงานพัฒนาคุณภาพบริการและมาตรฐาน</v>
      </c>
      <c r="P193" s="26" t="s">
        <v>1567</v>
      </c>
      <c r="Q193" s="26" t="str">
        <f t="shared" si="47"/>
        <v>กลุ่มงานพัฒนาคุณภาพบริการและมาตรฐาน</v>
      </c>
      <c r="R193" s="26" t="str">
        <f t="shared" si="44"/>
        <v>ภารกิจด้านพัฒนาระบบบริการและสนับสนุนบริการสุขภาพ</v>
      </c>
      <c r="S193" s="26" t="str">
        <f t="shared" si="45"/>
        <v>กลุ่มงานพัฒนาคุณภาพบริการและมาตรฐาน</v>
      </c>
      <c r="T193" s="26" t="s">
        <v>754</v>
      </c>
      <c r="U193" s="26" t="s">
        <v>1302</v>
      </c>
      <c r="V193" s="25" t="s">
        <v>3978</v>
      </c>
      <c r="W193" s="26" t="s">
        <v>1616</v>
      </c>
      <c r="X193" s="25" t="s">
        <v>21</v>
      </c>
      <c r="Y193" s="31">
        <v>5.0</v>
      </c>
      <c r="Z193" s="31">
        <v>7.0</v>
      </c>
      <c r="AA193" s="31">
        <v>28.0</v>
      </c>
      <c r="AB193" s="31">
        <v>35.0</v>
      </c>
      <c r="AC193" s="32">
        <v>1.0</v>
      </c>
      <c r="AD193" s="26"/>
      <c r="AE193" s="26"/>
      <c r="AF193" s="32">
        <v>17.0</v>
      </c>
      <c r="AG193" s="33">
        <v>1.579900735041E12</v>
      </c>
      <c r="AH193" s="33" t="s">
        <v>1192</v>
      </c>
      <c r="AI193" s="34" t="s">
        <v>4558</v>
      </c>
    </row>
    <row r="194" ht="38.25" hidden="1" customHeight="1">
      <c r="A194" s="32">
        <v>191.0</v>
      </c>
      <c r="B194" s="26" t="s">
        <v>1037</v>
      </c>
      <c r="C194" s="26" t="s">
        <v>4559</v>
      </c>
      <c r="D194" s="26" t="s">
        <v>4560</v>
      </c>
      <c r="E194" s="26" t="s">
        <v>4512</v>
      </c>
      <c r="F194" s="26" t="s">
        <v>4513</v>
      </c>
      <c r="G194" s="27" t="s">
        <v>4249</v>
      </c>
      <c r="H194" s="27" t="s">
        <v>1110</v>
      </c>
      <c r="I194" s="29">
        <v>232924.0</v>
      </c>
      <c r="J194" s="29" t="s">
        <v>1125</v>
      </c>
      <c r="K194" s="27" t="s">
        <v>1137</v>
      </c>
      <c r="L194" s="25">
        <v>1.0</v>
      </c>
      <c r="M194" s="27" t="s">
        <v>1137</v>
      </c>
      <c r="N194" s="30" t="s">
        <v>1174</v>
      </c>
      <c r="O194" s="26" t="str">
        <f t="shared" si="46"/>
        <v>กลุ่มงานพัฒนาคุณภาพบริการและมาตรฐาน</v>
      </c>
      <c r="P194" s="26" t="s">
        <v>1567</v>
      </c>
      <c r="Q194" s="26" t="str">
        <f t="shared" si="47"/>
        <v>กลุ่มงานพัฒนาคุณภาพบริการและมาตรฐาน</v>
      </c>
      <c r="R194" s="26" t="str">
        <f t="shared" si="44"/>
        <v>ภารกิจด้านพัฒนาระบบบริการและสนับสนุนบริการสุขภาพ</v>
      </c>
      <c r="S194" s="26" t="str">
        <f t="shared" si="45"/>
        <v>กลุ่มงานพัฒนาคุณภาพบริการและมาตรฐาน</v>
      </c>
      <c r="T194" s="26" t="s">
        <v>754</v>
      </c>
      <c r="U194" s="26" t="s">
        <v>1302</v>
      </c>
      <c r="V194" s="25" t="s">
        <v>3978</v>
      </c>
      <c r="W194" s="26" t="s">
        <v>1616</v>
      </c>
      <c r="X194" s="25" t="s">
        <v>21</v>
      </c>
      <c r="Y194" s="31">
        <v>5.0</v>
      </c>
      <c r="Z194" s="31">
        <v>7.0</v>
      </c>
      <c r="AA194" s="31">
        <v>28.0</v>
      </c>
      <c r="AB194" s="31">
        <v>35.0</v>
      </c>
      <c r="AC194" s="32">
        <v>1.0</v>
      </c>
      <c r="AD194" s="26"/>
      <c r="AE194" s="26"/>
      <c r="AF194" s="32">
        <v>17.0</v>
      </c>
      <c r="AG194" s="37">
        <v>1.571200083826E12</v>
      </c>
      <c r="AH194" s="37" t="s">
        <v>1177</v>
      </c>
      <c r="AI194" s="38" t="s">
        <v>4498</v>
      </c>
    </row>
    <row r="195" ht="38.25" hidden="1" customHeight="1">
      <c r="A195" s="25">
        <v>192.0</v>
      </c>
      <c r="B195" s="26" t="s">
        <v>1037</v>
      </c>
      <c r="C195" s="26" t="s">
        <v>4561</v>
      </c>
      <c r="D195" s="26" t="s">
        <v>4562</v>
      </c>
      <c r="E195" s="26" t="s">
        <v>4512</v>
      </c>
      <c r="F195" s="26" t="s">
        <v>4513</v>
      </c>
      <c r="G195" s="27" t="s">
        <v>4249</v>
      </c>
      <c r="H195" s="27" t="s">
        <v>1110</v>
      </c>
      <c r="I195" s="29">
        <v>106237.0</v>
      </c>
      <c r="J195" s="29" t="s">
        <v>1125</v>
      </c>
      <c r="K195" s="27" t="s">
        <v>1137</v>
      </c>
      <c r="L195" s="25">
        <v>1.0</v>
      </c>
      <c r="M195" s="27" t="s">
        <v>1137</v>
      </c>
      <c r="N195" s="30" t="s">
        <v>1174</v>
      </c>
      <c r="O195" s="26" t="str">
        <f t="shared" si="46"/>
        <v>กลุ่มงานพัฒนาคุณภาพบริการและมาตรฐาน</v>
      </c>
      <c r="P195" s="26" t="s">
        <v>1567</v>
      </c>
      <c r="Q195" s="26" t="str">
        <f t="shared" si="47"/>
        <v>กลุ่มงานพัฒนาคุณภาพบริการและมาตรฐาน</v>
      </c>
      <c r="R195" s="26" t="str">
        <f t="shared" si="44"/>
        <v>ภารกิจด้านพัฒนาระบบบริการและสนับสนุนบริการสุขภาพ</v>
      </c>
      <c r="S195" s="26" t="str">
        <f t="shared" si="45"/>
        <v>กลุ่มงานพัฒนาคุณภาพบริการและมาตรฐาน</v>
      </c>
      <c r="T195" s="26" t="s">
        <v>754</v>
      </c>
      <c r="U195" s="26" t="s">
        <v>1302</v>
      </c>
      <c r="V195" s="25" t="s">
        <v>3978</v>
      </c>
      <c r="W195" s="26" t="s">
        <v>1616</v>
      </c>
      <c r="X195" s="25" t="s">
        <v>21</v>
      </c>
      <c r="Y195" s="31">
        <v>5.0</v>
      </c>
      <c r="Z195" s="31">
        <v>7.0</v>
      </c>
      <c r="AA195" s="31">
        <v>28.0</v>
      </c>
      <c r="AB195" s="31">
        <v>35.0</v>
      </c>
      <c r="AC195" s="32">
        <v>1.0</v>
      </c>
      <c r="AD195" s="26"/>
      <c r="AE195" s="26" t="s">
        <v>4563</v>
      </c>
      <c r="AF195" s="32">
        <v>17.0</v>
      </c>
      <c r="AG195" s="33">
        <v>1.560100286201E12</v>
      </c>
      <c r="AH195" s="33" t="s">
        <v>2063</v>
      </c>
      <c r="AI195" s="34" t="s">
        <v>4564</v>
      </c>
    </row>
    <row r="196" ht="38.25" hidden="1" customHeight="1">
      <c r="A196" s="25">
        <v>193.0</v>
      </c>
      <c r="B196" s="26"/>
      <c r="C196" s="26"/>
      <c r="D196" s="26"/>
      <c r="E196" s="26" t="s">
        <v>4512</v>
      </c>
      <c r="F196" s="26" t="s">
        <v>4513</v>
      </c>
      <c r="G196" s="27" t="s">
        <v>4249</v>
      </c>
      <c r="H196" s="27" t="s">
        <v>1110</v>
      </c>
      <c r="I196" s="29">
        <v>160849.0</v>
      </c>
      <c r="J196" s="29" t="s">
        <v>1125</v>
      </c>
      <c r="K196" s="27" t="s">
        <v>1137</v>
      </c>
      <c r="L196" s="25">
        <v>1.0</v>
      </c>
      <c r="M196" s="27" t="s">
        <v>1137</v>
      </c>
      <c r="N196" s="30" t="s">
        <v>1174</v>
      </c>
      <c r="O196" s="26" t="s">
        <v>2344</v>
      </c>
      <c r="P196" s="26" t="s">
        <v>1567</v>
      </c>
      <c r="Q196" s="26" t="str">
        <f t="shared" si="47"/>
        <v>กลุ่มงานพัฒนาทรัพยากรบุคคล</v>
      </c>
      <c r="R196" s="26" t="str">
        <f t="shared" si="44"/>
        <v>ภารกิจด้านพัฒนาระบบบริการและสนับสนุนบริการสุขภาพ</v>
      </c>
      <c r="S196" s="26" t="str">
        <f t="shared" si="45"/>
        <v>กลุ่มงานพัฒนาทรัพยากรบุคคล</v>
      </c>
      <c r="T196" s="26" t="s">
        <v>2344</v>
      </c>
      <c r="U196" s="26" t="s">
        <v>1302</v>
      </c>
      <c r="V196" s="25" t="s">
        <v>21</v>
      </c>
      <c r="W196" s="26" t="s">
        <v>1616</v>
      </c>
      <c r="X196" s="25" t="s">
        <v>21</v>
      </c>
      <c r="Y196" s="31">
        <v>1.0</v>
      </c>
      <c r="Z196" s="31">
        <v>5.0</v>
      </c>
      <c r="AA196" s="31">
        <v>28.0</v>
      </c>
      <c r="AB196" s="31">
        <v>35.0</v>
      </c>
      <c r="AC196" s="32">
        <v>0.0</v>
      </c>
      <c r="AD196" s="26"/>
      <c r="AE196" s="26" t="s">
        <v>4565</v>
      </c>
      <c r="AF196" s="32">
        <v>17.0</v>
      </c>
      <c r="AG196" s="65"/>
      <c r="AH196" s="65"/>
      <c r="AI196" s="66"/>
    </row>
    <row r="197" ht="38.25" hidden="1" customHeight="1">
      <c r="A197" s="32">
        <v>194.0</v>
      </c>
      <c r="B197" s="26" t="s">
        <v>1037</v>
      </c>
      <c r="C197" s="26" t="s">
        <v>4566</v>
      </c>
      <c r="D197" s="26" t="s">
        <v>4567</v>
      </c>
      <c r="E197" s="26" t="s">
        <v>4512</v>
      </c>
      <c r="F197" s="26" t="s">
        <v>4513</v>
      </c>
      <c r="G197" s="27" t="s">
        <v>4249</v>
      </c>
      <c r="H197" s="27" t="s">
        <v>1110</v>
      </c>
      <c r="I197" s="29">
        <v>232916.0</v>
      </c>
      <c r="J197" s="29" t="s">
        <v>1125</v>
      </c>
      <c r="K197" s="27" t="s">
        <v>1137</v>
      </c>
      <c r="L197" s="25">
        <v>1.0</v>
      </c>
      <c r="M197" s="27" t="s">
        <v>1137</v>
      </c>
      <c r="N197" s="30" t="s">
        <v>1174</v>
      </c>
      <c r="O197" s="26" t="str">
        <f t="shared" ref="O197:O199" si="48">+T197</f>
        <v>กลุ่มงานยุทธศาสตร์และแผนงานโครงการ</v>
      </c>
      <c r="P197" s="26" t="s">
        <v>1567</v>
      </c>
      <c r="Q197" s="26" t="str">
        <f t="shared" si="47"/>
        <v>กลุ่มงานยุทธศาสตร์และแผนงานโครงการ</v>
      </c>
      <c r="R197" s="26" t="str">
        <f t="shared" si="44"/>
        <v>ภารกิจด้านพัฒนาระบบบริการและสนับสนุนบริการสุขภาพ</v>
      </c>
      <c r="S197" s="26" t="str">
        <f t="shared" si="45"/>
        <v>กลุ่มงานยุทธศาสตร์และแผนงานโครงการ</v>
      </c>
      <c r="T197" s="26" t="s">
        <v>2967</v>
      </c>
      <c r="U197" s="26" t="s">
        <v>1302</v>
      </c>
      <c r="V197" s="25" t="s">
        <v>3935</v>
      </c>
      <c r="W197" s="26" t="s">
        <v>1616</v>
      </c>
      <c r="X197" s="25" t="s">
        <v>21</v>
      </c>
      <c r="Y197" s="31">
        <v>5.0</v>
      </c>
      <c r="Z197" s="31">
        <v>9.0</v>
      </c>
      <c r="AA197" s="31">
        <v>28.0</v>
      </c>
      <c r="AB197" s="31">
        <v>35.0</v>
      </c>
      <c r="AC197" s="32">
        <v>1.0</v>
      </c>
      <c r="AD197" s="26"/>
      <c r="AE197" s="26"/>
      <c r="AF197" s="32">
        <v>17.0</v>
      </c>
      <c r="AG197" s="33">
        <v>1.529900833531E12</v>
      </c>
      <c r="AH197" s="33" t="s">
        <v>1595</v>
      </c>
      <c r="AI197" s="40">
        <v>233429.0</v>
      </c>
    </row>
    <row r="198" ht="38.25" hidden="1" customHeight="1">
      <c r="A198" s="25">
        <v>195.0</v>
      </c>
      <c r="B198" s="26" t="s">
        <v>1037</v>
      </c>
      <c r="C198" s="26" t="s">
        <v>4041</v>
      </c>
      <c r="D198" s="26" t="s">
        <v>4568</v>
      </c>
      <c r="E198" s="26" t="s">
        <v>4512</v>
      </c>
      <c r="F198" s="26" t="s">
        <v>4513</v>
      </c>
      <c r="G198" s="27" t="s">
        <v>4249</v>
      </c>
      <c r="H198" s="27" t="s">
        <v>1110</v>
      </c>
      <c r="I198" s="29">
        <v>232916.0</v>
      </c>
      <c r="J198" s="29" t="s">
        <v>1125</v>
      </c>
      <c r="K198" s="27" t="s">
        <v>1137</v>
      </c>
      <c r="L198" s="25">
        <v>1.0</v>
      </c>
      <c r="M198" s="27" t="s">
        <v>1137</v>
      </c>
      <c r="N198" s="30" t="s">
        <v>1174</v>
      </c>
      <c r="O198" s="26" t="str">
        <f t="shared" si="48"/>
        <v>กลุ่มงานยุทธศาสตร์และแผนงานโครงการ</v>
      </c>
      <c r="P198" s="26" t="s">
        <v>1567</v>
      </c>
      <c r="Q198" s="26" t="str">
        <f t="shared" si="47"/>
        <v>กลุ่มงานยุทธศาสตร์และแผนงานโครงการ</v>
      </c>
      <c r="R198" s="26" t="str">
        <f t="shared" si="44"/>
        <v>ภารกิจด้านพัฒนาระบบบริการและสนับสนุนบริการสุขภาพ</v>
      </c>
      <c r="S198" s="26" t="str">
        <f t="shared" si="45"/>
        <v>กลุ่มงานยุทธศาสตร์และแผนงานโครงการ</v>
      </c>
      <c r="T198" s="26" t="s">
        <v>2967</v>
      </c>
      <c r="U198" s="26" t="s">
        <v>1302</v>
      </c>
      <c r="V198" s="25" t="s">
        <v>3935</v>
      </c>
      <c r="W198" s="26" t="s">
        <v>1616</v>
      </c>
      <c r="X198" s="25" t="s">
        <v>21</v>
      </c>
      <c r="Y198" s="31">
        <v>5.0</v>
      </c>
      <c r="Z198" s="31">
        <v>9.0</v>
      </c>
      <c r="AA198" s="31">
        <v>28.0</v>
      </c>
      <c r="AB198" s="31">
        <v>35.0</v>
      </c>
      <c r="AC198" s="32">
        <v>1.0</v>
      </c>
      <c r="AD198" s="26"/>
      <c r="AE198" s="26"/>
      <c r="AF198" s="32">
        <v>17.0</v>
      </c>
      <c r="AG198" s="37">
        <v>1.520500111034E12</v>
      </c>
      <c r="AH198" s="37" t="s">
        <v>1187</v>
      </c>
      <c r="AI198" s="38" t="s">
        <v>4569</v>
      </c>
    </row>
    <row r="199" ht="38.25" hidden="1" customHeight="1">
      <c r="A199" s="32">
        <v>196.0</v>
      </c>
      <c r="B199" s="26" t="s">
        <v>1037</v>
      </c>
      <c r="C199" s="26" t="s">
        <v>4570</v>
      </c>
      <c r="D199" s="26" t="s">
        <v>4571</v>
      </c>
      <c r="E199" s="26" t="s">
        <v>4512</v>
      </c>
      <c r="F199" s="26" t="s">
        <v>4513</v>
      </c>
      <c r="G199" s="27" t="s">
        <v>4249</v>
      </c>
      <c r="H199" s="27" t="s">
        <v>1110</v>
      </c>
      <c r="I199" s="29">
        <v>232920.0</v>
      </c>
      <c r="J199" s="29" t="s">
        <v>1125</v>
      </c>
      <c r="K199" s="27" t="s">
        <v>1137</v>
      </c>
      <c r="L199" s="25">
        <v>1.0</v>
      </c>
      <c r="M199" s="27" t="s">
        <v>1137</v>
      </c>
      <c r="N199" s="30" t="s">
        <v>1174</v>
      </c>
      <c r="O199" s="26" t="str">
        <f t="shared" si="48"/>
        <v>กลุ่มงานยุทธศาสตร์และแผนงานโครงการ</v>
      </c>
      <c r="P199" s="26" t="s">
        <v>1567</v>
      </c>
      <c r="Q199" s="26" t="str">
        <f t="shared" si="47"/>
        <v>กลุ่มงานยุทธศาสตร์และแผนงานโครงการ</v>
      </c>
      <c r="R199" s="26" t="str">
        <f t="shared" si="44"/>
        <v>ภารกิจด้านพัฒนาระบบบริการและสนับสนุนบริการสุขภาพ</v>
      </c>
      <c r="S199" s="26" t="str">
        <f t="shared" si="45"/>
        <v>กลุ่มงานยุทธศาสตร์และแผนงานโครงการ</v>
      </c>
      <c r="T199" s="26" t="s">
        <v>2967</v>
      </c>
      <c r="U199" s="26" t="s">
        <v>1302</v>
      </c>
      <c r="V199" s="25" t="s">
        <v>3935</v>
      </c>
      <c r="W199" s="26" t="s">
        <v>1616</v>
      </c>
      <c r="X199" s="25" t="s">
        <v>21</v>
      </c>
      <c r="Y199" s="31">
        <v>5.0</v>
      </c>
      <c r="Z199" s="31">
        <v>9.0</v>
      </c>
      <c r="AA199" s="31">
        <v>28.0</v>
      </c>
      <c r="AB199" s="31">
        <v>35.0</v>
      </c>
      <c r="AC199" s="32">
        <v>1.0</v>
      </c>
      <c r="AD199" s="26"/>
      <c r="AE199" s="26"/>
      <c r="AF199" s="32">
        <v>17.0</v>
      </c>
      <c r="AG199" s="33">
        <v>1.640100303024E12</v>
      </c>
      <c r="AH199" s="46"/>
      <c r="AI199" s="40">
        <v>234304.0</v>
      </c>
    </row>
    <row r="200" ht="38.25" hidden="1" customHeight="1">
      <c r="A200" s="25">
        <v>197.0</v>
      </c>
      <c r="B200" s="26" t="s">
        <v>2692</v>
      </c>
      <c r="C200" s="26" t="s">
        <v>4572</v>
      </c>
      <c r="D200" s="26" t="s">
        <v>4573</v>
      </c>
      <c r="E200" s="26" t="s">
        <v>4512</v>
      </c>
      <c r="F200" s="26" t="s">
        <v>4513</v>
      </c>
      <c r="G200" s="27" t="s">
        <v>1110</v>
      </c>
      <c r="H200" s="27" t="s">
        <v>1110</v>
      </c>
      <c r="I200" s="29" t="s">
        <v>4574</v>
      </c>
      <c r="J200" s="29" t="s">
        <v>3949</v>
      </c>
      <c r="K200" s="27" t="s">
        <v>1137</v>
      </c>
      <c r="L200" s="25">
        <v>1.0</v>
      </c>
      <c r="M200" s="27" t="s">
        <v>1137</v>
      </c>
      <c r="N200" s="30" t="s">
        <v>1174</v>
      </c>
      <c r="O200" s="26" t="s">
        <v>1557</v>
      </c>
      <c r="P200" s="26" t="s">
        <v>1567</v>
      </c>
      <c r="Q200" s="26" t="str">
        <f t="shared" si="47"/>
        <v>กลุ่มงานประกันสุขภาพ</v>
      </c>
      <c r="R200" s="26" t="str">
        <f t="shared" si="44"/>
        <v>ภารกิจด้านพัฒนาระบบบริการและสนับสนุนบริการสุขภาพ</v>
      </c>
      <c r="S200" s="26" t="str">
        <f t="shared" si="45"/>
        <v>กลุ่มงานประกันสุขภาพ</v>
      </c>
      <c r="T200" s="26" t="s">
        <v>1601</v>
      </c>
      <c r="U200" s="26" t="s">
        <v>1302</v>
      </c>
      <c r="V200" s="25" t="s">
        <v>46</v>
      </c>
      <c r="W200" s="26" t="s">
        <v>1616</v>
      </c>
      <c r="X200" s="25" t="s">
        <v>21</v>
      </c>
      <c r="Y200" s="31">
        <v>5.0</v>
      </c>
      <c r="Z200" s="31">
        <v>7.0</v>
      </c>
      <c r="AA200" s="31">
        <v>28.0</v>
      </c>
      <c r="AB200" s="31">
        <v>35.0</v>
      </c>
      <c r="AC200" s="32">
        <v>1.0</v>
      </c>
      <c r="AD200" s="26"/>
      <c r="AE200" s="26"/>
      <c r="AF200" s="32">
        <v>17.0</v>
      </c>
      <c r="AG200" s="33">
        <v>1.500701258369E12</v>
      </c>
      <c r="AH200" s="33" t="s">
        <v>1092</v>
      </c>
      <c r="AI200" s="34" t="s">
        <v>4516</v>
      </c>
    </row>
    <row r="201" ht="38.25" hidden="1" customHeight="1">
      <c r="A201" s="25">
        <v>198.0</v>
      </c>
      <c r="B201" s="26" t="s">
        <v>2692</v>
      </c>
      <c r="C201" s="26" t="s">
        <v>4575</v>
      </c>
      <c r="D201" s="26" t="s">
        <v>4576</v>
      </c>
      <c r="E201" s="26" t="s">
        <v>4512</v>
      </c>
      <c r="F201" s="26" t="s">
        <v>4513</v>
      </c>
      <c r="G201" s="27" t="s">
        <v>1110</v>
      </c>
      <c r="H201" s="27" t="s">
        <v>1110</v>
      </c>
      <c r="I201" s="28" t="s">
        <v>4577</v>
      </c>
      <c r="J201" s="29" t="s">
        <v>3949</v>
      </c>
      <c r="K201" s="27" t="s">
        <v>1137</v>
      </c>
      <c r="L201" s="25">
        <v>1.0</v>
      </c>
      <c r="M201" s="27" t="s">
        <v>1137</v>
      </c>
      <c r="N201" s="30" t="s">
        <v>1174</v>
      </c>
      <c r="O201" s="26" t="s">
        <v>4514</v>
      </c>
      <c r="P201" s="26" t="s">
        <v>4514</v>
      </c>
      <c r="Q201" s="26" t="str">
        <f t="shared" si="47"/>
        <v>กลุ่มงานเวชกรรมสังคม</v>
      </c>
      <c r="R201" s="26" t="s">
        <v>4064</v>
      </c>
      <c r="S201" s="26" t="s">
        <v>4514</v>
      </c>
      <c r="T201" s="26" t="s">
        <v>4063</v>
      </c>
      <c r="U201" s="26" t="s">
        <v>1302</v>
      </c>
      <c r="V201" s="25" t="s">
        <v>4515</v>
      </c>
      <c r="W201" s="26" t="s">
        <v>4064</v>
      </c>
      <c r="X201" s="25" t="s">
        <v>3935</v>
      </c>
      <c r="Y201" s="31">
        <v>3.0</v>
      </c>
      <c r="Z201" s="31">
        <v>26.0</v>
      </c>
      <c r="AA201" s="63">
        <v>66.0</v>
      </c>
      <c r="AB201" s="31">
        <v>35.0</v>
      </c>
      <c r="AC201" s="32">
        <v>1.0</v>
      </c>
      <c r="AD201" s="26"/>
      <c r="AE201" s="26"/>
      <c r="AF201" s="32">
        <v>17.0</v>
      </c>
      <c r="AG201" s="37">
        <v>1.529902100825E12</v>
      </c>
      <c r="AH201" s="37" t="s">
        <v>1020</v>
      </c>
      <c r="AI201" s="38" t="s">
        <v>4578</v>
      </c>
    </row>
    <row r="202" ht="38.25" customHeight="1">
      <c r="A202" s="32">
        <v>199.0</v>
      </c>
      <c r="B202" s="26" t="s">
        <v>1037</v>
      </c>
      <c r="C202" s="26" t="s">
        <v>4579</v>
      </c>
      <c r="D202" s="26" t="s">
        <v>4580</v>
      </c>
      <c r="E202" s="26" t="s">
        <v>4512</v>
      </c>
      <c r="F202" s="26" t="s">
        <v>4513</v>
      </c>
      <c r="G202" s="27" t="s">
        <v>1110</v>
      </c>
      <c r="H202" s="27" t="s">
        <v>1110</v>
      </c>
      <c r="I202" s="28" t="s">
        <v>4581</v>
      </c>
      <c r="J202" s="29" t="s">
        <v>3949</v>
      </c>
      <c r="K202" s="27" t="s">
        <v>1137</v>
      </c>
      <c r="L202" s="25">
        <v>1.0</v>
      </c>
      <c r="M202" s="27" t="s">
        <v>1137</v>
      </c>
      <c r="N202" s="30" t="s">
        <v>1174</v>
      </c>
      <c r="O202" s="26"/>
      <c r="P202" s="76" t="s">
        <v>4522</v>
      </c>
      <c r="Q202" s="26" t="str">
        <f t="shared" si="47"/>
        <v>กลุ่มงานเวชกรรมสังคม</v>
      </c>
      <c r="R202" s="26" t="s">
        <v>4064</v>
      </c>
      <c r="S202" s="26" t="s">
        <v>4517</v>
      </c>
      <c r="T202" s="26" t="s">
        <v>4063</v>
      </c>
      <c r="U202" s="26" t="s">
        <v>1302</v>
      </c>
      <c r="V202" s="25" t="s">
        <v>4518</v>
      </c>
      <c r="W202" s="26" t="s">
        <v>4064</v>
      </c>
      <c r="X202" s="25" t="s">
        <v>3935</v>
      </c>
      <c r="Y202" s="31">
        <v>3.0</v>
      </c>
      <c r="Z202" s="31">
        <v>26.0</v>
      </c>
      <c r="AA202" s="63">
        <v>66.0</v>
      </c>
      <c r="AB202" s="31">
        <v>35.0</v>
      </c>
      <c r="AC202" s="32">
        <v>1.0</v>
      </c>
      <c r="AD202" s="26"/>
      <c r="AE202" s="26"/>
      <c r="AF202" s="32">
        <v>17.0</v>
      </c>
      <c r="AG202" s="33">
        <v>1.509901325921E12</v>
      </c>
      <c r="AH202" s="33" t="s">
        <v>1016</v>
      </c>
      <c r="AI202" s="34" t="s">
        <v>4582</v>
      </c>
    </row>
    <row r="203" ht="38.25" hidden="1" customHeight="1">
      <c r="A203" s="25">
        <v>200.0</v>
      </c>
      <c r="B203" s="26" t="s">
        <v>1037</v>
      </c>
      <c r="C203" s="26" t="s">
        <v>4583</v>
      </c>
      <c r="D203" s="26" t="s">
        <v>4584</v>
      </c>
      <c r="E203" s="26" t="s">
        <v>4512</v>
      </c>
      <c r="F203" s="26" t="s">
        <v>4513</v>
      </c>
      <c r="G203" s="27" t="s">
        <v>1110</v>
      </c>
      <c r="H203" s="27" t="s">
        <v>1110</v>
      </c>
      <c r="I203" s="29" t="s">
        <v>4585</v>
      </c>
      <c r="J203" s="29" t="s">
        <v>3963</v>
      </c>
      <c r="K203" s="27" t="s">
        <v>1137</v>
      </c>
      <c r="L203" s="25">
        <v>1.0</v>
      </c>
      <c r="M203" s="27" t="s">
        <v>1137</v>
      </c>
      <c r="N203" s="30" t="s">
        <v>1174</v>
      </c>
      <c r="O203" s="26" t="s">
        <v>4534</v>
      </c>
      <c r="P203" s="26" t="s">
        <v>4539</v>
      </c>
      <c r="Q203" s="26" t="str">
        <f t="shared" si="47"/>
        <v>กลุ่มงานอาชีวเวชกรรม</v>
      </c>
      <c r="R203" s="26" t="s">
        <v>4064</v>
      </c>
      <c r="S203" s="26" t="s">
        <v>4586</v>
      </c>
      <c r="T203" s="26" t="s">
        <v>4534</v>
      </c>
      <c r="U203" s="26" t="s">
        <v>1302</v>
      </c>
      <c r="V203" s="25" t="s">
        <v>4587</v>
      </c>
      <c r="W203" s="26" t="s">
        <v>4064</v>
      </c>
      <c r="X203" s="25" t="s">
        <v>3935</v>
      </c>
      <c r="Y203" s="31">
        <v>2.0</v>
      </c>
      <c r="Z203" s="31">
        <v>17.0</v>
      </c>
      <c r="AA203" s="63">
        <v>66.0</v>
      </c>
      <c r="AB203" s="31">
        <v>35.0</v>
      </c>
      <c r="AC203" s="32">
        <v>1.0</v>
      </c>
      <c r="AD203" s="26"/>
      <c r="AE203" s="26"/>
      <c r="AF203" s="32">
        <v>17.0</v>
      </c>
      <c r="AG203" s="37">
        <v>1.718800032364E12</v>
      </c>
      <c r="AH203" s="37" t="s">
        <v>632</v>
      </c>
      <c r="AI203" s="44">
        <v>236161.0</v>
      </c>
    </row>
    <row r="204" ht="38.25" hidden="1" customHeight="1">
      <c r="A204" s="25">
        <v>201.0</v>
      </c>
      <c r="B204" s="26" t="s">
        <v>2692</v>
      </c>
      <c r="C204" s="26" t="s">
        <v>4588</v>
      </c>
      <c r="D204" s="26" t="s">
        <v>4589</v>
      </c>
      <c r="E204" s="26" t="s">
        <v>4590</v>
      </c>
      <c r="F204" s="26" t="s">
        <v>4591</v>
      </c>
      <c r="G204" s="27" t="s">
        <v>1110</v>
      </c>
      <c r="H204" s="27" t="s">
        <v>1110</v>
      </c>
      <c r="I204" s="29">
        <v>4359.0</v>
      </c>
      <c r="J204" s="29" t="s">
        <v>1535</v>
      </c>
      <c r="K204" s="27" t="s">
        <v>1137</v>
      </c>
      <c r="L204" s="25">
        <v>1.0</v>
      </c>
      <c r="M204" s="27" t="s">
        <v>1137</v>
      </c>
      <c r="N204" s="30" t="s">
        <v>1174</v>
      </c>
      <c r="O204" s="26" t="s">
        <v>2344</v>
      </c>
      <c r="P204" s="26" t="s">
        <v>1567</v>
      </c>
      <c r="Q204" s="26" t="str">
        <f t="shared" si="47"/>
        <v>กลุ่มงานพัฒนาทรัพยากรบุคคล</v>
      </c>
      <c r="R204" s="26" t="str">
        <f t="shared" ref="R204:R216" si="49">+W204</f>
        <v>ภารกิจด้านพัฒนาระบบบริการและสนับสนุนบริการสุขภาพ</v>
      </c>
      <c r="S204" s="26" t="str">
        <f t="shared" ref="S204:S215" si="50">+T204</f>
        <v>กลุ่มงานพัฒนาทรัพยากรบุคคล</v>
      </c>
      <c r="T204" s="26" t="s">
        <v>2344</v>
      </c>
      <c r="U204" s="26" t="s">
        <v>1302</v>
      </c>
      <c r="V204" s="25" t="s">
        <v>21</v>
      </c>
      <c r="W204" s="26" t="s">
        <v>1616</v>
      </c>
      <c r="X204" s="25" t="s">
        <v>21</v>
      </c>
      <c r="Y204" s="31">
        <v>2.0</v>
      </c>
      <c r="Z204" s="31">
        <v>5.0</v>
      </c>
      <c r="AA204" s="31">
        <v>28.0</v>
      </c>
      <c r="AB204" s="31">
        <v>2.0</v>
      </c>
      <c r="AC204" s="32">
        <v>1.0</v>
      </c>
      <c r="AD204" s="26"/>
      <c r="AE204" s="26"/>
      <c r="AF204" s="32">
        <v>34.0</v>
      </c>
      <c r="AG204" s="37">
        <v>5.501490002207E12</v>
      </c>
      <c r="AH204" s="37" t="s">
        <v>2807</v>
      </c>
      <c r="AI204" s="38" t="s">
        <v>4592</v>
      </c>
    </row>
    <row r="205" ht="38.25" hidden="1" customHeight="1">
      <c r="A205" s="32">
        <v>202.0</v>
      </c>
      <c r="B205" s="26" t="s">
        <v>2692</v>
      </c>
      <c r="C205" s="26" t="s">
        <v>4593</v>
      </c>
      <c r="D205" s="26" t="s">
        <v>4594</v>
      </c>
      <c r="E205" s="26" t="s">
        <v>4590</v>
      </c>
      <c r="F205" s="26" t="s">
        <v>4591</v>
      </c>
      <c r="G205" s="27" t="s">
        <v>1110</v>
      </c>
      <c r="H205" s="27" t="s">
        <v>1110</v>
      </c>
      <c r="I205" s="29" t="s">
        <v>4595</v>
      </c>
      <c r="J205" s="29" t="s">
        <v>3949</v>
      </c>
      <c r="K205" s="27" t="s">
        <v>1137</v>
      </c>
      <c r="L205" s="25">
        <v>1.0</v>
      </c>
      <c r="M205" s="27" t="s">
        <v>1137</v>
      </c>
      <c r="N205" s="30" t="s">
        <v>1174</v>
      </c>
      <c r="O205" s="26" t="s">
        <v>2344</v>
      </c>
      <c r="P205" s="26" t="s">
        <v>1567</v>
      </c>
      <c r="Q205" s="26" t="str">
        <f t="shared" si="47"/>
        <v>กลุ่มงานพัฒนาทรัพยากรบุคคล</v>
      </c>
      <c r="R205" s="26" t="str">
        <f t="shared" si="49"/>
        <v>ภารกิจด้านพัฒนาระบบบริการและสนับสนุนบริการสุขภาพ</v>
      </c>
      <c r="S205" s="26" t="str">
        <f t="shared" si="50"/>
        <v>กลุ่มงานพัฒนาทรัพยากรบุคคล</v>
      </c>
      <c r="T205" s="26" t="s">
        <v>2344</v>
      </c>
      <c r="U205" s="26" t="s">
        <v>1302</v>
      </c>
      <c r="V205" s="25" t="s">
        <v>21</v>
      </c>
      <c r="W205" s="26" t="s">
        <v>1616</v>
      </c>
      <c r="X205" s="25" t="s">
        <v>21</v>
      </c>
      <c r="Y205" s="31">
        <v>2.0</v>
      </c>
      <c r="Z205" s="31">
        <v>5.0</v>
      </c>
      <c r="AA205" s="31">
        <v>28.0</v>
      </c>
      <c r="AB205" s="31">
        <v>2.0</v>
      </c>
      <c r="AC205" s="32">
        <v>1.0</v>
      </c>
      <c r="AD205" s="26"/>
      <c r="AE205" s="26"/>
      <c r="AF205" s="32">
        <v>34.0</v>
      </c>
      <c r="AG205" s="33">
        <v>1.199600120614E12</v>
      </c>
      <c r="AH205" s="33" t="s">
        <v>2351</v>
      </c>
      <c r="AI205" s="34" t="s">
        <v>4596</v>
      </c>
    </row>
    <row r="206" ht="38.25" hidden="1" customHeight="1">
      <c r="A206" s="25">
        <v>203.0</v>
      </c>
      <c r="B206" s="26" t="s">
        <v>1037</v>
      </c>
      <c r="C206" s="26" t="s">
        <v>4597</v>
      </c>
      <c r="D206" s="26" t="s">
        <v>4598</v>
      </c>
      <c r="E206" s="26" t="s">
        <v>4599</v>
      </c>
      <c r="F206" s="26" t="s">
        <v>4599</v>
      </c>
      <c r="G206" s="27" t="s">
        <v>1110</v>
      </c>
      <c r="H206" s="27" t="s">
        <v>1110</v>
      </c>
      <c r="I206" s="29">
        <v>4390.0</v>
      </c>
      <c r="J206" s="29" t="s">
        <v>1535</v>
      </c>
      <c r="K206" s="27" t="s">
        <v>1137</v>
      </c>
      <c r="L206" s="25">
        <v>1.0</v>
      </c>
      <c r="M206" s="27" t="s">
        <v>1137</v>
      </c>
      <c r="N206" s="30" t="s">
        <v>1174</v>
      </c>
      <c r="O206" s="26" t="str">
        <f t="shared" ref="O206:O207" si="51">+T206</f>
        <v>กลุ่มงานสังคมสงเคราะห์</v>
      </c>
      <c r="P206" s="26" t="s">
        <v>4600</v>
      </c>
      <c r="Q206" s="26" t="str">
        <f t="shared" si="47"/>
        <v>กลุ่มงานสังคมสงเคราะห์</v>
      </c>
      <c r="R206" s="26" t="str">
        <f t="shared" si="49"/>
        <v>ภารกิจด้านบริการทุติยภูมิและตติยภูมิ</v>
      </c>
      <c r="S206" s="26" t="str">
        <f t="shared" si="50"/>
        <v>กลุ่มงานสังคมสงเคราะห์</v>
      </c>
      <c r="T206" s="26" t="s">
        <v>4601</v>
      </c>
      <c r="U206" s="26" t="s">
        <v>1302</v>
      </c>
      <c r="V206" s="25">
        <v>18.0</v>
      </c>
      <c r="W206" s="26" t="s">
        <v>4054</v>
      </c>
      <c r="X206" s="25" t="s">
        <v>3978</v>
      </c>
      <c r="Y206" s="31">
        <v>2.0</v>
      </c>
      <c r="Z206" s="31">
        <v>2.0</v>
      </c>
      <c r="AA206" s="31">
        <v>199.0</v>
      </c>
      <c r="AB206" s="31">
        <v>2.0</v>
      </c>
      <c r="AC206" s="32">
        <v>1.0</v>
      </c>
      <c r="AD206" s="26"/>
      <c r="AE206" s="26"/>
      <c r="AF206" s="32">
        <v>15.0</v>
      </c>
      <c r="AG206" s="37">
        <v>1.580300048827E12</v>
      </c>
      <c r="AH206" s="37" t="s">
        <v>2425</v>
      </c>
      <c r="AI206" s="44">
        <v>231686.0</v>
      </c>
    </row>
    <row r="207" ht="38.25" hidden="1" customHeight="1">
      <c r="A207" s="25">
        <v>204.0</v>
      </c>
      <c r="B207" s="26" t="s">
        <v>1037</v>
      </c>
      <c r="C207" s="26" t="s">
        <v>4602</v>
      </c>
      <c r="D207" s="26" t="s">
        <v>4603</v>
      </c>
      <c r="E207" s="26" t="s">
        <v>4599</v>
      </c>
      <c r="F207" s="26" t="s">
        <v>4599</v>
      </c>
      <c r="G207" s="27" t="s">
        <v>1110</v>
      </c>
      <c r="H207" s="27" t="s">
        <v>1110</v>
      </c>
      <c r="I207" s="28" t="s">
        <v>4604</v>
      </c>
      <c r="J207" s="29" t="s">
        <v>3949</v>
      </c>
      <c r="K207" s="27" t="s">
        <v>1137</v>
      </c>
      <c r="L207" s="25">
        <v>1.0</v>
      </c>
      <c r="M207" s="27" t="s">
        <v>1137</v>
      </c>
      <c r="N207" s="30" t="s">
        <v>1174</v>
      </c>
      <c r="O207" s="26" t="str">
        <f t="shared" si="51"/>
        <v>กลุ่มงานสังคมสงเคราะห์</v>
      </c>
      <c r="P207" s="26" t="s">
        <v>4600</v>
      </c>
      <c r="Q207" s="26" t="str">
        <f t="shared" si="47"/>
        <v>กลุ่มงานสังคมสงเคราะห์</v>
      </c>
      <c r="R207" s="26" t="str">
        <f t="shared" si="49"/>
        <v>ภารกิจด้านบริการทุติยภูมิและตติยภูมิ</v>
      </c>
      <c r="S207" s="26" t="str">
        <f t="shared" si="50"/>
        <v>กลุ่มงานสังคมสงเคราะห์</v>
      </c>
      <c r="T207" s="26" t="s">
        <v>4601</v>
      </c>
      <c r="U207" s="26" t="s">
        <v>1302</v>
      </c>
      <c r="V207" s="25">
        <v>18.0</v>
      </c>
      <c r="W207" s="26" t="s">
        <v>4054</v>
      </c>
      <c r="X207" s="25" t="s">
        <v>3978</v>
      </c>
      <c r="Y207" s="31">
        <v>2.0</v>
      </c>
      <c r="Z207" s="31">
        <v>2.0</v>
      </c>
      <c r="AA207" s="31">
        <v>199.0</v>
      </c>
      <c r="AB207" s="31">
        <v>2.0</v>
      </c>
      <c r="AC207" s="32">
        <v>1.0</v>
      </c>
      <c r="AD207" s="26"/>
      <c r="AE207" s="26"/>
      <c r="AF207" s="32">
        <v>15.0</v>
      </c>
      <c r="AG207" s="33">
        <v>1.505200034811E12</v>
      </c>
      <c r="AH207" s="33" t="s">
        <v>1576</v>
      </c>
      <c r="AI207" s="34" t="s">
        <v>4605</v>
      </c>
    </row>
    <row r="208" ht="38.25" hidden="1" customHeight="1">
      <c r="A208" s="25">
        <v>205.0</v>
      </c>
      <c r="B208" s="26" t="s">
        <v>2692</v>
      </c>
      <c r="C208" s="26" t="s">
        <v>4606</v>
      </c>
      <c r="D208" s="26" t="s">
        <v>4607</v>
      </c>
      <c r="E208" s="26" t="s">
        <v>4608</v>
      </c>
      <c r="F208" s="26" t="s">
        <v>4608</v>
      </c>
      <c r="G208" s="27" t="s">
        <v>1110</v>
      </c>
      <c r="H208" s="27" t="s">
        <v>1110</v>
      </c>
      <c r="I208" s="29">
        <v>4338.0</v>
      </c>
      <c r="J208" s="29" t="s">
        <v>1535</v>
      </c>
      <c r="K208" s="27" t="s">
        <v>1137</v>
      </c>
      <c r="L208" s="25">
        <v>3.0</v>
      </c>
      <c r="M208" s="27" t="s">
        <v>1137</v>
      </c>
      <c r="N208" s="30" t="s">
        <v>1174</v>
      </c>
      <c r="O208" s="26" t="s">
        <v>4090</v>
      </c>
      <c r="P208" s="26" t="s">
        <v>4090</v>
      </c>
      <c r="Q208" s="26" t="str">
        <f t="shared" si="47"/>
        <v>กลุ่มงานโครงสร้างพื้นฐานและวิศวกรรมทางการแพทย์</v>
      </c>
      <c r="R208" s="26" t="str">
        <f t="shared" si="49"/>
        <v>ภารกิจด้านอำนวยการ</v>
      </c>
      <c r="S208" s="26" t="str">
        <f t="shared" si="50"/>
        <v>กลุ่มงานโครงสร้างพื้นฐานและวิศวกรรมทางการแพทย์</v>
      </c>
      <c r="T208" s="26" t="s">
        <v>4091</v>
      </c>
      <c r="U208" s="26" t="s">
        <v>1302</v>
      </c>
      <c r="V208" s="25" t="s">
        <v>21</v>
      </c>
      <c r="W208" s="26" t="s">
        <v>1323</v>
      </c>
      <c r="X208" s="25" t="s">
        <v>46</v>
      </c>
      <c r="Y208" s="31">
        <v>17.0</v>
      </c>
      <c r="Z208" s="31">
        <v>20.0</v>
      </c>
      <c r="AA208" s="31">
        <v>85.0</v>
      </c>
      <c r="AB208" s="31">
        <v>19.0</v>
      </c>
      <c r="AC208" s="32">
        <v>1.0</v>
      </c>
      <c r="AD208" s="26"/>
      <c r="AE208" s="26"/>
      <c r="AF208" s="32">
        <v>39.0</v>
      </c>
      <c r="AG208" s="33">
        <v>3.500600282414E12</v>
      </c>
      <c r="AH208" s="33" t="s">
        <v>3175</v>
      </c>
      <c r="AI208" s="34" t="s">
        <v>4609</v>
      </c>
    </row>
    <row r="209" ht="38.25" hidden="1" customHeight="1">
      <c r="A209" s="32">
        <v>206.0</v>
      </c>
      <c r="B209" s="26" t="s">
        <v>2692</v>
      </c>
      <c r="C209" s="26" t="s">
        <v>4610</v>
      </c>
      <c r="D209" s="26" t="s">
        <v>4611</v>
      </c>
      <c r="E209" s="26" t="s">
        <v>4608</v>
      </c>
      <c r="F209" s="26" t="s">
        <v>4608</v>
      </c>
      <c r="G209" s="27" t="s">
        <v>1110</v>
      </c>
      <c r="H209" s="27" t="s">
        <v>1110</v>
      </c>
      <c r="I209" s="29" t="s">
        <v>4612</v>
      </c>
      <c r="J209" s="29" t="s">
        <v>3949</v>
      </c>
      <c r="K209" s="27" t="s">
        <v>1137</v>
      </c>
      <c r="L209" s="25">
        <v>3.0</v>
      </c>
      <c r="M209" s="27" t="s">
        <v>1137</v>
      </c>
      <c r="N209" s="30" t="s">
        <v>1174</v>
      </c>
      <c r="O209" s="26" t="s">
        <v>4090</v>
      </c>
      <c r="P209" s="26" t="s">
        <v>4090</v>
      </c>
      <c r="Q209" s="26" t="str">
        <f t="shared" si="47"/>
        <v>กลุ่มงานโครงสร้างพื้นฐานและวิศวกรรมทางการแพทย์</v>
      </c>
      <c r="R209" s="26" t="str">
        <f t="shared" si="49"/>
        <v>ภารกิจด้านอำนวยการ</v>
      </c>
      <c r="S209" s="26" t="str">
        <f t="shared" si="50"/>
        <v>กลุ่มงานโครงสร้างพื้นฐานและวิศวกรรมทางการแพทย์</v>
      </c>
      <c r="T209" s="26" t="s">
        <v>4091</v>
      </c>
      <c r="U209" s="26" t="s">
        <v>1302</v>
      </c>
      <c r="V209" s="25" t="s">
        <v>21</v>
      </c>
      <c r="W209" s="26" t="s">
        <v>1323</v>
      </c>
      <c r="X209" s="25" t="s">
        <v>46</v>
      </c>
      <c r="Y209" s="31">
        <v>17.0</v>
      </c>
      <c r="Z209" s="31">
        <v>20.0</v>
      </c>
      <c r="AA209" s="31">
        <v>85.0</v>
      </c>
      <c r="AB209" s="31">
        <v>19.0</v>
      </c>
      <c r="AC209" s="32">
        <v>1.0</v>
      </c>
      <c r="AD209" s="26"/>
      <c r="AE209" s="26"/>
      <c r="AF209" s="32">
        <v>39.0</v>
      </c>
      <c r="AG209" s="33">
        <v>1.500700187417E12</v>
      </c>
      <c r="AH209" s="33" t="s">
        <v>1171</v>
      </c>
      <c r="AI209" s="34" t="s">
        <v>4613</v>
      </c>
    </row>
    <row r="210" ht="38.25" hidden="1" customHeight="1">
      <c r="A210" s="25">
        <v>207.0</v>
      </c>
      <c r="B210" s="26" t="s">
        <v>2692</v>
      </c>
      <c r="C210" s="26" t="s">
        <v>4614</v>
      </c>
      <c r="D210" s="26" t="s">
        <v>4615</v>
      </c>
      <c r="E210" s="26" t="s">
        <v>4608</v>
      </c>
      <c r="F210" s="26" t="s">
        <v>4608</v>
      </c>
      <c r="G210" s="27" t="s">
        <v>1110</v>
      </c>
      <c r="H210" s="27" t="s">
        <v>1110</v>
      </c>
      <c r="I210" s="29" t="s">
        <v>4616</v>
      </c>
      <c r="J210" s="29" t="s">
        <v>3949</v>
      </c>
      <c r="K210" s="27" t="s">
        <v>1137</v>
      </c>
      <c r="L210" s="25">
        <v>3.0</v>
      </c>
      <c r="M210" s="27" t="s">
        <v>1137</v>
      </c>
      <c r="N210" s="30" t="s">
        <v>1174</v>
      </c>
      <c r="O210" s="26" t="s">
        <v>4090</v>
      </c>
      <c r="P210" s="26" t="s">
        <v>4090</v>
      </c>
      <c r="Q210" s="26" t="str">
        <f t="shared" si="47"/>
        <v>กลุ่มงานโครงสร้างพื้นฐานและวิศวกรรมทางการแพทย์</v>
      </c>
      <c r="R210" s="26" t="str">
        <f t="shared" si="49"/>
        <v>ภารกิจด้านอำนวยการ</v>
      </c>
      <c r="S210" s="26" t="str">
        <f t="shared" si="50"/>
        <v>กลุ่มงานโครงสร้างพื้นฐานและวิศวกรรมทางการแพทย์</v>
      </c>
      <c r="T210" s="26" t="s">
        <v>4091</v>
      </c>
      <c r="U210" s="26" t="s">
        <v>1302</v>
      </c>
      <c r="V210" s="25" t="s">
        <v>21</v>
      </c>
      <c r="W210" s="26" t="s">
        <v>1323</v>
      </c>
      <c r="X210" s="25" t="s">
        <v>46</v>
      </c>
      <c r="Y210" s="31">
        <v>17.0</v>
      </c>
      <c r="Z210" s="31">
        <v>20.0</v>
      </c>
      <c r="AA210" s="31">
        <v>85.0</v>
      </c>
      <c r="AB210" s="31">
        <v>19.0</v>
      </c>
      <c r="AC210" s="32">
        <v>1.0</v>
      </c>
      <c r="AD210" s="26"/>
      <c r="AE210" s="26"/>
      <c r="AF210" s="32">
        <v>39.0</v>
      </c>
      <c r="AG210" s="37">
        <v>1.501100081694E12</v>
      </c>
      <c r="AH210" s="37" t="s">
        <v>2952</v>
      </c>
      <c r="AI210" s="38" t="s">
        <v>4617</v>
      </c>
    </row>
    <row r="211" ht="38.25" hidden="1" customHeight="1">
      <c r="A211" s="25">
        <v>208.0</v>
      </c>
      <c r="B211" s="26" t="s">
        <v>2692</v>
      </c>
      <c r="C211" s="26" t="s">
        <v>4618</v>
      </c>
      <c r="D211" s="26" t="s">
        <v>4619</v>
      </c>
      <c r="E211" s="26" t="s">
        <v>4620</v>
      </c>
      <c r="F211" s="26" t="s">
        <v>4620</v>
      </c>
      <c r="G211" s="27" t="s">
        <v>1110</v>
      </c>
      <c r="H211" s="27" t="s">
        <v>1110</v>
      </c>
      <c r="I211" s="29">
        <v>4340.0</v>
      </c>
      <c r="J211" s="29" t="s">
        <v>1535</v>
      </c>
      <c r="K211" s="27" t="s">
        <v>4214</v>
      </c>
      <c r="L211" s="25">
        <v>4.0</v>
      </c>
      <c r="M211" s="27" t="s">
        <v>4215</v>
      </c>
      <c r="N211" s="30" t="s">
        <v>1174</v>
      </c>
      <c r="O211" s="26" t="s">
        <v>4090</v>
      </c>
      <c r="P211" s="26" t="s">
        <v>4090</v>
      </c>
      <c r="Q211" s="26" t="str">
        <f t="shared" si="47"/>
        <v>กลุ่มงานโครงสร้างพื้นฐานและวิศวกรรมทางการแพทย์</v>
      </c>
      <c r="R211" s="26" t="str">
        <f t="shared" si="49"/>
        <v>ภารกิจด้านอำนวยการ</v>
      </c>
      <c r="S211" s="26" t="str">
        <f t="shared" si="50"/>
        <v>กลุ่มงานโครงสร้างพื้นฐานและวิศวกรรมทางการแพทย์</v>
      </c>
      <c r="T211" s="26" t="s">
        <v>4091</v>
      </c>
      <c r="U211" s="26" t="s">
        <v>1302</v>
      </c>
      <c r="V211" s="25" t="s">
        <v>21</v>
      </c>
      <c r="W211" s="26" t="s">
        <v>1323</v>
      </c>
      <c r="X211" s="25" t="s">
        <v>46</v>
      </c>
      <c r="Y211" s="31">
        <v>3.0</v>
      </c>
      <c r="Z211" s="31">
        <v>3.0</v>
      </c>
      <c r="AA211" s="31">
        <v>57.0</v>
      </c>
      <c r="AB211" s="31">
        <v>55.0</v>
      </c>
      <c r="AC211" s="32">
        <v>1.0</v>
      </c>
      <c r="AD211" s="26"/>
      <c r="AE211" s="26"/>
      <c r="AF211" s="32">
        <v>45.0</v>
      </c>
      <c r="AG211" s="37">
        <v>3.510200154389E12</v>
      </c>
      <c r="AH211" s="37" t="s">
        <v>3185</v>
      </c>
      <c r="AI211" s="44">
        <v>226125.0</v>
      </c>
    </row>
    <row r="212" ht="38.25" hidden="1" customHeight="1">
      <c r="A212" s="32">
        <v>209.0</v>
      </c>
      <c r="B212" s="26" t="s">
        <v>2692</v>
      </c>
      <c r="C212" s="26" t="s">
        <v>4621</v>
      </c>
      <c r="D212" s="26" t="s">
        <v>4622</v>
      </c>
      <c r="E212" s="26" t="s">
        <v>4620</v>
      </c>
      <c r="F212" s="26" t="s">
        <v>4620</v>
      </c>
      <c r="G212" s="27" t="s">
        <v>1110</v>
      </c>
      <c r="H212" s="27" t="s">
        <v>1110</v>
      </c>
      <c r="I212" s="29">
        <v>4339.0</v>
      </c>
      <c r="J212" s="29" t="s">
        <v>1535</v>
      </c>
      <c r="K212" s="27" t="s">
        <v>4214</v>
      </c>
      <c r="L212" s="25">
        <v>4.0</v>
      </c>
      <c r="M212" s="27" t="s">
        <v>4215</v>
      </c>
      <c r="N212" s="30" t="s">
        <v>1174</v>
      </c>
      <c r="O212" s="26" t="s">
        <v>4090</v>
      </c>
      <c r="P212" s="26" t="s">
        <v>4090</v>
      </c>
      <c r="Q212" s="26" t="str">
        <f t="shared" si="47"/>
        <v>กลุ่มงานโครงสร้างพื้นฐานและวิศวกรรมทางการแพทย์</v>
      </c>
      <c r="R212" s="26" t="str">
        <f t="shared" si="49"/>
        <v>ภารกิจด้านอำนวยการ</v>
      </c>
      <c r="S212" s="26" t="str">
        <f t="shared" si="50"/>
        <v>กลุ่มงานโครงสร้างพื้นฐานและวิศวกรรมทางการแพทย์</v>
      </c>
      <c r="T212" s="26" t="s">
        <v>4091</v>
      </c>
      <c r="U212" s="26" t="s">
        <v>1302</v>
      </c>
      <c r="V212" s="25" t="s">
        <v>21</v>
      </c>
      <c r="W212" s="26" t="s">
        <v>1323</v>
      </c>
      <c r="X212" s="25" t="s">
        <v>46</v>
      </c>
      <c r="Y212" s="31">
        <v>3.0</v>
      </c>
      <c r="Z212" s="31">
        <v>3.0</v>
      </c>
      <c r="AA212" s="31">
        <v>57.0</v>
      </c>
      <c r="AB212" s="31">
        <v>55.0</v>
      </c>
      <c r="AC212" s="32">
        <v>1.0</v>
      </c>
      <c r="AD212" s="26"/>
      <c r="AE212" s="26"/>
      <c r="AF212" s="32">
        <v>45.0</v>
      </c>
      <c r="AG212" s="33">
        <v>1.509900212529E12</v>
      </c>
      <c r="AH212" s="33" t="s">
        <v>3190</v>
      </c>
      <c r="AI212" s="40">
        <v>229685.0</v>
      </c>
    </row>
    <row r="213" ht="38.25" hidden="1" customHeight="1">
      <c r="A213" s="25">
        <v>210.0</v>
      </c>
      <c r="B213" s="26" t="s">
        <v>2692</v>
      </c>
      <c r="C213" s="26" t="s">
        <v>4623</v>
      </c>
      <c r="D213" s="26" t="s">
        <v>4624</v>
      </c>
      <c r="E213" s="26" t="s">
        <v>4620</v>
      </c>
      <c r="F213" s="26" t="s">
        <v>4620</v>
      </c>
      <c r="G213" s="27" t="s">
        <v>1110</v>
      </c>
      <c r="H213" s="27" t="s">
        <v>1110</v>
      </c>
      <c r="I213" s="29" t="s">
        <v>4625</v>
      </c>
      <c r="J213" s="29" t="s">
        <v>3963</v>
      </c>
      <c r="K213" s="27" t="s">
        <v>4214</v>
      </c>
      <c r="L213" s="25">
        <v>4.0</v>
      </c>
      <c r="M213" s="27" t="s">
        <v>4215</v>
      </c>
      <c r="N213" s="30" t="s">
        <v>1174</v>
      </c>
      <c r="O213" s="26" t="s">
        <v>4090</v>
      </c>
      <c r="P213" s="26" t="s">
        <v>4090</v>
      </c>
      <c r="Q213" s="26" t="str">
        <f t="shared" si="47"/>
        <v>กลุ่มงานโครงสร้างพื้นฐานและวิศวกรรมทางการแพทย์</v>
      </c>
      <c r="R213" s="26" t="str">
        <f t="shared" si="49"/>
        <v>ภารกิจด้านอำนวยการ</v>
      </c>
      <c r="S213" s="26" t="str">
        <f t="shared" si="50"/>
        <v>กลุ่มงานโครงสร้างพื้นฐานและวิศวกรรมทางการแพทย์</v>
      </c>
      <c r="T213" s="26" t="s">
        <v>4091</v>
      </c>
      <c r="U213" s="26" t="s">
        <v>1302</v>
      </c>
      <c r="V213" s="25" t="s">
        <v>21</v>
      </c>
      <c r="W213" s="26" t="s">
        <v>1323</v>
      </c>
      <c r="X213" s="25" t="s">
        <v>46</v>
      </c>
      <c r="Y213" s="31">
        <v>3.0</v>
      </c>
      <c r="Z213" s="31">
        <v>3.0</v>
      </c>
      <c r="AA213" s="31">
        <v>57.0</v>
      </c>
      <c r="AB213" s="31">
        <v>55.0</v>
      </c>
      <c r="AC213" s="32">
        <v>1.0</v>
      </c>
      <c r="AD213" s="26"/>
      <c r="AE213" s="26"/>
      <c r="AF213" s="32">
        <v>45.0</v>
      </c>
      <c r="AG213" s="37">
        <v>1.500701268917E12</v>
      </c>
      <c r="AH213" s="37" t="s">
        <v>1878</v>
      </c>
      <c r="AI213" s="44">
        <v>234977.0</v>
      </c>
    </row>
    <row r="214" ht="38.25" hidden="1" customHeight="1">
      <c r="A214" s="25">
        <v>211.0</v>
      </c>
      <c r="B214" s="99" t="s">
        <v>2692</v>
      </c>
      <c r="C214" s="99" t="s">
        <v>4626</v>
      </c>
      <c r="D214" s="99" t="s">
        <v>4627</v>
      </c>
      <c r="E214" s="99" t="s">
        <v>4628</v>
      </c>
      <c r="F214" s="99" t="s">
        <v>4628</v>
      </c>
      <c r="G214" s="100" t="s">
        <v>4226</v>
      </c>
      <c r="H214" s="100" t="s">
        <v>4629</v>
      </c>
      <c r="I214" s="101">
        <v>90709.0</v>
      </c>
      <c r="J214" s="101" t="s">
        <v>1125</v>
      </c>
      <c r="K214" s="100" t="s">
        <v>1137</v>
      </c>
      <c r="L214" s="102">
        <v>1.0</v>
      </c>
      <c r="M214" s="27" t="s">
        <v>1137</v>
      </c>
      <c r="N214" s="103" t="s">
        <v>1174</v>
      </c>
      <c r="O214" s="99" t="str">
        <f t="shared" ref="O214:O215" si="52">+T214</f>
        <v>กลุ่มงานสูติ - นรีเวชกรรม</v>
      </c>
      <c r="P214" s="99" t="s">
        <v>4630</v>
      </c>
      <c r="Q214" s="99" t="str">
        <f t="shared" si="47"/>
        <v>กลุ่มงานสูติ - นรีเวชกรรม</v>
      </c>
      <c r="R214" s="99" t="str">
        <f t="shared" si="49"/>
        <v>ภารกิจด้านบริการทุติยภูมิและตติยภูมิ</v>
      </c>
      <c r="S214" s="99" t="str">
        <f t="shared" si="50"/>
        <v>กลุ่มงานสูติ - นรีเวชกรรม</v>
      </c>
      <c r="T214" s="99" t="s">
        <v>4631</v>
      </c>
      <c r="U214" s="26" t="s">
        <v>1302</v>
      </c>
      <c r="V214" s="102">
        <v>11.0</v>
      </c>
      <c r="W214" s="99" t="s">
        <v>4054</v>
      </c>
      <c r="X214" s="102" t="s">
        <v>3978</v>
      </c>
      <c r="Y214" s="104">
        <v>5.0</v>
      </c>
      <c r="Z214" s="104">
        <v>5.0</v>
      </c>
      <c r="AA214" s="104">
        <v>199.0</v>
      </c>
      <c r="AB214" s="104">
        <v>80.0</v>
      </c>
      <c r="AC214" s="32">
        <v>1.0</v>
      </c>
      <c r="AD214" s="99"/>
      <c r="AE214" s="99"/>
      <c r="AF214" s="105">
        <v>1.0</v>
      </c>
      <c r="AG214" s="33">
        <v>3.269900041375E12</v>
      </c>
      <c r="AH214" s="33" t="s">
        <v>3859</v>
      </c>
      <c r="AI214" s="34" t="s">
        <v>4632</v>
      </c>
    </row>
    <row r="215" ht="38.25" hidden="1" customHeight="1">
      <c r="A215" s="32">
        <v>212.0</v>
      </c>
      <c r="B215" s="99" t="s">
        <v>1037</v>
      </c>
      <c r="C215" s="99" t="s">
        <v>4633</v>
      </c>
      <c r="D215" s="99" t="s">
        <v>4634</v>
      </c>
      <c r="E215" s="99" t="s">
        <v>4628</v>
      </c>
      <c r="F215" s="99" t="s">
        <v>4628</v>
      </c>
      <c r="G215" s="100" t="s">
        <v>4249</v>
      </c>
      <c r="H215" s="100" t="s">
        <v>1110</v>
      </c>
      <c r="I215" s="101">
        <v>215917.0</v>
      </c>
      <c r="J215" s="101" t="s">
        <v>1125</v>
      </c>
      <c r="K215" s="100" t="s">
        <v>1137</v>
      </c>
      <c r="L215" s="102">
        <v>1.0</v>
      </c>
      <c r="M215" s="27" t="s">
        <v>1137</v>
      </c>
      <c r="N215" s="103" t="s">
        <v>1174</v>
      </c>
      <c r="O215" s="99" t="str">
        <f t="shared" si="52"/>
        <v>กลุ่มงานสูติ - นรีเวชกรรม</v>
      </c>
      <c r="P215" s="99" t="s">
        <v>4630</v>
      </c>
      <c r="Q215" s="99" t="str">
        <f t="shared" si="47"/>
        <v>กลุ่มงานสูติ - นรีเวชกรรม</v>
      </c>
      <c r="R215" s="99" t="str">
        <f t="shared" si="49"/>
        <v>ภารกิจด้านบริการทุติยภูมิและตติยภูมิ</v>
      </c>
      <c r="S215" s="99" t="str">
        <f t="shared" si="50"/>
        <v>กลุ่มงานสูติ - นรีเวชกรรม</v>
      </c>
      <c r="T215" s="99" t="s">
        <v>4631</v>
      </c>
      <c r="U215" s="26" t="s">
        <v>1302</v>
      </c>
      <c r="V215" s="102">
        <v>11.0</v>
      </c>
      <c r="W215" s="99" t="s">
        <v>4054</v>
      </c>
      <c r="X215" s="102" t="s">
        <v>3978</v>
      </c>
      <c r="Y215" s="104">
        <v>5.0</v>
      </c>
      <c r="Z215" s="104">
        <v>5.0</v>
      </c>
      <c r="AA215" s="104">
        <v>199.0</v>
      </c>
      <c r="AB215" s="104">
        <v>80.0</v>
      </c>
      <c r="AC215" s="32">
        <v>1.0</v>
      </c>
      <c r="AD215" s="99"/>
      <c r="AE215" s="99"/>
      <c r="AF215" s="105">
        <v>1.0</v>
      </c>
      <c r="AG215" s="37">
        <v>1.620100200268E12</v>
      </c>
      <c r="AH215" s="37" t="s">
        <v>1226</v>
      </c>
      <c r="AI215" s="38" t="s">
        <v>4635</v>
      </c>
    </row>
    <row r="216" ht="38.25" hidden="1" customHeight="1">
      <c r="A216" s="25">
        <v>213.0</v>
      </c>
      <c r="B216" s="99" t="s">
        <v>1037</v>
      </c>
      <c r="C216" s="99" t="s">
        <v>4636</v>
      </c>
      <c r="D216" s="99" t="s">
        <v>4637</v>
      </c>
      <c r="E216" s="99" t="s">
        <v>4628</v>
      </c>
      <c r="F216" s="99" t="s">
        <v>4628</v>
      </c>
      <c r="G216" s="100" t="s">
        <v>4220</v>
      </c>
      <c r="H216" s="100" t="s">
        <v>4629</v>
      </c>
      <c r="I216" s="101">
        <v>172172.0</v>
      </c>
      <c r="J216" s="101" t="s">
        <v>1125</v>
      </c>
      <c r="K216" s="100" t="s">
        <v>1137</v>
      </c>
      <c r="L216" s="102">
        <v>1.0</v>
      </c>
      <c r="M216" s="27" t="s">
        <v>1137</v>
      </c>
      <c r="N216" s="106" t="s">
        <v>3981</v>
      </c>
      <c r="O216" s="99" t="s">
        <v>4631</v>
      </c>
      <c r="P216" s="99" t="s">
        <v>4630</v>
      </c>
      <c r="Q216" s="99" t="s">
        <v>4631</v>
      </c>
      <c r="R216" s="99" t="str">
        <f t="shared" si="49"/>
        <v>ภารกิจด้านบริการทุติยภูมิและตติยภูมิ</v>
      </c>
      <c r="S216" s="99" t="s">
        <v>4517</v>
      </c>
      <c r="T216" s="99" t="s">
        <v>4063</v>
      </c>
      <c r="U216" s="26" t="s">
        <v>1302</v>
      </c>
      <c r="V216" s="102">
        <v>11.0</v>
      </c>
      <c r="W216" s="99" t="s">
        <v>4054</v>
      </c>
      <c r="X216" s="102" t="s">
        <v>3978</v>
      </c>
      <c r="Y216" s="104">
        <v>5.0</v>
      </c>
      <c r="Z216" s="104">
        <v>5.0</v>
      </c>
      <c r="AA216" s="104">
        <v>199.0</v>
      </c>
      <c r="AB216" s="104">
        <v>80.0</v>
      </c>
      <c r="AC216" s="32">
        <v>1.0</v>
      </c>
      <c r="AD216" s="99"/>
      <c r="AE216" s="99"/>
      <c r="AF216" s="105">
        <v>1.0</v>
      </c>
      <c r="AG216" s="33">
        <v>1.509900886619E12</v>
      </c>
      <c r="AH216" s="33" t="s">
        <v>3863</v>
      </c>
      <c r="AI216" s="40">
        <v>231541.0</v>
      </c>
    </row>
    <row r="217" ht="38.25" hidden="1" customHeight="1">
      <c r="A217" s="25">
        <v>214.0</v>
      </c>
      <c r="B217" s="99" t="s">
        <v>2692</v>
      </c>
      <c r="C217" s="99" t="s">
        <v>4638</v>
      </c>
      <c r="D217" s="99" t="s">
        <v>4639</v>
      </c>
      <c r="E217" s="99" t="s">
        <v>4628</v>
      </c>
      <c r="F217" s="99" t="s">
        <v>4628</v>
      </c>
      <c r="G217" s="100" t="s">
        <v>4226</v>
      </c>
      <c r="H217" s="100" t="s">
        <v>4629</v>
      </c>
      <c r="I217" s="101">
        <v>162729.0</v>
      </c>
      <c r="J217" s="101" t="s">
        <v>1125</v>
      </c>
      <c r="K217" s="100" t="s">
        <v>1137</v>
      </c>
      <c r="L217" s="102">
        <v>1.0</v>
      </c>
      <c r="M217" s="27" t="s">
        <v>1137</v>
      </c>
      <c r="N217" s="103" t="s">
        <v>1174</v>
      </c>
      <c r="O217" s="99" t="s">
        <v>4631</v>
      </c>
      <c r="P217" s="99" t="s">
        <v>4630</v>
      </c>
      <c r="Q217" s="99" t="s">
        <v>4631</v>
      </c>
      <c r="R217" s="99" t="s">
        <v>4054</v>
      </c>
      <c r="S217" s="99" t="str">
        <f t="shared" ref="S217:S218" si="53">+T217</f>
        <v>กลุ่มงานสูติ - นรีเวชกรรม</v>
      </c>
      <c r="T217" s="99" t="s">
        <v>4631</v>
      </c>
      <c r="U217" s="26" t="s">
        <v>1302</v>
      </c>
      <c r="V217" s="102">
        <v>11.0</v>
      </c>
      <c r="W217" s="99" t="s">
        <v>4054</v>
      </c>
      <c r="X217" s="102" t="s">
        <v>3978</v>
      </c>
      <c r="Y217" s="104">
        <v>5.0</v>
      </c>
      <c r="Z217" s="104">
        <v>5.0</v>
      </c>
      <c r="AA217" s="104">
        <v>199.0</v>
      </c>
      <c r="AB217" s="104">
        <v>80.0</v>
      </c>
      <c r="AC217" s="32">
        <v>1.0</v>
      </c>
      <c r="AD217" s="99"/>
      <c r="AE217" s="99"/>
      <c r="AF217" s="105">
        <v>1.0</v>
      </c>
      <c r="AG217" s="37">
        <v>3.180600630947E12</v>
      </c>
      <c r="AH217" s="37" t="s">
        <v>3824</v>
      </c>
      <c r="AI217" s="44">
        <v>225395.0</v>
      </c>
    </row>
    <row r="218" ht="38.25" hidden="1" customHeight="1">
      <c r="A218" s="32">
        <v>215.0</v>
      </c>
      <c r="B218" s="99" t="s">
        <v>806</v>
      </c>
      <c r="C218" s="99" t="s">
        <v>4640</v>
      </c>
      <c r="D218" s="99" t="s">
        <v>4641</v>
      </c>
      <c r="E218" s="99" t="s">
        <v>4628</v>
      </c>
      <c r="F218" s="99" t="s">
        <v>4628</v>
      </c>
      <c r="G218" s="100" t="s">
        <v>4226</v>
      </c>
      <c r="H218" s="100" t="s">
        <v>4629</v>
      </c>
      <c r="I218" s="101">
        <v>110715.0</v>
      </c>
      <c r="J218" s="101" t="s">
        <v>1125</v>
      </c>
      <c r="K218" s="100" t="s">
        <v>1137</v>
      </c>
      <c r="L218" s="102">
        <v>1.0</v>
      </c>
      <c r="M218" s="27" t="s">
        <v>1137</v>
      </c>
      <c r="N218" s="103" t="s">
        <v>1174</v>
      </c>
      <c r="O218" s="99" t="str">
        <f t="shared" ref="O218:O225" si="54">+T218</f>
        <v>กลุ่มงานสูติ - นรีเวชกรรม</v>
      </c>
      <c r="P218" s="99" t="s">
        <v>4630</v>
      </c>
      <c r="Q218" s="99" t="str">
        <f t="shared" ref="Q218:Q225" si="55">+T218</f>
        <v>กลุ่มงานสูติ - นรีเวชกรรม</v>
      </c>
      <c r="R218" s="99" t="str">
        <f t="shared" ref="R218:R225" si="56">+W218</f>
        <v>ภารกิจด้านบริการทุติยภูมิและตติยภูมิ</v>
      </c>
      <c r="S218" s="99" t="str">
        <f t="shared" si="53"/>
        <v>กลุ่มงานสูติ - นรีเวชกรรม</v>
      </c>
      <c r="T218" s="99" t="s">
        <v>4631</v>
      </c>
      <c r="U218" s="26" t="s">
        <v>1302</v>
      </c>
      <c r="V218" s="102">
        <v>11.0</v>
      </c>
      <c r="W218" s="99" t="s">
        <v>4054</v>
      </c>
      <c r="X218" s="102" t="s">
        <v>3978</v>
      </c>
      <c r="Y218" s="104">
        <v>5.0</v>
      </c>
      <c r="Z218" s="104">
        <v>5.0</v>
      </c>
      <c r="AA218" s="104">
        <v>199.0</v>
      </c>
      <c r="AB218" s="104">
        <v>80.0</v>
      </c>
      <c r="AC218" s="32">
        <v>1.0</v>
      </c>
      <c r="AD218" s="99"/>
      <c r="AE218" s="99"/>
      <c r="AF218" s="105">
        <v>1.0</v>
      </c>
      <c r="AG218" s="33">
        <v>3.540400617595E12</v>
      </c>
      <c r="AH218" s="33" t="s">
        <v>3922</v>
      </c>
      <c r="AI218" s="40">
        <v>226393.0</v>
      </c>
    </row>
    <row r="219" ht="38.25" hidden="1" customHeight="1">
      <c r="A219" s="25">
        <v>216.0</v>
      </c>
      <c r="B219" s="99" t="s">
        <v>2692</v>
      </c>
      <c r="C219" s="99" t="s">
        <v>4642</v>
      </c>
      <c r="D219" s="99" t="s">
        <v>4643</v>
      </c>
      <c r="E219" s="99" t="s">
        <v>4628</v>
      </c>
      <c r="F219" s="99" t="s">
        <v>4628</v>
      </c>
      <c r="G219" s="100" t="s">
        <v>4220</v>
      </c>
      <c r="H219" s="100" t="s">
        <v>4629</v>
      </c>
      <c r="I219" s="101">
        <v>191180.0</v>
      </c>
      <c r="J219" s="101" t="s">
        <v>1125</v>
      </c>
      <c r="K219" s="100" t="s">
        <v>1137</v>
      </c>
      <c r="L219" s="102">
        <v>1.0</v>
      </c>
      <c r="M219" s="27" t="s">
        <v>1137</v>
      </c>
      <c r="N219" s="103" t="s">
        <v>1174</v>
      </c>
      <c r="O219" s="99" t="str">
        <f t="shared" si="54"/>
        <v>กลุ่มงานผู้ป่วยนอก</v>
      </c>
      <c r="P219" s="99" t="s">
        <v>4644</v>
      </c>
      <c r="Q219" s="99" t="str">
        <f t="shared" si="55"/>
        <v>กลุ่มงานผู้ป่วยนอก</v>
      </c>
      <c r="R219" s="99" t="str">
        <f t="shared" si="56"/>
        <v>ภารกิจด้านบริการทุติยภูมิและตติยภูมิ</v>
      </c>
      <c r="S219" s="99" t="s">
        <v>4645</v>
      </c>
      <c r="T219" s="99" t="s">
        <v>4645</v>
      </c>
      <c r="U219" s="26" t="s">
        <v>1302</v>
      </c>
      <c r="V219" s="102">
        <v>12.0</v>
      </c>
      <c r="W219" s="99" t="s">
        <v>4054</v>
      </c>
      <c r="X219" s="102" t="s">
        <v>3978</v>
      </c>
      <c r="Y219" s="104">
        <v>5.0</v>
      </c>
      <c r="Z219" s="104">
        <v>5.0</v>
      </c>
      <c r="AA219" s="104">
        <v>199.0</v>
      </c>
      <c r="AB219" s="104">
        <v>80.0</v>
      </c>
      <c r="AC219" s="32">
        <v>1.0</v>
      </c>
      <c r="AD219" s="99"/>
      <c r="AE219" s="99"/>
      <c r="AF219" s="105">
        <v>1.0</v>
      </c>
      <c r="AG219" s="37">
        <v>1.103100008445E12</v>
      </c>
      <c r="AH219" s="61"/>
      <c r="AI219" s="38" t="s">
        <v>4646</v>
      </c>
    </row>
    <row r="220" ht="38.25" hidden="1" customHeight="1">
      <c r="A220" s="25">
        <v>217.0</v>
      </c>
      <c r="B220" s="107" t="s">
        <v>1037</v>
      </c>
      <c r="C220" s="107" t="s">
        <v>4647</v>
      </c>
      <c r="D220" s="107" t="s">
        <v>4648</v>
      </c>
      <c r="E220" s="107" t="s">
        <v>4628</v>
      </c>
      <c r="F220" s="107" t="s">
        <v>4628</v>
      </c>
      <c r="G220" s="108" t="s">
        <v>4220</v>
      </c>
      <c r="H220" s="108" t="s">
        <v>4629</v>
      </c>
      <c r="I220" s="109">
        <v>168990.0</v>
      </c>
      <c r="J220" s="109" t="s">
        <v>1125</v>
      </c>
      <c r="K220" s="108" t="s">
        <v>1137</v>
      </c>
      <c r="L220" s="110">
        <v>1.0</v>
      </c>
      <c r="M220" s="27" t="s">
        <v>1137</v>
      </c>
      <c r="N220" s="111" t="s">
        <v>1174</v>
      </c>
      <c r="O220" s="107" t="str">
        <f t="shared" si="54"/>
        <v>กลุ่มงานวิสัญญีวิทยา</v>
      </c>
      <c r="P220" s="107" t="s">
        <v>4644</v>
      </c>
      <c r="Q220" s="107" t="str">
        <f t="shared" si="55"/>
        <v>กลุ่มงานวิสัญญีวิทยา</v>
      </c>
      <c r="R220" s="107" t="str">
        <f t="shared" si="56"/>
        <v>ภารกิจด้านบริการทุติยภูมิและตติยภูมิ</v>
      </c>
      <c r="S220" s="107" t="str">
        <f t="shared" ref="S220:S223" si="57">+T220</f>
        <v>กลุ่มงานวิสัญญีวิทยา</v>
      </c>
      <c r="T220" s="107" t="s">
        <v>4649</v>
      </c>
      <c r="U220" s="26" t="s">
        <v>1302</v>
      </c>
      <c r="V220" s="110">
        <v>12.0</v>
      </c>
      <c r="W220" s="107" t="s">
        <v>4054</v>
      </c>
      <c r="X220" s="110" t="s">
        <v>3978</v>
      </c>
      <c r="Y220" s="112">
        <v>5.0</v>
      </c>
      <c r="Z220" s="112">
        <v>5.0</v>
      </c>
      <c r="AA220" s="112">
        <v>199.0</v>
      </c>
      <c r="AB220" s="112">
        <v>80.0</v>
      </c>
      <c r="AC220" s="32">
        <v>1.0</v>
      </c>
      <c r="AD220" s="107"/>
      <c r="AE220" s="107"/>
      <c r="AF220" s="105">
        <v>1.0</v>
      </c>
      <c r="AG220" s="33">
        <v>5.501400017528E12</v>
      </c>
      <c r="AH220" s="33" t="s">
        <v>3850</v>
      </c>
      <c r="AI220" s="34" t="s">
        <v>4650</v>
      </c>
    </row>
    <row r="221" ht="38.25" hidden="1" customHeight="1">
      <c r="A221" s="32">
        <v>218.0</v>
      </c>
      <c r="B221" s="107" t="s">
        <v>1037</v>
      </c>
      <c r="C221" s="107" t="s">
        <v>4651</v>
      </c>
      <c r="D221" s="107" t="s">
        <v>4652</v>
      </c>
      <c r="E221" s="107" t="s">
        <v>4628</v>
      </c>
      <c r="F221" s="107" t="s">
        <v>4628</v>
      </c>
      <c r="G221" s="108" t="s">
        <v>4220</v>
      </c>
      <c r="H221" s="108" t="s">
        <v>4629</v>
      </c>
      <c r="I221" s="109">
        <v>172189.0</v>
      </c>
      <c r="J221" s="109" t="s">
        <v>1125</v>
      </c>
      <c r="K221" s="108" t="s">
        <v>1137</v>
      </c>
      <c r="L221" s="110">
        <v>1.0</v>
      </c>
      <c r="M221" s="27" t="s">
        <v>1137</v>
      </c>
      <c r="N221" s="111" t="s">
        <v>1174</v>
      </c>
      <c r="O221" s="107" t="str">
        <f t="shared" si="54"/>
        <v>กลุ่มงานวิสัญญีวิทยา</v>
      </c>
      <c r="P221" s="107" t="s">
        <v>4644</v>
      </c>
      <c r="Q221" s="107" t="str">
        <f t="shared" si="55"/>
        <v>กลุ่มงานวิสัญญีวิทยา</v>
      </c>
      <c r="R221" s="107" t="str">
        <f t="shared" si="56"/>
        <v>ภารกิจด้านบริการทุติยภูมิและตติยภูมิ</v>
      </c>
      <c r="S221" s="107" t="str">
        <f t="shared" si="57"/>
        <v>กลุ่มงานวิสัญญีวิทยา</v>
      </c>
      <c r="T221" s="107" t="s">
        <v>4649</v>
      </c>
      <c r="U221" s="26" t="s">
        <v>1302</v>
      </c>
      <c r="V221" s="110">
        <v>12.0</v>
      </c>
      <c r="W221" s="107" t="s">
        <v>4054</v>
      </c>
      <c r="X221" s="110" t="s">
        <v>3978</v>
      </c>
      <c r="Y221" s="112">
        <v>5.0</v>
      </c>
      <c r="Z221" s="112">
        <v>5.0</v>
      </c>
      <c r="AA221" s="112">
        <v>199.0</v>
      </c>
      <c r="AB221" s="112">
        <v>80.0</v>
      </c>
      <c r="AC221" s="32">
        <v>1.0</v>
      </c>
      <c r="AD221" s="107"/>
      <c r="AE221" s="107"/>
      <c r="AF221" s="105">
        <v>1.0</v>
      </c>
      <c r="AG221" s="37">
        <v>1.509900577985E12</v>
      </c>
      <c r="AH221" s="37" t="s">
        <v>1677</v>
      </c>
      <c r="AI221" s="44">
        <v>230744.0</v>
      </c>
    </row>
    <row r="222" ht="38.25" hidden="1" customHeight="1">
      <c r="A222" s="25">
        <v>219.0</v>
      </c>
      <c r="B222" s="107" t="s">
        <v>1037</v>
      </c>
      <c r="C222" s="107" t="s">
        <v>4653</v>
      </c>
      <c r="D222" s="107" t="s">
        <v>4654</v>
      </c>
      <c r="E222" s="107" t="s">
        <v>4628</v>
      </c>
      <c r="F222" s="107" t="s">
        <v>4628</v>
      </c>
      <c r="G222" s="108" t="s">
        <v>4220</v>
      </c>
      <c r="H222" s="108" t="s">
        <v>4629</v>
      </c>
      <c r="I222" s="109">
        <v>18873.0</v>
      </c>
      <c r="J222" s="109" t="s">
        <v>1125</v>
      </c>
      <c r="K222" s="108" t="s">
        <v>1137</v>
      </c>
      <c r="L222" s="110">
        <v>1.0</v>
      </c>
      <c r="M222" s="27" t="s">
        <v>1137</v>
      </c>
      <c r="N222" s="111" t="s">
        <v>1174</v>
      </c>
      <c r="O222" s="107" t="str">
        <f t="shared" si="54"/>
        <v>กลุ่มงานวิสัญญีวิทยา</v>
      </c>
      <c r="P222" s="107" t="s">
        <v>4644</v>
      </c>
      <c r="Q222" s="107" t="str">
        <f t="shared" si="55"/>
        <v>กลุ่มงานวิสัญญีวิทยา</v>
      </c>
      <c r="R222" s="107" t="str">
        <f t="shared" si="56"/>
        <v>ภารกิจด้านบริการทุติยภูมิและตติยภูมิ</v>
      </c>
      <c r="S222" s="107" t="str">
        <f t="shared" si="57"/>
        <v>กลุ่มงานวิสัญญีวิทยา</v>
      </c>
      <c r="T222" s="107" t="s">
        <v>4649</v>
      </c>
      <c r="U222" s="26" t="s">
        <v>1302</v>
      </c>
      <c r="V222" s="110">
        <v>12.0</v>
      </c>
      <c r="W222" s="107" t="s">
        <v>4054</v>
      </c>
      <c r="X222" s="110" t="s">
        <v>3978</v>
      </c>
      <c r="Y222" s="112">
        <v>5.0</v>
      </c>
      <c r="Z222" s="112">
        <v>5.0</v>
      </c>
      <c r="AA222" s="112">
        <v>199.0</v>
      </c>
      <c r="AB222" s="112">
        <v>80.0</v>
      </c>
      <c r="AC222" s="32">
        <v>1.0</v>
      </c>
      <c r="AD222" s="107"/>
      <c r="AE222" s="107"/>
      <c r="AF222" s="105">
        <v>1.0</v>
      </c>
      <c r="AG222" s="33">
        <v>1.5099012264E12</v>
      </c>
      <c r="AH222" s="33" t="s">
        <v>1267</v>
      </c>
      <c r="AI222" s="34" t="s">
        <v>4655</v>
      </c>
    </row>
    <row r="223" ht="38.25" hidden="1" customHeight="1">
      <c r="A223" s="25">
        <v>220.0</v>
      </c>
      <c r="B223" s="107" t="s">
        <v>2692</v>
      </c>
      <c r="C223" s="107" t="s">
        <v>4656</v>
      </c>
      <c r="D223" s="107" t="s">
        <v>4657</v>
      </c>
      <c r="E223" s="107" t="s">
        <v>4628</v>
      </c>
      <c r="F223" s="107" t="s">
        <v>4628</v>
      </c>
      <c r="G223" s="108" t="s">
        <v>4220</v>
      </c>
      <c r="H223" s="108" t="s">
        <v>4629</v>
      </c>
      <c r="I223" s="109">
        <v>172488.0</v>
      </c>
      <c r="J223" s="109" t="s">
        <v>1125</v>
      </c>
      <c r="K223" s="108" t="s">
        <v>1137</v>
      </c>
      <c r="L223" s="110">
        <v>1.0</v>
      </c>
      <c r="M223" s="27" t="s">
        <v>1137</v>
      </c>
      <c r="N223" s="111" t="s">
        <v>1174</v>
      </c>
      <c r="O223" s="107" t="str">
        <f t="shared" si="54"/>
        <v>กลุ่มงานวิสัญญีวิทยา</v>
      </c>
      <c r="P223" s="107" t="s">
        <v>4644</v>
      </c>
      <c r="Q223" s="107" t="str">
        <f t="shared" si="55"/>
        <v>กลุ่มงานวิสัญญีวิทยา</v>
      </c>
      <c r="R223" s="107" t="str">
        <f t="shared" si="56"/>
        <v>ภารกิจด้านบริการทุติยภูมิและตติยภูมิ</v>
      </c>
      <c r="S223" s="107" t="str">
        <f t="shared" si="57"/>
        <v>กลุ่มงานวิสัญญีวิทยา</v>
      </c>
      <c r="T223" s="107" t="s">
        <v>4649</v>
      </c>
      <c r="U223" s="26" t="s">
        <v>1302</v>
      </c>
      <c r="V223" s="110">
        <v>12.0</v>
      </c>
      <c r="W223" s="107" t="s">
        <v>4054</v>
      </c>
      <c r="X223" s="110" t="s">
        <v>3978</v>
      </c>
      <c r="Y223" s="112">
        <v>5.0</v>
      </c>
      <c r="Z223" s="112">
        <v>5.0</v>
      </c>
      <c r="AA223" s="112">
        <v>199.0</v>
      </c>
      <c r="AB223" s="112">
        <v>80.0</v>
      </c>
      <c r="AC223" s="32">
        <v>1.0</v>
      </c>
      <c r="AD223" s="107"/>
      <c r="AE223" s="107"/>
      <c r="AF223" s="105">
        <v>1.0</v>
      </c>
      <c r="AG223" s="37">
        <v>3.501900336049E12</v>
      </c>
      <c r="AH223" s="37" t="s">
        <v>2120</v>
      </c>
      <c r="AI223" s="38" t="s">
        <v>4658</v>
      </c>
    </row>
    <row r="224" ht="38.25" hidden="1" customHeight="1">
      <c r="A224" s="32">
        <v>221.0</v>
      </c>
      <c r="B224" s="107" t="s">
        <v>806</v>
      </c>
      <c r="C224" s="107" t="s">
        <v>4659</v>
      </c>
      <c r="D224" s="107" t="s">
        <v>4290</v>
      </c>
      <c r="E224" s="107" t="s">
        <v>4628</v>
      </c>
      <c r="F224" s="107" t="s">
        <v>4628</v>
      </c>
      <c r="G224" s="108" t="s">
        <v>4220</v>
      </c>
      <c r="H224" s="108" t="s">
        <v>4629</v>
      </c>
      <c r="I224" s="109">
        <v>165018.0</v>
      </c>
      <c r="J224" s="109" t="s">
        <v>1125</v>
      </c>
      <c r="K224" s="108" t="s">
        <v>1137</v>
      </c>
      <c r="L224" s="110">
        <v>1.0</v>
      </c>
      <c r="M224" s="27" t="s">
        <v>1137</v>
      </c>
      <c r="N224" s="111" t="s">
        <v>1174</v>
      </c>
      <c r="O224" s="107" t="str">
        <f t="shared" si="54"/>
        <v>กลุ่มงานรังสีวิทยา</v>
      </c>
      <c r="P224" s="107" t="s">
        <v>4431</v>
      </c>
      <c r="Q224" s="107" t="str">
        <f t="shared" si="55"/>
        <v>กลุ่มงานรังสีวิทยา</v>
      </c>
      <c r="R224" s="107" t="str">
        <f t="shared" si="56"/>
        <v>ภารกิจด้านบริการทุติยภูมิและตติยภูมิ</v>
      </c>
      <c r="S224" s="107" t="s">
        <v>4432</v>
      </c>
      <c r="T224" s="107" t="s">
        <v>4432</v>
      </c>
      <c r="U224" s="26" t="s">
        <v>1302</v>
      </c>
      <c r="V224" s="110">
        <v>15.0</v>
      </c>
      <c r="W224" s="107" t="s">
        <v>4054</v>
      </c>
      <c r="X224" s="110" t="s">
        <v>3978</v>
      </c>
      <c r="Y224" s="112">
        <v>4.0</v>
      </c>
      <c r="Z224" s="112">
        <v>9.0</v>
      </c>
      <c r="AA224" s="112">
        <v>199.0</v>
      </c>
      <c r="AB224" s="112">
        <v>80.0</v>
      </c>
      <c r="AC224" s="32">
        <v>1.0</v>
      </c>
      <c r="AD224" s="107"/>
      <c r="AE224" s="107"/>
      <c r="AF224" s="105">
        <v>1.0</v>
      </c>
      <c r="AG224" s="33">
        <v>3.509901439507E12</v>
      </c>
      <c r="AH224" s="33" t="s">
        <v>3854</v>
      </c>
      <c r="AI224" s="40">
        <v>228066.0</v>
      </c>
    </row>
    <row r="225" ht="38.25" hidden="1" customHeight="1">
      <c r="A225" s="25">
        <v>222.0</v>
      </c>
      <c r="B225" s="107" t="s">
        <v>1037</v>
      </c>
      <c r="C225" s="107" t="s">
        <v>4660</v>
      </c>
      <c r="D225" s="107" t="s">
        <v>4661</v>
      </c>
      <c r="E225" s="107" t="s">
        <v>4628</v>
      </c>
      <c r="F225" s="107" t="s">
        <v>4628</v>
      </c>
      <c r="G225" s="108" t="s">
        <v>4226</v>
      </c>
      <c r="H225" s="108" t="s">
        <v>4629</v>
      </c>
      <c r="I225" s="109">
        <v>202044.0</v>
      </c>
      <c r="J225" s="109" t="s">
        <v>1125</v>
      </c>
      <c r="K225" s="108" t="s">
        <v>1137</v>
      </c>
      <c r="L225" s="110">
        <v>1.0</v>
      </c>
      <c r="M225" s="27" t="s">
        <v>1137</v>
      </c>
      <c r="N225" s="111" t="s">
        <v>1174</v>
      </c>
      <c r="O225" s="107" t="str">
        <f t="shared" si="54"/>
        <v>กลุ่มงานรังสีวิทยา</v>
      </c>
      <c r="P225" s="107" t="s">
        <v>4431</v>
      </c>
      <c r="Q225" s="107" t="str">
        <f t="shared" si="55"/>
        <v>กลุ่มงานรังสีวิทยา</v>
      </c>
      <c r="R225" s="107" t="str">
        <f t="shared" si="56"/>
        <v>ภารกิจด้านบริการทุติยภูมิและตติยภูมิ</v>
      </c>
      <c r="S225" s="107" t="s">
        <v>4432</v>
      </c>
      <c r="T225" s="107" t="s">
        <v>4432</v>
      </c>
      <c r="U225" s="26" t="s">
        <v>1302</v>
      </c>
      <c r="V225" s="110">
        <v>15.0</v>
      </c>
      <c r="W225" s="107" t="s">
        <v>4054</v>
      </c>
      <c r="X225" s="110" t="s">
        <v>3978</v>
      </c>
      <c r="Y225" s="112">
        <v>4.0</v>
      </c>
      <c r="Z225" s="112">
        <v>9.0</v>
      </c>
      <c r="AA225" s="112">
        <v>199.0</v>
      </c>
      <c r="AB225" s="112">
        <v>80.0</v>
      </c>
      <c r="AC225" s="32">
        <v>1.0</v>
      </c>
      <c r="AD225" s="107"/>
      <c r="AE225" s="107"/>
      <c r="AF225" s="105">
        <v>1.0</v>
      </c>
      <c r="AG225" s="37">
        <v>3.509900399951E12</v>
      </c>
      <c r="AH225" s="37" t="s">
        <v>1682</v>
      </c>
      <c r="AI225" s="38" t="s">
        <v>4662</v>
      </c>
    </row>
    <row r="226" ht="38.25" hidden="1" customHeight="1">
      <c r="A226" s="25">
        <v>223.0</v>
      </c>
      <c r="B226" s="113" t="s">
        <v>2692</v>
      </c>
      <c r="C226" s="113" t="s">
        <v>4663</v>
      </c>
      <c r="D226" s="113" t="s">
        <v>4664</v>
      </c>
      <c r="E226" s="113" t="s">
        <v>4628</v>
      </c>
      <c r="F226" s="113" t="s">
        <v>4628</v>
      </c>
      <c r="G226" s="114" t="s">
        <v>4220</v>
      </c>
      <c r="H226" s="114" t="s">
        <v>4629</v>
      </c>
      <c r="I226" s="115">
        <v>215642.0</v>
      </c>
      <c r="J226" s="115" t="s">
        <v>1125</v>
      </c>
      <c r="K226" s="114" t="s">
        <v>1137</v>
      </c>
      <c r="L226" s="116">
        <v>1.0</v>
      </c>
      <c r="M226" s="27" t="s">
        <v>1137</v>
      </c>
      <c r="N226" s="116" t="s">
        <v>3981</v>
      </c>
      <c r="O226" s="113" t="s">
        <v>4432</v>
      </c>
      <c r="P226" s="113" t="s">
        <v>4431</v>
      </c>
      <c r="Q226" s="113" t="s">
        <v>4432</v>
      </c>
      <c r="R226" s="113" t="s">
        <v>4054</v>
      </c>
      <c r="S226" s="113" t="s">
        <v>4432</v>
      </c>
      <c r="T226" s="113" t="s">
        <v>4432</v>
      </c>
      <c r="U226" s="86" t="s">
        <v>4665</v>
      </c>
      <c r="V226" s="116">
        <v>15.0</v>
      </c>
      <c r="W226" s="113" t="s">
        <v>4054</v>
      </c>
      <c r="X226" s="116" t="s">
        <v>3978</v>
      </c>
      <c r="Y226" s="117">
        <v>4.0</v>
      </c>
      <c r="Z226" s="117">
        <v>9.0</v>
      </c>
      <c r="AA226" s="117">
        <v>199.0</v>
      </c>
      <c r="AB226" s="117">
        <v>80.0</v>
      </c>
      <c r="AC226" s="88">
        <v>3.0</v>
      </c>
      <c r="AD226" s="113"/>
      <c r="AE226" s="113"/>
      <c r="AF226" s="88">
        <v>1.0</v>
      </c>
      <c r="AG226" s="33">
        <v>1.509901555195E12</v>
      </c>
      <c r="AH226" s="33" t="s">
        <v>744</v>
      </c>
      <c r="AI226" s="40">
        <v>233149.0</v>
      </c>
    </row>
    <row r="227" ht="38.25" hidden="1" customHeight="1">
      <c r="A227" s="32">
        <v>224.0</v>
      </c>
      <c r="B227" s="107" t="s">
        <v>1037</v>
      </c>
      <c r="C227" s="107" t="s">
        <v>4666</v>
      </c>
      <c r="D227" s="107" t="s">
        <v>4667</v>
      </c>
      <c r="E227" s="107" t="s">
        <v>4628</v>
      </c>
      <c r="F227" s="107" t="s">
        <v>4628</v>
      </c>
      <c r="G227" s="108" t="s">
        <v>4226</v>
      </c>
      <c r="H227" s="108" t="s">
        <v>4629</v>
      </c>
      <c r="I227" s="109">
        <v>111934.0</v>
      </c>
      <c r="J227" s="109" t="s">
        <v>1125</v>
      </c>
      <c r="K227" s="108" t="s">
        <v>1137</v>
      </c>
      <c r="L227" s="110">
        <v>1.0</v>
      </c>
      <c r="M227" s="27" t="s">
        <v>1137</v>
      </c>
      <c r="N227" s="111" t="s">
        <v>1174</v>
      </c>
      <c r="O227" s="107" t="str">
        <f t="shared" ref="O227:O228" si="58">+T227</f>
        <v>กลุ่มงานเวชกรรมฟื้นฟู</v>
      </c>
      <c r="P227" s="107" t="s">
        <v>4199</v>
      </c>
      <c r="Q227" s="107" t="str">
        <f t="shared" ref="Q227:Q228" si="59">+T227</f>
        <v>กลุ่มงานเวชกรรมฟื้นฟู</v>
      </c>
      <c r="R227" s="107" t="str">
        <f t="shared" ref="R227:R228" si="60">+W227</f>
        <v>ภารกิจด้านบริการทุติยภูมิและตติยภูมิ</v>
      </c>
      <c r="S227" s="107" t="str">
        <f t="shared" ref="S227:S228" si="61">+T227</f>
        <v>กลุ่มงานเวชกรรมฟื้นฟู</v>
      </c>
      <c r="T227" s="107" t="s">
        <v>4200</v>
      </c>
      <c r="U227" s="26" t="s">
        <v>1302</v>
      </c>
      <c r="V227" s="110">
        <v>17.0</v>
      </c>
      <c r="W227" s="107" t="s">
        <v>4054</v>
      </c>
      <c r="X227" s="110" t="s">
        <v>3978</v>
      </c>
      <c r="Y227" s="112">
        <v>2.0</v>
      </c>
      <c r="Z227" s="112">
        <v>23.0</v>
      </c>
      <c r="AA227" s="112">
        <v>199.0</v>
      </c>
      <c r="AB227" s="112">
        <v>80.0</v>
      </c>
      <c r="AC227" s="32">
        <v>1.0</v>
      </c>
      <c r="AD227" s="107"/>
      <c r="AE227" s="107"/>
      <c r="AF227" s="105">
        <v>1.0</v>
      </c>
      <c r="AG227" s="37">
        <v>3.520800157915E12</v>
      </c>
      <c r="AH227" s="37" t="s">
        <v>3867</v>
      </c>
      <c r="AI227" s="38" t="s">
        <v>4668</v>
      </c>
    </row>
    <row r="228" ht="38.25" hidden="1" customHeight="1">
      <c r="A228" s="25">
        <v>225.0</v>
      </c>
      <c r="B228" s="107" t="s">
        <v>1037</v>
      </c>
      <c r="C228" s="118" t="s">
        <v>4669</v>
      </c>
      <c r="D228" s="118" t="s">
        <v>4670</v>
      </c>
      <c r="E228" s="107" t="s">
        <v>4628</v>
      </c>
      <c r="F228" s="107" t="s">
        <v>4628</v>
      </c>
      <c r="G228" s="108" t="s">
        <v>4226</v>
      </c>
      <c r="H228" s="108" t="s">
        <v>4629</v>
      </c>
      <c r="I228" s="119">
        <v>215773.0</v>
      </c>
      <c r="J228" s="109" t="s">
        <v>1125</v>
      </c>
      <c r="K228" s="108" t="s">
        <v>1137</v>
      </c>
      <c r="L228" s="110">
        <v>1.0</v>
      </c>
      <c r="M228" s="27" t="s">
        <v>1137</v>
      </c>
      <c r="N228" s="111" t="s">
        <v>1174</v>
      </c>
      <c r="O228" s="107" t="str">
        <f t="shared" si="58"/>
        <v>กลุ่มงานเวชกรรมฟื้นฟู</v>
      </c>
      <c r="P228" s="107" t="s">
        <v>4199</v>
      </c>
      <c r="Q228" s="107" t="str">
        <f t="shared" si="59"/>
        <v>กลุ่มงานเวชกรรมฟื้นฟู</v>
      </c>
      <c r="R228" s="107" t="str">
        <f t="shared" si="60"/>
        <v>ภารกิจด้านบริการทุติยภูมิและตติยภูมิ</v>
      </c>
      <c r="S228" s="107" t="str">
        <f t="shared" si="61"/>
        <v>กลุ่มงานเวชกรรมฟื้นฟู</v>
      </c>
      <c r="T228" s="107" t="s">
        <v>4200</v>
      </c>
      <c r="U228" s="26" t="s">
        <v>1302</v>
      </c>
      <c r="V228" s="110">
        <v>17.0</v>
      </c>
      <c r="W228" s="107" t="s">
        <v>4054</v>
      </c>
      <c r="X228" s="110" t="s">
        <v>3978</v>
      </c>
      <c r="Y228" s="112">
        <v>2.0</v>
      </c>
      <c r="Z228" s="112">
        <v>23.0</v>
      </c>
      <c r="AA228" s="112">
        <v>199.0</v>
      </c>
      <c r="AB228" s="112">
        <v>80.0</v>
      </c>
      <c r="AC228" s="32">
        <v>1.0</v>
      </c>
      <c r="AD228" s="107"/>
      <c r="AE228" s="107"/>
      <c r="AF228" s="105">
        <v>1.0</v>
      </c>
      <c r="AG228" s="37">
        <v>3.520800157915E12</v>
      </c>
      <c r="AH228" s="37" t="s">
        <v>3867</v>
      </c>
      <c r="AI228" s="38" t="s">
        <v>4668</v>
      </c>
    </row>
    <row r="229" ht="38.25" hidden="1" customHeight="1">
      <c r="A229" s="25">
        <v>226.0</v>
      </c>
      <c r="B229" s="120" t="s">
        <v>2692</v>
      </c>
      <c r="C229" s="120" t="s">
        <v>4671</v>
      </c>
      <c r="D229" s="120" t="s">
        <v>4672</v>
      </c>
      <c r="E229" s="120" t="s">
        <v>4628</v>
      </c>
      <c r="F229" s="120" t="s">
        <v>4628</v>
      </c>
      <c r="G229" s="121" t="s">
        <v>4220</v>
      </c>
      <c r="H229" s="121" t="s">
        <v>4629</v>
      </c>
      <c r="I229" s="122">
        <v>78281.0</v>
      </c>
      <c r="J229" s="122" t="s">
        <v>1125</v>
      </c>
      <c r="K229" s="121" t="s">
        <v>1137</v>
      </c>
      <c r="L229" s="123">
        <v>1.0</v>
      </c>
      <c r="M229" s="27" t="s">
        <v>1137</v>
      </c>
      <c r="N229" s="124" t="s">
        <v>1174</v>
      </c>
      <c r="O229" s="120" t="s">
        <v>4399</v>
      </c>
      <c r="P229" s="120" t="s">
        <v>4399</v>
      </c>
      <c r="Q229" s="120" t="s">
        <v>4399</v>
      </c>
      <c r="R229" s="125" t="s">
        <v>4054</v>
      </c>
      <c r="S229" s="120" t="s">
        <v>4645</v>
      </c>
      <c r="T229" s="120" t="s">
        <v>4645</v>
      </c>
      <c r="U229" s="26" t="s">
        <v>1302</v>
      </c>
      <c r="V229" s="123" t="s">
        <v>46</v>
      </c>
      <c r="W229" s="120" t="s">
        <v>4064</v>
      </c>
      <c r="X229" s="126"/>
      <c r="Y229" s="127">
        <v>12.0</v>
      </c>
      <c r="Z229" s="127">
        <v>12.0</v>
      </c>
      <c r="AA229" s="127">
        <v>66.0</v>
      </c>
      <c r="AB229" s="127">
        <v>80.0</v>
      </c>
      <c r="AC229" s="32">
        <v>2.0</v>
      </c>
      <c r="AD229" s="120"/>
      <c r="AE229" s="120"/>
      <c r="AF229" s="128">
        <v>1.0</v>
      </c>
      <c r="AG229" s="37">
        <v>1.579900470706E12</v>
      </c>
      <c r="AH229" s="37" t="s">
        <v>1649</v>
      </c>
      <c r="AI229" s="38" t="s">
        <v>4673</v>
      </c>
    </row>
    <row r="230" ht="38.25" hidden="1" customHeight="1">
      <c r="A230" s="32">
        <v>227.0</v>
      </c>
      <c r="B230" s="120" t="s">
        <v>1037</v>
      </c>
      <c r="C230" s="120" t="s">
        <v>4674</v>
      </c>
      <c r="D230" s="120" t="s">
        <v>4675</v>
      </c>
      <c r="E230" s="120" t="s">
        <v>4628</v>
      </c>
      <c r="F230" s="120" t="s">
        <v>4628</v>
      </c>
      <c r="G230" s="121" t="s">
        <v>4220</v>
      </c>
      <c r="H230" s="121" t="s">
        <v>4629</v>
      </c>
      <c r="I230" s="122">
        <v>180313.0</v>
      </c>
      <c r="J230" s="122" t="s">
        <v>1125</v>
      </c>
      <c r="K230" s="121" t="s">
        <v>1137</v>
      </c>
      <c r="L230" s="123">
        <v>1.0</v>
      </c>
      <c r="M230" s="27" t="s">
        <v>1137</v>
      </c>
      <c r="N230" s="124" t="s">
        <v>1174</v>
      </c>
      <c r="O230" s="120" t="str">
        <f t="shared" ref="O230:O237" si="62">+T230</f>
        <v>กลุ่มงานเวชศาสตร์ฉุกเฉิน</v>
      </c>
      <c r="P230" s="120" t="s">
        <v>4676</v>
      </c>
      <c r="Q230" s="120" t="str">
        <f t="shared" ref="Q230:Q237" si="63">+T230</f>
        <v>กลุ่มงานเวชศาสตร์ฉุกเฉิน</v>
      </c>
      <c r="R230" s="113" t="str">
        <f t="shared" ref="R230:R237" si="64">+W230</f>
        <v>ภารกิจด้านบริการทุติยภูมิและตติยภูมิ</v>
      </c>
      <c r="S230" s="120" t="str">
        <f t="shared" ref="S230:S237" si="65">+T230</f>
        <v>กลุ่มงานเวชศาสตร์ฉุกเฉิน</v>
      </c>
      <c r="T230" s="120" t="s">
        <v>4399</v>
      </c>
      <c r="U230" s="26" t="s">
        <v>1302</v>
      </c>
      <c r="V230" s="123" t="s">
        <v>46</v>
      </c>
      <c r="W230" s="120" t="s">
        <v>4054</v>
      </c>
      <c r="X230" s="123" t="s">
        <v>3978</v>
      </c>
      <c r="Y230" s="127">
        <v>5.0</v>
      </c>
      <c r="Z230" s="127">
        <v>17.0</v>
      </c>
      <c r="AA230" s="127">
        <v>199.0</v>
      </c>
      <c r="AB230" s="127">
        <v>80.0</v>
      </c>
      <c r="AC230" s="32">
        <v>1.0</v>
      </c>
      <c r="AD230" s="120"/>
      <c r="AE230" s="120"/>
      <c r="AF230" s="128">
        <v>1.0</v>
      </c>
      <c r="AG230" s="33">
        <v>1.509900703565E12</v>
      </c>
      <c r="AH230" s="33" t="s">
        <v>3811</v>
      </c>
      <c r="AI230" s="40">
        <v>230988.0</v>
      </c>
    </row>
    <row r="231" ht="38.25" hidden="1" customHeight="1">
      <c r="A231" s="25">
        <v>228.0</v>
      </c>
      <c r="B231" s="107" t="s">
        <v>806</v>
      </c>
      <c r="C231" s="107" t="s">
        <v>4677</v>
      </c>
      <c r="D231" s="107" t="s">
        <v>4678</v>
      </c>
      <c r="E231" s="107" t="s">
        <v>4628</v>
      </c>
      <c r="F231" s="107" t="s">
        <v>4628</v>
      </c>
      <c r="G231" s="108" t="s">
        <v>4220</v>
      </c>
      <c r="H231" s="108" t="s">
        <v>4629</v>
      </c>
      <c r="I231" s="109">
        <v>99276.0</v>
      </c>
      <c r="J231" s="109" t="s">
        <v>1125</v>
      </c>
      <c r="K231" s="108" t="s">
        <v>1137</v>
      </c>
      <c r="L231" s="110">
        <v>1.0</v>
      </c>
      <c r="M231" s="27" t="s">
        <v>1137</v>
      </c>
      <c r="N231" s="111" t="s">
        <v>1174</v>
      </c>
      <c r="O231" s="107" t="str">
        <f t="shared" si="62"/>
        <v>กลุ่มงานอายุรกรรม</v>
      </c>
      <c r="P231" s="107" t="s">
        <v>4679</v>
      </c>
      <c r="Q231" s="107" t="str">
        <f t="shared" si="63"/>
        <v>กลุ่มงานอายุรกรรม</v>
      </c>
      <c r="R231" s="107" t="str">
        <f t="shared" si="64"/>
        <v>ภารกิจด้านบริการทุติยภูมิและตติยภูมิ</v>
      </c>
      <c r="S231" s="107" t="str">
        <f t="shared" si="65"/>
        <v>กลุ่มงานอายุรกรรม</v>
      </c>
      <c r="T231" s="107" t="s">
        <v>4680</v>
      </c>
      <c r="U231" s="26" t="s">
        <v>1302</v>
      </c>
      <c r="V231" s="110" t="s">
        <v>3935</v>
      </c>
      <c r="W231" s="107" t="s">
        <v>4054</v>
      </c>
      <c r="X231" s="110" t="s">
        <v>3978</v>
      </c>
      <c r="Y231" s="112">
        <v>12.0</v>
      </c>
      <c r="Z231" s="112">
        <v>12.0</v>
      </c>
      <c r="AA231" s="112">
        <v>199.0</v>
      </c>
      <c r="AB231" s="112">
        <v>80.0</v>
      </c>
      <c r="AC231" s="32">
        <v>1.0</v>
      </c>
      <c r="AD231" s="107"/>
      <c r="AE231" s="107"/>
      <c r="AF231" s="105">
        <v>1.0</v>
      </c>
      <c r="AG231" s="37">
        <v>3.550100076076E12</v>
      </c>
      <c r="AH231" s="37" t="s">
        <v>3872</v>
      </c>
      <c r="AI231" s="38" t="s">
        <v>4681</v>
      </c>
    </row>
    <row r="232" ht="38.25" hidden="1" customHeight="1">
      <c r="A232" s="32">
        <v>229.0</v>
      </c>
      <c r="B232" s="107" t="s">
        <v>2692</v>
      </c>
      <c r="C232" s="107" t="s">
        <v>4682</v>
      </c>
      <c r="D232" s="107" t="s">
        <v>4683</v>
      </c>
      <c r="E232" s="107" t="s">
        <v>4628</v>
      </c>
      <c r="F232" s="107" t="s">
        <v>4628</v>
      </c>
      <c r="G232" s="108" t="s">
        <v>4220</v>
      </c>
      <c r="H232" s="108" t="s">
        <v>4629</v>
      </c>
      <c r="I232" s="109">
        <v>168943.0</v>
      </c>
      <c r="J232" s="109" t="s">
        <v>1125</v>
      </c>
      <c r="K232" s="108" t="s">
        <v>1137</v>
      </c>
      <c r="L232" s="110">
        <v>1.0</v>
      </c>
      <c r="M232" s="27" t="s">
        <v>1137</v>
      </c>
      <c r="N232" s="111" t="s">
        <v>1174</v>
      </c>
      <c r="O232" s="107" t="str">
        <f t="shared" si="62"/>
        <v>กลุ่มงานอายุรกรรม</v>
      </c>
      <c r="P232" s="107" t="s">
        <v>4679</v>
      </c>
      <c r="Q232" s="107" t="str">
        <f t="shared" si="63"/>
        <v>กลุ่มงานอายุรกรรม</v>
      </c>
      <c r="R232" s="107" t="str">
        <f t="shared" si="64"/>
        <v>ภารกิจด้านบริการทุติยภูมิและตติยภูมิ</v>
      </c>
      <c r="S232" s="107" t="str">
        <f t="shared" si="65"/>
        <v>กลุ่มงานอายุรกรรม</v>
      </c>
      <c r="T232" s="107" t="s">
        <v>4680</v>
      </c>
      <c r="U232" s="26" t="s">
        <v>1302</v>
      </c>
      <c r="V232" s="110" t="s">
        <v>3935</v>
      </c>
      <c r="W232" s="107" t="s">
        <v>4054</v>
      </c>
      <c r="X232" s="110" t="s">
        <v>3978</v>
      </c>
      <c r="Y232" s="112">
        <v>12.0</v>
      </c>
      <c r="Z232" s="112">
        <v>12.0</v>
      </c>
      <c r="AA232" s="112">
        <v>199.0</v>
      </c>
      <c r="AB232" s="112">
        <v>80.0</v>
      </c>
      <c r="AC232" s="32">
        <v>1.0</v>
      </c>
      <c r="AD232" s="107"/>
      <c r="AE232" s="107"/>
      <c r="AF232" s="105">
        <v>1.0</v>
      </c>
      <c r="AG232" s="33">
        <v>3.709800205258E12</v>
      </c>
      <c r="AH232" s="33" t="s">
        <v>3841</v>
      </c>
      <c r="AI232" s="34" t="s">
        <v>4684</v>
      </c>
    </row>
    <row r="233" ht="38.25" hidden="1" customHeight="1">
      <c r="A233" s="25">
        <v>230.0</v>
      </c>
      <c r="B233" s="107" t="s">
        <v>2692</v>
      </c>
      <c r="C233" s="107" t="s">
        <v>4685</v>
      </c>
      <c r="D233" s="107" t="s">
        <v>4686</v>
      </c>
      <c r="E233" s="107" t="s">
        <v>4628</v>
      </c>
      <c r="F233" s="107" t="s">
        <v>4628</v>
      </c>
      <c r="G233" s="108" t="s">
        <v>4220</v>
      </c>
      <c r="H233" s="108" t="s">
        <v>4629</v>
      </c>
      <c r="I233" s="109">
        <v>165072.0</v>
      </c>
      <c r="J233" s="109" t="s">
        <v>1125</v>
      </c>
      <c r="K233" s="108" t="s">
        <v>1137</v>
      </c>
      <c r="L233" s="110">
        <v>1.0</v>
      </c>
      <c r="M233" s="27" t="s">
        <v>1137</v>
      </c>
      <c r="N233" s="111" t="s">
        <v>1174</v>
      </c>
      <c r="O233" s="107" t="str">
        <f t="shared" si="62"/>
        <v>กลุ่มงานอายุรกรรม</v>
      </c>
      <c r="P233" s="107" t="s">
        <v>4679</v>
      </c>
      <c r="Q233" s="107" t="str">
        <f t="shared" si="63"/>
        <v>กลุ่มงานอายุรกรรม</v>
      </c>
      <c r="R233" s="107" t="str">
        <f t="shared" si="64"/>
        <v>ภารกิจด้านบริการทุติยภูมิและตติยภูมิ</v>
      </c>
      <c r="S233" s="107" t="str">
        <f t="shared" si="65"/>
        <v>กลุ่มงานอายุรกรรม</v>
      </c>
      <c r="T233" s="107" t="s">
        <v>4680</v>
      </c>
      <c r="U233" s="76" t="s">
        <v>1302</v>
      </c>
      <c r="V233" s="110" t="s">
        <v>3935</v>
      </c>
      <c r="W233" s="107" t="s">
        <v>4054</v>
      </c>
      <c r="X233" s="110" t="s">
        <v>3978</v>
      </c>
      <c r="Y233" s="112">
        <v>12.0</v>
      </c>
      <c r="Z233" s="112">
        <v>12.0</v>
      </c>
      <c r="AA233" s="112">
        <v>199.0</v>
      </c>
      <c r="AB233" s="112">
        <v>80.0</v>
      </c>
      <c r="AC233" s="32">
        <v>1.0</v>
      </c>
      <c r="AD233" s="107"/>
      <c r="AE233" s="107"/>
      <c r="AF233" s="105">
        <v>1.0</v>
      </c>
      <c r="AG233" s="37">
        <v>1.570700022701E12</v>
      </c>
      <c r="AH233" s="37" t="s">
        <v>3846</v>
      </c>
      <c r="AI233" s="44">
        <v>229687.0</v>
      </c>
    </row>
    <row r="234" ht="38.25" hidden="1" customHeight="1">
      <c r="A234" s="25">
        <v>231.0</v>
      </c>
      <c r="B234" s="107" t="s">
        <v>2692</v>
      </c>
      <c r="C234" s="107" t="s">
        <v>4687</v>
      </c>
      <c r="D234" s="107" t="s">
        <v>4688</v>
      </c>
      <c r="E234" s="107" t="s">
        <v>4628</v>
      </c>
      <c r="F234" s="107" t="s">
        <v>4628</v>
      </c>
      <c r="G234" s="108" t="s">
        <v>4220</v>
      </c>
      <c r="H234" s="108" t="s">
        <v>4629</v>
      </c>
      <c r="I234" s="109">
        <v>169628.0</v>
      </c>
      <c r="J234" s="109" t="s">
        <v>1125</v>
      </c>
      <c r="K234" s="108" t="s">
        <v>1137</v>
      </c>
      <c r="L234" s="110">
        <v>1.0</v>
      </c>
      <c r="M234" s="27" t="s">
        <v>1137</v>
      </c>
      <c r="N234" s="111" t="s">
        <v>1174</v>
      </c>
      <c r="O234" s="107" t="str">
        <f t="shared" si="62"/>
        <v>กลุ่มงานอายุรกรรม</v>
      </c>
      <c r="P234" s="107" t="s">
        <v>4679</v>
      </c>
      <c r="Q234" s="107" t="str">
        <f t="shared" si="63"/>
        <v>กลุ่มงานอายุรกรรม</v>
      </c>
      <c r="R234" s="107" t="str">
        <f t="shared" si="64"/>
        <v>ภารกิจด้านบริการทุติยภูมิและตติยภูมิ</v>
      </c>
      <c r="S234" s="107" t="str">
        <f t="shared" si="65"/>
        <v>กลุ่มงานอายุรกรรม</v>
      </c>
      <c r="T234" s="107" t="s">
        <v>4680</v>
      </c>
      <c r="U234" s="26" t="s">
        <v>1302</v>
      </c>
      <c r="V234" s="110" t="s">
        <v>3935</v>
      </c>
      <c r="W234" s="107" t="s">
        <v>4054</v>
      </c>
      <c r="X234" s="110" t="s">
        <v>3978</v>
      </c>
      <c r="Y234" s="112">
        <v>12.0</v>
      </c>
      <c r="Z234" s="112">
        <v>12.0</v>
      </c>
      <c r="AA234" s="112">
        <v>199.0</v>
      </c>
      <c r="AB234" s="112">
        <v>80.0</v>
      </c>
      <c r="AC234" s="32">
        <v>1.0</v>
      </c>
      <c r="AD234" s="107"/>
      <c r="AE234" s="107"/>
      <c r="AF234" s="105">
        <v>1.0</v>
      </c>
      <c r="AG234" s="33">
        <v>1.100400237196E12</v>
      </c>
      <c r="AH234" s="33" t="s">
        <v>1686</v>
      </c>
      <c r="AI234" s="34" t="s">
        <v>4689</v>
      </c>
    </row>
    <row r="235" ht="38.25" hidden="1" customHeight="1">
      <c r="A235" s="32">
        <v>232.0</v>
      </c>
      <c r="B235" s="107" t="s">
        <v>806</v>
      </c>
      <c r="C235" s="107" t="s">
        <v>4690</v>
      </c>
      <c r="D235" s="107" t="s">
        <v>4691</v>
      </c>
      <c r="E235" s="107" t="s">
        <v>4628</v>
      </c>
      <c r="F235" s="107" t="s">
        <v>4628</v>
      </c>
      <c r="G235" s="108" t="s">
        <v>4220</v>
      </c>
      <c r="H235" s="108" t="s">
        <v>4629</v>
      </c>
      <c r="I235" s="109">
        <v>117858.0</v>
      </c>
      <c r="J235" s="109" t="s">
        <v>1125</v>
      </c>
      <c r="K235" s="108" t="s">
        <v>1137</v>
      </c>
      <c r="L235" s="110">
        <v>1.0</v>
      </c>
      <c r="M235" s="27" t="s">
        <v>1137</v>
      </c>
      <c r="N235" s="111" t="s">
        <v>1174</v>
      </c>
      <c r="O235" s="107" t="str">
        <f t="shared" si="62"/>
        <v>กลุ่มงานอายุรกรรม</v>
      </c>
      <c r="P235" s="107" t="s">
        <v>4679</v>
      </c>
      <c r="Q235" s="107" t="str">
        <f t="shared" si="63"/>
        <v>กลุ่มงานอายุรกรรม</v>
      </c>
      <c r="R235" s="107" t="str">
        <f t="shared" si="64"/>
        <v>ภารกิจด้านบริการทุติยภูมิและตติยภูมิ</v>
      </c>
      <c r="S235" s="107" t="str">
        <f t="shared" si="65"/>
        <v>กลุ่มงานอายุรกรรม</v>
      </c>
      <c r="T235" s="107" t="s">
        <v>4680</v>
      </c>
      <c r="U235" s="26" t="s">
        <v>1302</v>
      </c>
      <c r="V235" s="110" t="s">
        <v>3935</v>
      </c>
      <c r="W235" s="107" t="s">
        <v>4054</v>
      </c>
      <c r="X235" s="110" t="s">
        <v>3978</v>
      </c>
      <c r="Y235" s="112">
        <v>12.0</v>
      </c>
      <c r="Z235" s="112">
        <v>12.0</v>
      </c>
      <c r="AA235" s="112">
        <v>199.0</v>
      </c>
      <c r="AB235" s="112">
        <v>80.0</v>
      </c>
      <c r="AC235" s="129">
        <v>1.0</v>
      </c>
      <c r="AD235" s="107"/>
      <c r="AE235" s="107"/>
      <c r="AF235" s="105">
        <v>1.0</v>
      </c>
      <c r="AG235" s="37">
        <v>3.509900788966E12</v>
      </c>
      <c r="AH235" s="37" t="s">
        <v>3917</v>
      </c>
      <c r="AI235" s="38" t="s">
        <v>4692</v>
      </c>
    </row>
    <row r="236" ht="38.25" hidden="1" customHeight="1">
      <c r="A236" s="25">
        <v>233.0</v>
      </c>
      <c r="B236" s="107" t="s">
        <v>1037</v>
      </c>
      <c r="C236" s="107" t="s">
        <v>4437</v>
      </c>
      <c r="D236" s="107" t="s">
        <v>4693</v>
      </c>
      <c r="E236" s="107" t="s">
        <v>4628</v>
      </c>
      <c r="F236" s="107" t="s">
        <v>4628</v>
      </c>
      <c r="G236" s="108" t="s">
        <v>4220</v>
      </c>
      <c r="H236" s="108" t="s">
        <v>4629</v>
      </c>
      <c r="I236" s="109">
        <v>181652.0</v>
      </c>
      <c r="J236" s="109" t="s">
        <v>1125</v>
      </c>
      <c r="K236" s="108" t="s">
        <v>1137</v>
      </c>
      <c r="L236" s="110">
        <v>1.0</v>
      </c>
      <c r="M236" s="27" t="s">
        <v>1137</v>
      </c>
      <c r="N236" s="111" t="s">
        <v>1174</v>
      </c>
      <c r="O236" s="107" t="str">
        <f t="shared" si="62"/>
        <v>กลุ่มงานอายุรกรรม</v>
      </c>
      <c r="P236" s="107" t="s">
        <v>4679</v>
      </c>
      <c r="Q236" s="107" t="str">
        <f t="shared" si="63"/>
        <v>กลุ่มงานอายุรกรรม</v>
      </c>
      <c r="R236" s="107" t="str">
        <f t="shared" si="64"/>
        <v>ภารกิจด้านบริการทุติยภูมิและตติยภูมิ</v>
      </c>
      <c r="S236" s="107" t="str">
        <f t="shared" si="65"/>
        <v>กลุ่มงานอายุรกรรม</v>
      </c>
      <c r="T236" s="107" t="s">
        <v>4680</v>
      </c>
      <c r="U236" s="26" t="s">
        <v>1302</v>
      </c>
      <c r="V236" s="110" t="s">
        <v>3935</v>
      </c>
      <c r="W236" s="107" t="s">
        <v>4054</v>
      </c>
      <c r="X236" s="110" t="s">
        <v>3978</v>
      </c>
      <c r="Y236" s="112">
        <v>12.0</v>
      </c>
      <c r="Z236" s="112">
        <v>12.0</v>
      </c>
      <c r="AA236" s="112">
        <v>199.0</v>
      </c>
      <c r="AB236" s="112">
        <v>80.0</v>
      </c>
      <c r="AC236" s="32">
        <v>1.0</v>
      </c>
      <c r="AD236" s="107"/>
      <c r="AE236" s="107"/>
      <c r="AF236" s="105">
        <v>1.0</v>
      </c>
      <c r="AG236" s="33">
        <v>1.500400059774E12</v>
      </c>
      <c r="AH236" s="33" t="s">
        <v>1709</v>
      </c>
      <c r="AI236" s="34" t="s">
        <v>4694</v>
      </c>
    </row>
    <row r="237" ht="38.25" hidden="1" customHeight="1">
      <c r="A237" s="25">
        <v>234.0</v>
      </c>
      <c r="B237" s="107" t="s">
        <v>2692</v>
      </c>
      <c r="C237" s="107" t="s">
        <v>4695</v>
      </c>
      <c r="D237" s="107" t="s">
        <v>4696</v>
      </c>
      <c r="E237" s="107" t="s">
        <v>4628</v>
      </c>
      <c r="F237" s="107" t="s">
        <v>4628</v>
      </c>
      <c r="G237" s="108" t="s">
        <v>4220</v>
      </c>
      <c r="H237" s="108" t="s">
        <v>4629</v>
      </c>
      <c r="I237" s="109">
        <v>216995.0</v>
      </c>
      <c r="J237" s="109" t="s">
        <v>1125</v>
      </c>
      <c r="K237" s="108" t="s">
        <v>1137</v>
      </c>
      <c r="L237" s="110">
        <v>1.0</v>
      </c>
      <c r="M237" s="27" t="s">
        <v>1137</v>
      </c>
      <c r="N237" s="111" t="s">
        <v>1174</v>
      </c>
      <c r="O237" s="107" t="str">
        <f t="shared" si="62"/>
        <v>กลุ่มงานอายุรกรรม</v>
      </c>
      <c r="P237" s="107" t="s">
        <v>4679</v>
      </c>
      <c r="Q237" s="107" t="str">
        <f t="shared" si="63"/>
        <v>กลุ่มงานอายุรกรรม</v>
      </c>
      <c r="R237" s="107" t="str">
        <f t="shared" si="64"/>
        <v>ภารกิจด้านบริการทุติยภูมิและตติยภูมิ</v>
      </c>
      <c r="S237" s="107" t="str">
        <f t="shared" si="65"/>
        <v>กลุ่มงานอายุรกรรม</v>
      </c>
      <c r="T237" s="107" t="s">
        <v>4680</v>
      </c>
      <c r="U237" s="26" t="s">
        <v>1302</v>
      </c>
      <c r="V237" s="110" t="s">
        <v>3935</v>
      </c>
      <c r="W237" s="107" t="s">
        <v>4054</v>
      </c>
      <c r="X237" s="110" t="s">
        <v>3978</v>
      </c>
      <c r="Y237" s="112">
        <v>12.0</v>
      </c>
      <c r="Z237" s="112">
        <v>12.0</v>
      </c>
      <c r="AA237" s="112">
        <v>199.0</v>
      </c>
      <c r="AB237" s="112">
        <v>80.0</v>
      </c>
      <c r="AC237" s="105">
        <v>1.0</v>
      </c>
      <c r="AD237" s="107"/>
      <c r="AE237" s="107"/>
      <c r="AF237" s="105">
        <v>1.0</v>
      </c>
      <c r="AG237" s="37">
        <v>1.509901535861E12</v>
      </c>
      <c r="AH237" s="61"/>
      <c r="AI237" s="38" t="s">
        <v>4697</v>
      </c>
    </row>
    <row r="238" ht="38.25" hidden="1" customHeight="1">
      <c r="A238" s="32">
        <v>235.0</v>
      </c>
      <c r="B238" s="130" t="s">
        <v>2692</v>
      </c>
      <c r="C238" s="130" t="s">
        <v>4698</v>
      </c>
      <c r="D238" s="130" t="s">
        <v>4699</v>
      </c>
      <c r="E238" s="130" t="s">
        <v>4628</v>
      </c>
      <c r="F238" s="130" t="s">
        <v>4628</v>
      </c>
      <c r="G238" s="131" t="s">
        <v>4220</v>
      </c>
      <c r="H238" s="131" t="s">
        <v>4629</v>
      </c>
      <c r="I238" s="132">
        <v>154021.0</v>
      </c>
      <c r="J238" s="132" t="s">
        <v>1125</v>
      </c>
      <c r="K238" s="131" t="s">
        <v>1137</v>
      </c>
      <c r="L238" s="133">
        <v>1.0</v>
      </c>
      <c r="M238" s="27" t="s">
        <v>1137</v>
      </c>
      <c r="N238" s="134" t="s">
        <v>1174</v>
      </c>
      <c r="O238" s="130" t="s">
        <v>4700</v>
      </c>
      <c r="P238" s="130" t="s">
        <v>4700</v>
      </c>
      <c r="Q238" s="130" t="s">
        <v>4700</v>
      </c>
      <c r="R238" s="130" t="s">
        <v>4054</v>
      </c>
      <c r="S238" s="130" t="s">
        <v>4645</v>
      </c>
      <c r="T238" s="130" t="s">
        <v>4645</v>
      </c>
      <c r="U238" s="26" t="s">
        <v>1302</v>
      </c>
      <c r="V238" s="135" t="s">
        <v>21</v>
      </c>
      <c r="W238" s="130" t="s">
        <v>4064</v>
      </c>
      <c r="X238" s="136" t="s">
        <v>3978</v>
      </c>
      <c r="Y238" s="112">
        <v>10.0</v>
      </c>
      <c r="Z238" s="112">
        <v>10.0</v>
      </c>
      <c r="AA238" s="112">
        <v>199.0</v>
      </c>
      <c r="AB238" s="112">
        <v>80.0</v>
      </c>
      <c r="AC238" s="32">
        <v>1.0</v>
      </c>
      <c r="AD238" s="130"/>
      <c r="AE238" s="130"/>
      <c r="AF238" s="137">
        <v>1.0</v>
      </c>
      <c r="AG238" s="33">
        <v>1.209700359731E12</v>
      </c>
      <c r="AH238" s="46"/>
      <c r="AI238" s="40">
        <v>231845.0</v>
      </c>
    </row>
    <row r="239" ht="38.25" hidden="1" customHeight="1">
      <c r="A239" s="25">
        <v>236.0</v>
      </c>
      <c r="B239" s="138" t="s">
        <v>2692</v>
      </c>
      <c r="C239" s="138" t="s">
        <v>4621</v>
      </c>
      <c r="D239" s="138" t="s">
        <v>4701</v>
      </c>
      <c r="E239" s="138" t="s">
        <v>4628</v>
      </c>
      <c r="F239" s="138" t="s">
        <v>4628</v>
      </c>
      <c r="G239" s="139" t="s">
        <v>4220</v>
      </c>
      <c r="H239" s="139" t="s">
        <v>4629</v>
      </c>
      <c r="I239" s="140">
        <v>161707.0</v>
      </c>
      <c r="J239" s="140" t="s">
        <v>1125</v>
      </c>
      <c r="K239" s="139" t="s">
        <v>1137</v>
      </c>
      <c r="L239" s="141">
        <v>1.0</v>
      </c>
      <c r="M239" s="27" t="s">
        <v>1137</v>
      </c>
      <c r="N239" s="142" t="s">
        <v>1174</v>
      </c>
      <c r="O239" s="138" t="s">
        <v>4702</v>
      </c>
      <c r="P239" s="138" t="s">
        <v>4702</v>
      </c>
      <c r="Q239" s="138" t="str">
        <f t="shared" ref="Q239:Q245" si="66">+T239</f>
        <v>กลุ่มงานกุมารเวชกรรม</v>
      </c>
      <c r="R239" s="138" t="str">
        <f t="shared" ref="R239:R245" si="67">+W239</f>
        <v>ภารกิจด้านบริการทุติยภูมิและตติยภูมิ</v>
      </c>
      <c r="S239" s="138" t="str">
        <f t="shared" ref="S239:S245" si="68">+T239</f>
        <v>กลุ่มงานกุมารเวชกรรม</v>
      </c>
      <c r="T239" s="138" t="s">
        <v>4703</v>
      </c>
      <c r="U239" s="26" t="s">
        <v>1302</v>
      </c>
      <c r="V239" s="141" t="s">
        <v>1312</v>
      </c>
      <c r="W239" s="138" t="s">
        <v>4054</v>
      </c>
      <c r="X239" s="141" t="s">
        <v>3978</v>
      </c>
      <c r="Y239" s="143">
        <v>5.0</v>
      </c>
      <c r="Z239" s="143">
        <v>5.0</v>
      </c>
      <c r="AA239" s="143">
        <v>199.0</v>
      </c>
      <c r="AB239" s="143">
        <v>80.0</v>
      </c>
      <c r="AC239" s="32">
        <v>1.0</v>
      </c>
      <c r="AD239" s="138"/>
      <c r="AE239" s="138"/>
      <c r="AF239" s="144">
        <v>1.0</v>
      </c>
      <c r="AG239" s="33">
        <v>1.579900549353E12</v>
      </c>
      <c r="AH239" s="46"/>
      <c r="AI239" s="40">
        <v>232972.0</v>
      </c>
    </row>
    <row r="240" ht="38.25" hidden="1" customHeight="1">
      <c r="A240" s="25">
        <v>237.0</v>
      </c>
      <c r="B240" s="107" t="s">
        <v>2692</v>
      </c>
      <c r="C240" s="107" t="s">
        <v>4704</v>
      </c>
      <c r="D240" s="107" t="s">
        <v>4705</v>
      </c>
      <c r="E240" s="107" t="s">
        <v>4628</v>
      </c>
      <c r="F240" s="107" t="s">
        <v>4628</v>
      </c>
      <c r="G240" s="108" t="s">
        <v>4220</v>
      </c>
      <c r="H240" s="108" t="s">
        <v>4629</v>
      </c>
      <c r="I240" s="109">
        <v>53122.0</v>
      </c>
      <c r="J240" s="109" t="s">
        <v>1125</v>
      </c>
      <c r="K240" s="108" t="s">
        <v>1137</v>
      </c>
      <c r="L240" s="110">
        <v>1.0</v>
      </c>
      <c r="M240" s="27" t="s">
        <v>1137</v>
      </c>
      <c r="N240" s="111" t="s">
        <v>1174</v>
      </c>
      <c r="O240" s="107" t="str">
        <f t="shared" ref="O240:O245" si="69">+T240</f>
        <v>กลุ่มงานศัลยกรรม</v>
      </c>
      <c r="P240" s="107" t="s">
        <v>4706</v>
      </c>
      <c r="Q240" s="107" t="str">
        <f t="shared" si="66"/>
        <v>กลุ่มงานศัลยกรรม</v>
      </c>
      <c r="R240" s="107" t="str">
        <f t="shared" si="67"/>
        <v>ภารกิจด้านบริการทุติยภูมิและตติยภูมิ</v>
      </c>
      <c r="S240" s="107" t="str">
        <f t="shared" si="68"/>
        <v>กลุ่มงานศัลยกรรม</v>
      </c>
      <c r="T240" s="107" t="s">
        <v>4700</v>
      </c>
      <c r="U240" s="26" t="s">
        <v>1302</v>
      </c>
      <c r="V240" s="110" t="s">
        <v>21</v>
      </c>
      <c r="W240" s="107" t="s">
        <v>4054</v>
      </c>
      <c r="X240" s="110" t="s">
        <v>3978</v>
      </c>
      <c r="Y240" s="112">
        <v>10.0</v>
      </c>
      <c r="Z240" s="112">
        <v>10.0</v>
      </c>
      <c r="AA240" s="112">
        <v>199.0</v>
      </c>
      <c r="AB240" s="112">
        <v>80.0</v>
      </c>
      <c r="AC240" s="32">
        <v>1.0</v>
      </c>
      <c r="AD240" s="107"/>
      <c r="AE240" s="107"/>
      <c r="AF240" s="105">
        <v>1.0</v>
      </c>
      <c r="AG240" s="37">
        <v>1.509901370675E12</v>
      </c>
      <c r="AH240" s="37" t="s">
        <v>1303</v>
      </c>
      <c r="AI240" s="44">
        <v>232337.0</v>
      </c>
    </row>
    <row r="241" ht="38.25" hidden="1" customHeight="1">
      <c r="A241" s="25">
        <v>238.0</v>
      </c>
      <c r="B241" s="107" t="s">
        <v>1037</v>
      </c>
      <c r="C241" s="107" t="s">
        <v>1229</v>
      </c>
      <c r="D241" s="107" t="s">
        <v>4707</v>
      </c>
      <c r="E241" s="107" t="s">
        <v>4628</v>
      </c>
      <c r="F241" s="107" t="s">
        <v>4628</v>
      </c>
      <c r="G241" s="108" t="s">
        <v>4220</v>
      </c>
      <c r="H241" s="108" t="s">
        <v>4629</v>
      </c>
      <c r="I241" s="109">
        <v>215640.0</v>
      </c>
      <c r="J241" s="109" t="s">
        <v>1125</v>
      </c>
      <c r="K241" s="108" t="s">
        <v>1137</v>
      </c>
      <c r="L241" s="110">
        <v>1.0</v>
      </c>
      <c r="M241" s="27" t="s">
        <v>1137</v>
      </c>
      <c r="N241" s="111" t="s">
        <v>1174</v>
      </c>
      <c r="O241" s="107" t="str">
        <f t="shared" si="69"/>
        <v>กลุ่มงานศัลยกรรม</v>
      </c>
      <c r="P241" s="107" t="s">
        <v>4706</v>
      </c>
      <c r="Q241" s="107" t="str">
        <f t="shared" si="66"/>
        <v>กลุ่มงานศัลยกรรม</v>
      </c>
      <c r="R241" s="107" t="str">
        <f t="shared" si="67"/>
        <v>ภารกิจด้านบริการทุติยภูมิและตติยภูมิ</v>
      </c>
      <c r="S241" s="107" t="str">
        <f t="shared" si="68"/>
        <v>กลุ่มงานศัลยกรรม</v>
      </c>
      <c r="T241" s="107" t="s">
        <v>4700</v>
      </c>
      <c r="U241" s="26" t="s">
        <v>1302</v>
      </c>
      <c r="V241" s="110" t="s">
        <v>21</v>
      </c>
      <c r="W241" s="107" t="s">
        <v>4054</v>
      </c>
      <c r="X241" s="110" t="s">
        <v>3978</v>
      </c>
      <c r="Y241" s="112">
        <v>10.0</v>
      </c>
      <c r="Z241" s="112">
        <v>10.0</v>
      </c>
      <c r="AA241" s="112">
        <v>199.0</v>
      </c>
      <c r="AB241" s="112">
        <v>80.0</v>
      </c>
      <c r="AC241" s="32">
        <v>2.0</v>
      </c>
      <c r="AD241" s="118">
        <v>1.0</v>
      </c>
      <c r="AE241" s="107"/>
      <c r="AF241" s="105">
        <v>1.0</v>
      </c>
      <c r="AG241" s="37">
        <v>1.659900644851E12</v>
      </c>
      <c r="AH241" s="37" t="s">
        <v>1231</v>
      </c>
      <c r="AI241" s="44">
        <v>232880.0</v>
      </c>
    </row>
    <row r="242" ht="38.25" hidden="1" customHeight="1">
      <c r="A242" s="32">
        <v>239.0</v>
      </c>
      <c r="B242" s="107" t="s">
        <v>1037</v>
      </c>
      <c r="C242" s="107" t="s">
        <v>4708</v>
      </c>
      <c r="D242" s="107" t="s">
        <v>4709</v>
      </c>
      <c r="E242" s="107" t="s">
        <v>4628</v>
      </c>
      <c r="F242" s="107" t="s">
        <v>4628</v>
      </c>
      <c r="G242" s="108" t="s">
        <v>4220</v>
      </c>
      <c r="H242" s="108" t="s">
        <v>4629</v>
      </c>
      <c r="I242" s="109">
        <v>4542.0</v>
      </c>
      <c r="J242" s="109" t="s">
        <v>1125</v>
      </c>
      <c r="K242" s="108" t="s">
        <v>1137</v>
      </c>
      <c r="L242" s="110">
        <v>1.0</v>
      </c>
      <c r="M242" s="27" t="s">
        <v>1137</v>
      </c>
      <c r="N242" s="111" t="s">
        <v>1174</v>
      </c>
      <c r="O242" s="107" t="str">
        <f t="shared" si="69"/>
        <v>กลุ่มงานศัลยกรรม</v>
      </c>
      <c r="P242" s="107" t="s">
        <v>4706</v>
      </c>
      <c r="Q242" s="107" t="str">
        <f t="shared" si="66"/>
        <v>กลุ่มงานศัลยกรรม</v>
      </c>
      <c r="R242" s="107" t="str">
        <f t="shared" si="67"/>
        <v>ภารกิจด้านบริการทุติยภูมิและตติยภูมิ</v>
      </c>
      <c r="S242" s="107" t="str">
        <f t="shared" si="68"/>
        <v>กลุ่มงานศัลยกรรม</v>
      </c>
      <c r="T242" s="107" t="s">
        <v>4700</v>
      </c>
      <c r="U242" s="26" t="s">
        <v>1302</v>
      </c>
      <c r="V242" s="110" t="s">
        <v>21</v>
      </c>
      <c r="W242" s="107" t="s">
        <v>4054</v>
      </c>
      <c r="X242" s="110" t="s">
        <v>3978</v>
      </c>
      <c r="Y242" s="112">
        <v>10.0</v>
      </c>
      <c r="Z242" s="112">
        <v>10.0</v>
      </c>
      <c r="AA242" s="112">
        <v>199.0</v>
      </c>
      <c r="AB242" s="112">
        <v>80.0</v>
      </c>
      <c r="AC242" s="32">
        <v>1.0</v>
      </c>
      <c r="AD242" s="107"/>
      <c r="AE242" s="107"/>
      <c r="AF242" s="105">
        <v>1.0</v>
      </c>
      <c r="AG242" s="33">
        <v>1.509900788862E12</v>
      </c>
      <c r="AH242" s="33" t="s">
        <v>2238</v>
      </c>
      <c r="AI242" s="40">
        <v>231232.0</v>
      </c>
    </row>
    <row r="243" ht="38.25" hidden="1" customHeight="1">
      <c r="A243" s="25">
        <v>240.0</v>
      </c>
      <c r="B243" s="107" t="s">
        <v>2692</v>
      </c>
      <c r="C243" s="107" t="s">
        <v>4710</v>
      </c>
      <c r="D243" s="107" t="s">
        <v>4711</v>
      </c>
      <c r="E243" s="107" t="s">
        <v>4628</v>
      </c>
      <c r="F243" s="107" t="s">
        <v>4628</v>
      </c>
      <c r="G243" s="108" t="s">
        <v>4249</v>
      </c>
      <c r="H243" s="108" t="s">
        <v>1110</v>
      </c>
      <c r="I243" s="109">
        <v>62711.0</v>
      </c>
      <c r="J243" s="109" t="s">
        <v>1125</v>
      </c>
      <c r="K243" s="108" t="s">
        <v>1137</v>
      </c>
      <c r="L243" s="110">
        <v>1.0</v>
      </c>
      <c r="M243" s="27" t="s">
        <v>1137</v>
      </c>
      <c r="N243" s="111" t="s">
        <v>1174</v>
      </c>
      <c r="O243" s="107" t="str">
        <f t="shared" si="69"/>
        <v>กลุ่มงานศัลยกรรม</v>
      </c>
      <c r="P243" s="107" t="s">
        <v>4706</v>
      </c>
      <c r="Q243" s="107" t="str">
        <f t="shared" si="66"/>
        <v>กลุ่มงานศัลยกรรม</v>
      </c>
      <c r="R243" s="107" t="str">
        <f t="shared" si="67"/>
        <v>ภารกิจด้านบริการทุติยภูมิและตติยภูมิ</v>
      </c>
      <c r="S243" s="107" t="str">
        <f t="shared" si="68"/>
        <v>กลุ่มงานศัลยกรรม</v>
      </c>
      <c r="T243" s="107" t="s">
        <v>4700</v>
      </c>
      <c r="U243" s="26" t="s">
        <v>1302</v>
      </c>
      <c r="V243" s="110" t="s">
        <v>21</v>
      </c>
      <c r="W243" s="107" t="s">
        <v>4054</v>
      </c>
      <c r="X243" s="110" t="s">
        <v>3978</v>
      </c>
      <c r="Y243" s="112">
        <v>10.0</v>
      </c>
      <c r="Z243" s="112">
        <v>10.0</v>
      </c>
      <c r="AA243" s="112">
        <v>199.0</v>
      </c>
      <c r="AB243" s="112">
        <v>80.0</v>
      </c>
      <c r="AC243" s="32">
        <v>1.0</v>
      </c>
      <c r="AD243" s="107"/>
      <c r="AE243" s="107"/>
      <c r="AF243" s="105">
        <v>1.0</v>
      </c>
      <c r="AG243" s="37">
        <v>1.509901428983E12</v>
      </c>
      <c r="AH243" s="37" t="s">
        <v>712</v>
      </c>
      <c r="AI243" s="38" t="s">
        <v>4712</v>
      </c>
    </row>
    <row r="244" ht="38.25" hidden="1" customHeight="1">
      <c r="A244" s="25">
        <v>241.0</v>
      </c>
      <c r="B244" s="107" t="s">
        <v>2692</v>
      </c>
      <c r="C244" s="107" t="s">
        <v>4713</v>
      </c>
      <c r="D244" s="107" t="s">
        <v>4714</v>
      </c>
      <c r="E244" s="107" t="s">
        <v>4628</v>
      </c>
      <c r="F244" s="107" t="s">
        <v>4628</v>
      </c>
      <c r="G244" s="108" t="s">
        <v>4220</v>
      </c>
      <c r="H244" s="108" t="s">
        <v>4629</v>
      </c>
      <c r="I244" s="109">
        <v>180379.0</v>
      </c>
      <c r="J244" s="109" t="s">
        <v>1125</v>
      </c>
      <c r="K244" s="108" t="s">
        <v>1137</v>
      </c>
      <c r="L244" s="110">
        <v>1.0</v>
      </c>
      <c r="M244" s="27" t="s">
        <v>1137</v>
      </c>
      <c r="N244" s="111" t="s">
        <v>1174</v>
      </c>
      <c r="O244" s="107" t="str">
        <f t="shared" si="69"/>
        <v>กลุ่มงานศัลยกรรม</v>
      </c>
      <c r="P244" s="107" t="s">
        <v>4706</v>
      </c>
      <c r="Q244" s="107" t="str">
        <f t="shared" si="66"/>
        <v>กลุ่มงานศัลยกรรม</v>
      </c>
      <c r="R244" s="107" t="str">
        <f t="shared" si="67"/>
        <v>ภารกิจด้านบริการทุติยภูมิและตติยภูมิ</v>
      </c>
      <c r="S244" s="107" t="str">
        <f t="shared" si="68"/>
        <v>กลุ่มงานศัลยกรรม</v>
      </c>
      <c r="T244" s="107" t="s">
        <v>4700</v>
      </c>
      <c r="U244" s="26" t="s">
        <v>1302</v>
      </c>
      <c r="V244" s="110" t="s">
        <v>21</v>
      </c>
      <c r="W244" s="107" t="s">
        <v>4054</v>
      </c>
      <c r="X244" s="110" t="s">
        <v>3978</v>
      </c>
      <c r="Y244" s="112">
        <v>10.0</v>
      </c>
      <c r="Z244" s="112">
        <v>10.0</v>
      </c>
      <c r="AA244" s="112">
        <v>199.0</v>
      </c>
      <c r="AB244" s="112">
        <v>80.0</v>
      </c>
      <c r="AC244" s="32">
        <v>1.0</v>
      </c>
      <c r="AD244" s="107"/>
      <c r="AE244" s="107"/>
      <c r="AF244" s="105">
        <v>1.0</v>
      </c>
      <c r="AG244" s="33">
        <v>3.501400481686E12</v>
      </c>
      <c r="AH244" s="33" t="s">
        <v>1895</v>
      </c>
      <c r="AI244" s="40">
        <v>228160.0</v>
      </c>
    </row>
    <row r="245" ht="38.25" hidden="1" customHeight="1">
      <c r="A245" s="32">
        <v>242.0</v>
      </c>
      <c r="B245" s="107" t="s">
        <v>2692</v>
      </c>
      <c r="C245" s="107" t="s">
        <v>4715</v>
      </c>
      <c r="D245" s="107" t="s">
        <v>4716</v>
      </c>
      <c r="E245" s="107" t="s">
        <v>4628</v>
      </c>
      <c r="F245" s="107" t="s">
        <v>4628</v>
      </c>
      <c r="G245" s="108" t="s">
        <v>4226</v>
      </c>
      <c r="H245" s="108" t="s">
        <v>4629</v>
      </c>
      <c r="I245" s="109">
        <v>93326.0</v>
      </c>
      <c r="J245" s="109" t="s">
        <v>1125</v>
      </c>
      <c r="K245" s="108" t="s">
        <v>1137</v>
      </c>
      <c r="L245" s="110">
        <v>1.0</v>
      </c>
      <c r="M245" s="27" t="s">
        <v>1137</v>
      </c>
      <c r="N245" s="111" t="s">
        <v>1174</v>
      </c>
      <c r="O245" s="107" t="str">
        <f t="shared" si="69"/>
        <v>กลุ่มงานศัลยกรรม</v>
      </c>
      <c r="P245" s="107" t="s">
        <v>4706</v>
      </c>
      <c r="Q245" s="107" t="str">
        <f t="shared" si="66"/>
        <v>กลุ่มงานศัลยกรรม</v>
      </c>
      <c r="R245" s="107" t="str">
        <f t="shared" si="67"/>
        <v>ภารกิจด้านบริการทุติยภูมิและตติยภูมิ</v>
      </c>
      <c r="S245" s="107" t="str">
        <f t="shared" si="68"/>
        <v>กลุ่มงานศัลยกรรม</v>
      </c>
      <c r="T245" s="107" t="s">
        <v>4700</v>
      </c>
      <c r="U245" s="26" t="s">
        <v>1302</v>
      </c>
      <c r="V245" s="110" t="s">
        <v>21</v>
      </c>
      <c r="W245" s="107" t="s">
        <v>4054</v>
      </c>
      <c r="X245" s="110" t="s">
        <v>3978</v>
      </c>
      <c r="Y245" s="112">
        <v>10.0</v>
      </c>
      <c r="Z245" s="112">
        <v>10.0</v>
      </c>
      <c r="AA245" s="112">
        <v>199.0</v>
      </c>
      <c r="AB245" s="112">
        <v>80.0</v>
      </c>
      <c r="AC245" s="32">
        <v>1.0</v>
      </c>
      <c r="AD245" s="107"/>
      <c r="AE245" s="107"/>
      <c r="AF245" s="105">
        <v>1.0</v>
      </c>
      <c r="AG245" s="33">
        <v>1.100700284688E12</v>
      </c>
      <c r="AH245" s="33" t="s">
        <v>1690</v>
      </c>
      <c r="AI245" s="34" t="s">
        <v>4717</v>
      </c>
    </row>
    <row r="246" ht="38.25" hidden="1" customHeight="1">
      <c r="A246" s="25">
        <v>243.0</v>
      </c>
      <c r="B246" s="113" t="s">
        <v>2692</v>
      </c>
      <c r="C246" s="113" t="s">
        <v>4718</v>
      </c>
      <c r="D246" s="113" t="s">
        <v>4719</v>
      </c>
      <c r="E246" s="113" t="s">
        <v>4628</v>
      </c>
      <c r="F246" s="113" t="s">
        <v>4628</v>
      </c>
      <c r="G246" s="114" t="s">
        <v>4220</v>
      </c>
      <c r="H246" s="114" t="s">
        <v>4629</v>
      </c>
      <c r="I246" s="115">
        <v>215732.0</v>
      </c>
      <c r="J246" s="115" t="s">
        <v>1125</v>
      </c>
      <c r="K246" s="114" t="s">
        <v>1137</v>
      </c>
      <c r="L246" s="116">
        <v>1.0</v>
      </c>
      <c r="M246" s="27" t="s">
        <v>1137</v>
      </c>
      <c r="N246" s="116" t="s">
        <v>3981</v>
      </c>
      <c r="O246" s="113" t="s">
        <v>4720</v>
      </c>
      <c r="P246" s="113" t="s">
        <v>4721</v>
      </c>
      <c r="Q246" s="113" t="s">
        <v>4720</v>
      </c>
      <c r="R246" s="113" t="s">
        <v>4054</v>
      </c>
      <c r="S246" s="113" t="s">
        <v>4645</v>
      </c>
      <c r="T246" s="113" t="s">
        <v>4645</v>
      </c>
      <c r="U246" s="86" t="s">
        <v>4665</v>
      </c>
      <c r="V246" s="145" t="s">
        <v>3978</v>
      </c>
      <c r="W246" s="113" t="s">
        <v>4064</v>
      </c>
      <c r="X246" s="116" t="s">
        <v>3978</v>
      </c>
      <c r="Y246" s="117">
        <v>5.0</v>
      </c>
      <c r="Z246" s="117">
        <v>5.0</v>
      </c>
      <c r="AA246" s="117">
        <v>199.0</v>
      </c>
      <c r="AB246" s="117">
        <v>80.0</v>
      </c>
      <c r="AC246" s="88">
        <v>3.0</v>
      </c>
      <c r="AD246" s="113"/>
      <c r="AE246" s="113"/>
      <c r="AF246" s="88">
        <v>1.0</v>
      </c>
      <c r="AG246" s="33">
        <v>1.559900293031E12</v>
      </c>
      <c r="AH246" s="33" t="s">
        <v>718</v>
      </c>
      <c r="AI246" s="47"/>
    </row>
    <row r="247" ht="38.25" hidden="1" customHeight="1">
      <c r="A247" s="25">
        <v>244.0</v>
      </c>
      <c r="B247" s="107" t="s">
        <v>2692</v>
      </c>
      <c r="C247" s="107" t="s">
        <v>4531</v>
      </c>
      <c r="D247" s="107" t="s">
        <v>4722</v>
      </c>
      <c r="E247" s="107" t="s">
        <v>4628</v>
      </c>
      <c r="F247" s="107" t="s">
        <v>4628</v>
      </c>
      <c r="G247" s="108" t="s">
        <v>4226</v>
      </c>
      <c r="H247" s="108" t="s">
        <v>4629</v>
      </c>
      <c r="I247" s="109">
        <v>158864.0</v>
      </c>
      <c r="J247" s="109" t="s">
        <v>1125</v>
      </c>
      <c r="K247" s="108" t="s">
        <v>1137</v>
      </c>
      <c r="L247" s="110">
        <v>1.0</v>
      </c>
      <c r="M247" s="27" t="s">
        <v>1137</v>
      </c>
      <c r="N247" s="111" t="s">
        <v>1174</v>
      </c>
      <c r="O247" s="107" t="str">
        <f t="shared" ref="O247:O251" si="70">+T247</f>
        <v>กลุ่มงานศัลยกรรมออร์โธปิดิกส์</v>
      </c>
      <c r="P247" s="107" t="s">
        <v>4721</v>
      </c>
      <c r="Q247" s="107" t="str">
        <f t="shared" ref="Q247:Q261" si="71">+T247</f>
        <v>กลุ่มงานศัลยกรรมออร์โธปิดิกส์</v>
      </c>
      <c r="R247" s="107" t="str">
        <f t="shared" ref="R247:R261" si="72">+W247</f>
        <v>ภารกิจด้านบริการทุติยภูมิและตติยภูมิ</v>
      </c>
      <c r="S247" s="107" t="str">
        <f t="shared" ref="S247:S262" si="73">+T247</f>
        <v>กลุ่มงานศัลยกรรมออร์โธปิดิกส์</v>
      </c>
      <c r="T247" s="107" t="s">
        <v>4720</v>
      </c>
      <c r="U247" s="26" t="s">
        <v>1302</v>
      </c>
      <c r="V247" s="110" t="s">
        <v>3978</v>
      </c>
      <c r="W247" s="107" t="s">
        <v>4054</v>
      </c>
      <c r="X247" s="110" t="s">
        <v>3978</v>
      </c>
      <c r="Y247" s="112">
        <v>5.0</v>
      </c>
      <c r="Z247" s="112">
        <v>5.0</v>
      </c>
      <c r="AA247" s="112">
        <v>199.0</v>
      </c>
      <c r="AB247" s="112">
        <v>80.0</v>
      </c>
      <c r="AC247" s="129">
        <v>1.0</v>
      </c>
      <c r="AD247" s="107"/>
      <c r="AE247" s="107"/>
      <c r="AF247" s="105">
        <v>1.0</v>
      </c>
      <c r="AG247" s="33">
        <v>3.670100191966E12</v>
      </c>
      <c r="AH247" s="33" t="s">
        <v>1899</v>
      </c>
      <c r="AI247" s="40">
        <v>226734.0</v>
      </c>
    </row>
    <row r="248" ht="38.25" hidden="1" customHeight="1">
      <c r="A248" s="32">
        <v>245.0</v>
      </c>
      <c r="B248" s="107" t="s">
        <v>2692</v>
      </c>
      <c r="C248" s="107" t="s">
        <v>4723</v>
      </c>
      <c r="D248" s="107" t="s">
        <v>4724</v>
      </c>
      <c r="E248" s="107" t="s">
        <v>4628</v>
      </c>
      <c r="F248" s="107" t="s">
        <v>4628</v>
      </c>
      <c r="G248" s="108" t="s">
        <v>4226</v>
      </c>
      <c r="H248" s="108" t="s">
        <v>4629</v>
      </c>
      <c r="I248" s="109">
        <v>158861.0</v>
      </c>
      <c r="J248" s="109" t="s">
        <v>1125</v>
      </c>
      <c r="K248" s="108" t="s">
        <v>1137</v>
      </c>
      <c r="L248" s="110">
        <v>1.0</v>
      </c>
      <c r="M248" s="27" t="s">
        <v>1137</v>
      </c>
      <c r="N248" s="111" t="s">
        <v>1174</v>
      </c>
      <c r="O248" s="107" t="str">
        <f t="shared" si="70"/>
        <v>กลุ่มงานศัลยกรรมออร์โธปิดิกส์</v>
      </c>
      <c r="P248" s="107" t="s">
        <v>4721</v>
      </c>
      <c r="Q248" s="107" t="str">
        <f t="shared" si="71"/>
        <v>กลุ่มงานศัลยกรรมออร์โธปิดิกส์</v>
      </c>
      <c r="R248" s="107" t="str">
        <f t="shared" si="72"/>
        <v>ภารกิจด้านบริการทุติยภูมิและตติยภูมิ</v>
      </c>
      <c r="S248" s="107" t="str">
        <f t="shared" si="73"/>
        <v>กลุ่มงานศัลยกรรมออร์โธปิดิกส์</v>
      </c>
      <c r="T248" s="107" t="s">
        <v>4720</v>
      </c>
      <c r="U248" s="26" t="s">
        <v>1302</v>
      </c>
      <c r="V248" s="110" t="s">
        <v>3978</v>
      </c>
      <c r="W248" s="107" t="s">
        <v>4054</v>
      </c>
      <c r="X248" s="110" t="s">
        <v>3978</v>
      </c>
      <c r="Y248" s="112">
        <v>5.0</v>
      </c>
      <c r="Z248" s="112">
        <v>5.0</v>
      </c>
      <c r="AA248" s="112">
        <v>199.0</v>
      </c>
      <c r="AB248" s="112">
        <v>80.0</v>
      </c>
      <c r="AC248" s="32">
        <v>1.0</v>
      </c>
      <c r="AD248" s="107"/>
      <c r="AE248" s="107"/>
      <c r="AF248" s="105">
        <v>1.0</v>
      </c>
      <c r="AG248" s="37">
        <v>3.620101302915E12</v>
      </c>
      <c r="AH248" s="61"/>
      <c r="AI248" s="38" t="s">
        <v>4725</v>
      </c>
    </row>
    <row r="249" ht="38.25" hidden="1" customHeight="1">
      <c r="A249" s="25">
        <v>246.0</v>
      </c>
      <c r="B249" s="107" t="s">
        <v>2692</v>
      </c>
      <c r="C249" s="107" t="s">
        <v>4726</v>
      </c>
      <c r="D249" s="107" t="s">
        <v>4727</v>
      </c>
      <c r="E249" s="107" t="s">
        <v>4628</v>
      </c>
      <c r="F249" s="107" t="s">
        <v>4628</v>
      </c>
      <c r="G249" s="108" t="s">
        <v>4220</v>
      </c>
      <c r="H249" s="108" t="s">
        <v>4629</v>
      </c>
      <c r="I249" s="109">
        <v>172479.0</v>
      </c>
      <c r="J249" s="109" t="s">
        <v>1125</v>
      </c>
      <c r="K249" s="108" t="s">
        <v>1137</v>
      </c>
      <c r="L249" s="110">
        <v>1.0</v>
      </c>
      <c r="M249" s="27" t="s">
        <v>1137</v>
      </c>
      <c r="N249" s="111" t="s">
        <v>1174</v>
      </c>
      <c r="O249" s="107" t="str">
        <f t="shared" si="70"/>
        <v>กลุ่มงานศัลยกรรมออร์โธปิดิกส์</v>
      </c>
      <c r="P249" s="107" t="s">
        <v>4721</v>
      </c>
      <c r="Q249" s="107" t="str">
        <f t="shared" si="71"/>
        <v>กลุ่มงานศัลยกรรมออร์โธปิดิกส์</v>
      </c>
      <c r="R249" s="107" t="str">
        <f t="shared" si="72"/>
        <v>ภารกิจด้านบริการทุติยภูมิและตติยภูมิ</v>
      </c>
      <c r="S249" s="107" t="str">
        <f t="shared" si="73"/>
        <v>กลุ่มงานศัลยกรรมออร์โธปิดิกส์</v>
      </c>
      <c r="T249" s="107" t="s">
        <v>4720</v>
      </c>
      <c r="U249" s="26" t="s">
        <v>1302</v>
      </c>
      <c r="V249" s="110" t="s">
        <v>3978</v>
      </c>
      <c r="W249" s="107" t="s">
        <v>4054</v>
      </c>
      <c r="X249" s="110" t="s">
        <v>3978</v>
      </c>
      <c r="Y249" s="112">
        <v>5.0</v>
      </c>
      <c r="Z249" s="112">
        <v>5.0</v>
      </c>
      <c r="AA249" s="112">
        <v>199.0</v>
      </c>
      <c r="AB249" s="112">
        <v>80.0</v>
      </c>
      <c r="AC249" s="32">
        <v>1.0</v>
      </c>
      <c r="AD249" s="107"/>
      <c r="AE249" s="107"/>
      <c r="AF249" s="105">
        <v>1.0</v>
      </c>
      <c r="AG249" s="33">
        <v>1.579900180881E12</v>
      </c>
      <c r="AH249" s="33" t="s">
        <v>3815</v>
      </c>
      <c r="AI249" s="34" t="s">
        <v>4728</v>
      </c>
    </row>
    <row r="250" ht="38.25" hidden="1" customHeight="1">
      <c r="A250" s="25">
        <v>247.0</v>
      </c>
      <c r="B250" s="107" t="s">
        <v>2692</v>
      </c>
      <c r="C250" s="107" t="s">
        <v>4729</v>
      </c>
      <c r="D250" s="107" t="s">
        <v>4730</v>
      </c>
      <c r="E250" s="107" t="s">
        <v>4628</v>
      </c>
      <c r="F250" s="107" t="s">
        <v>4628</v>
      </c>
      <c r="G250" s="108" t="s">
        <v>4220</v>
      </c>
      <c r="H250" s="108" t="s">
        <v>4629</v>
      </c>
      <c r="I250" s="109">
        <v>180599.0</v>
      </c>
      <c r="J250" s="109" t="s">
        <v>1125</v>
      </c>
      <c r="K250" s="108" t="s">
        <v>1137</v>
      </c>
      <c r="L250" s="110">
        <v>1.0</v>
      </c>
      <c r="M250" s="27" t="s">
        <v>1137</v>
      </c>
      <c r="N250" s="111" t="s">
        <v>1174</v>
      </c>
      <c r="O250" s="107" t="str">
        <f t="shared" si="70"/>
        <v>กลุ่มงานศัลยกรรมออร์โธปิดิกส์</v>
      </c>
      <c r="P250" s="107" t="s">
        <v>4721</v>
      </c>
      <c r="Q250" s="107" t="str">
        <f t="shared" si="71"/>
        <v>กลุ่มงานศัลยกรรมออร์โธปิดิกส์</v>
      </c>
      <c r="R250" s="107" t="str">
        <f t="shared" si="72"/>
        <v>ภารกิจด้านบริการทุติยภูมิและตติยภูมิ</v>
      </c>
      <c r="S250" s="107" t="str">
        <f t="shared" si="73"/>
        <v>กลุ่มงานศัลยกรรมออร์โธปิดิกส์</v>
      </c>
      <c r="T250" s="107" t="s">
        <v>4720</v>
      </c>
      <c r="U250" s="26" t="s">
        <v>1302</v>
      </c>
      <c r="V250" s="110" t="s">
        <v>3978</v>
      </c>
      <c r="W250" s="107" t="s">
        <v>4054</v>
      </c>
      <c r="X250" s="110" t="s">
        <v>3978</v>
      </c>
      <c r="Y250" s="112">
        <v>5.0</v>
      </c>
      <c r="Z250" s="112">
        <v>5.0</v>
      </c>
      <c r="AA250" s="112">
        <v>199.0</v>
      </c>
      <c r="AB250" s="112">
        <v>80.0</v>
      </c>
      <c r="AC250" s="32">
        <v>1.0</v>
      </c>
      <c r="AD250" s="107"/>
      <c r="AE250" s="107"/>
      <c r="AF250" s="105">
        <v>1.0</v>
      </c>
      <c r="AG250" s="37">
        <v>1.579900219272E12</v>
      </c>
      <c r="AH250" s="37" t="s">
        <v>1615</v>
      </c>
      <c r="AI250" s="44">
        <v>230660.0</v>
      </c>
    </row>
    <row r="251" ht="38.25" hidden="1" customHeight="1">
      <c r="A251" s="25">
        <v>248.0</v>
      </c>
      <c r="B251" s="107" t="s">
        <v>2692</v>
      </c>
      <c r="C251" s="118" t="s">
        <v>4731</v>
      </c>
      <c r="D251" s="118" t="s">
        <v>4732</v>
      </c>
      <c r="E251" s="107" t="s">
        <v>4628</v>
      </c>
      <c r="F251" s="107" t="s">
        <v>4628</v>
      </c>
      <c r="G251" s="108" t="s">
        <v>4220</v>
      </c>
      <c r="H251" s="108" t="s">
        <v>4629</v>
      </c>
      <c r="I251" s="119">
        <v>253548.0</v>
      </c>
      <c r="J251" s="109" t="s">
        <v>1125</v>
      </c>
      <c r="K251" s="108" t="s">
        <v>1137</v>
      </c>
      <c r="L251" s="110">
        <v>1.0</v>
      </c>
      <c r="M251" s="27" t="s">
        <v>1137</v>
      </c>
      <c r="N251" s="111" t="s">
        <v>1174</v>
      </c>
      <c r="O251" s="107" t="str">
        <f t="shared" si="70"/>
        <v>กลุ่มงานศัลยกรรมออร์โธปิดิกส์</v>
      </c>
      <c r="P251" s="107" t="s">
        <v>4721</v>
      </c>
      <c r="Q251" s="107" t="str">
        <f t="shared" si="71"/>
        <v>กลุ่มงานศัลยกรรมออร์โธปิดิกส์</v>
      </c>
      <c r="R251" s="107" t="str">
        <f t="shared" si="72"/>
        <v>ภารกิจด้านบริการทุติยภูมิและตติยภูมิ</v>
      </c>
      <c r="S251" s="107" t="str">
        <f t="shared" si="73"/>
        <v>กลุ่มงานศัลยกรรมออร์โธปิดิกส์</v>
      </c>
      <c r="T251" s="107" t="s">
        <v>4720</v>
      </c>
      <c r="U251" s="26" t="s">
        <v>1302</v>
      </c>
      <c r="V251" s="110" t="s">
        <v>3978</v>
      </c>
      <c r="W251" s="107" t="s">
        <v>4054</v>
      </c>
      <c r="X251" s="110" t="s">
        <v>3978</v>
      </c>
      <c r="Y251" s="112">
        <v>5.0</v>
      </c>
      <c r="Z251" s="112">
        <v>5.0</v>
      </c>
      <c r="AA251" s="112">
        <v>199.0</v>
      </c>
      <c r="AB251" s="112">
        <v>80.0</v>
      </c>
      <c r="AC251" s="32">
        <v>1.0</v>
      </c>
      <c r="AD251" s="107"/>
      <c r="AE251" s="107"/>
      <c r="AF251" s="105">
        <v>1.0</v>
      </c>
      <c r="AG251" s="37">
        <v>1.579900219272E12</v>
      </c>
      <c r="AH251" s="37" t="s">
        <v>1615</v>
      </c>
      <c r="AI251" s="44">
        <v>230660.0</v>
      </c>
    </row>
    <row r="252" ht="38.25" hidden="1" customHeight="1">
      <c r="A252" s="32">
        <v>249.0</v>
      </c>
      <c r="B252" s="107" t="s">
        <v>1037</v>
      </c>
      <c r="C252" s="107" t="s">
        <v>4733</v>
      </c>
      <c r="D252" s="107" t="s">
        <v>4734</v>
      </c>
      <c r="E252" s="107" t="s">
        <v>4628</v>
      </c>
      <c r="F252" s="107" t="s">
        <v>4628</v>
      </c>
      <c r="G252" s="108" t="s">
        <v>4220</v>
      </c>
      <c r="H252" s="108" t="s">
        <v>4629</v>
      </c>
      <c r="I252" s="109">
        <v>14331.0</v>
      </c>
      <c r="J252" s="109" t="s">
        <v>1125</v>
      </c>
      <c r="K252" s="108" t="s">
        <v>1137</v>
      </c>
      <c r="L252" s="110">
        <v>1.0</v>
      </c>
      <c r="M252" s="27" t="s">
        <v>1137</v>
      </c>
      <c r="N252" s="111" t="s">
        <v>1174</v>
      </c>
      <c r="O252" s="107" t="s">
        <v>4702</v>
      </c>
      <c r="P252" s="107" t="s">
        <v>4702</v>
      </c>
      <c r="Q252" s="107" t="str">
        <f t="shared" si="71"/>
        <v>กลุ่มงานกุมารเวชกรรม</v>
      </c>
      <c r="R252" s="107" t="str">
        <f t="shared" si="72"/>
        <v>ภารกิจด้านบริการทุติยภูมิและตติยภูมิ</v>
      </c>
      <c r="S252" s="107" t="str">
        <f t="shared" si="73"/>
        <v>กลุ่มงานกุมารเวชกรรม</v>
      </c>
      <c r="T252" s="107" t="s">
        <v>4703</v>
      </c>
      <c r="U252" s="26" t="s">
        <v>1302</v>
      </c>
      <c r="V252" s="110" t="s">
        <v>1312</v>
      </c>
      <c r="W252" s="107" t="s">
        <v>4054</v>
      </c>
      <c r="X252" s="110" t="s">
        <v>3978</v>
      </c>
      <c r="Y252" s="112">
        <v>5.0</v>
      </c>
      <c r="Z252" s="112">
        <v>5.0</v>
      </c>
      <c r="AA252" s="112">
        <v>199.0</v>
      </c>
      <c r="AB252" s="112">
        <v>80.0</v>
      </c>
      <c r="AC252" s="32">
        <v>1.0</v>
      </c>
      <c r="AD252" s="107"/>
      <c r="AE252" s="107"/>
      <c r="AF252" s="105">
        <v>1.0</v>
      </c>
      <c r="AG252" s="33">
        <v>1.509900844053E12</v>
      </c>
      <c r="AH252" s="33" t="s">
        <v>3876</v>
      </c>
      <c r="AI252" s="34" t="s">
        <v>4735</v>
      </c>
    </row>
    <row r="253" ht="38.25" hidden="1" customHeight="1">
      <c r="A253" s="25">
        <v>250.0</v>
      </c>
      <c r="B253" s="107" t="s">
        <v>806</v>
      </c>
      <c r="C253" s="107" t="s">
        <v>4736</v>
      </c>
      <c r="D253" s="107" t="s">
        <v>4737</v>
      </c>
      <c r="E253" s="107" t="s">
        <v>4628</v>
      </c>
      <c r="F253" s="107" t="s">
        <v>4628</v>
      </c>
      <c r="G253" s="108" t="s">
        <v>4738</v>
      </c>
      <c r="H253" s="108" t="s">
        <v>4629</v>
      </c>
      <c r="I253" s="109">
        <v>16314.0</v>
      </c>
      <c r="J253" s="109" t="s">
        <v>1125</v>
      </c>
      <c r="K253" s="108" t="s">
        <v>1137</v>
      </c>
      <c r="L253" s="110">
        <v>1.0</v>
      </c>
      <c r="M253" s="27" t="s">
        <v>1137</v>
      </c>
      <c r="N253" s="111" t="s">
        <v>1174</v>
      </c>
      <c r="O253" s="107" t="s">
        <v>4702</v>
      </c>
      <c r="P253" s="107" t="s">
        <v>4702</v>
      </c>
      <c r="Q253" s="107" t="str">
        <f t="shared" si="71"/>
        <v>กลุ่มงานกุมารเวชกรรม</v>
      </c>
      <c r="R253" s="107" t="str">
        <f t="shared" si="72"/>
        <v>ภารกิจด้านบริการทุติยภูมิและตติยภูมิ</v>
      </c>
      <c r="S253" s="107" t="str">
        <f t="shared" si="73"/>
        <v>กลุ่มงานกุมารเวชกรรม</v>
      </c>
      <c r="T253" s="107" t="s">
        <v>4703</v>
      </c>
      <c r="U253" s="76" t="s">
        <v>1302</v>
      </c>
      <c r="V253" s="110" t="s">
        <v>1312</v>
      </c>
      <c r="W253" s="107" t="s">
        <v>4054</v>
      </c>
      <c r="X253" s="110" t="s">
        <v>3978</v>
      </c>
      <c r="Y253" s="112">
        <v>5.0</v>
      </c>
      <c r="Z253" s="112">
        <v>5.0</v>
      </c>
      <c r="AA253" s="112">
        <v>199.0</v>
      </c>
      <c r="AB253" s="112">
        <v>80.0</v>
      </c>
      <c r="AC253" s="32">
        <v>1.0</v>
      </c>
      <c r="AD253" s="107"/>
      <c r="AE253" s="107"/>
      <c r="AF253" s="105">
        <v>1.0</v>
      </c>
      <c r="AG253" s="37">
        <v>3.180200037947E12</v>
      </c>
      <c r="AH253" s="37" t="s">
        <v>3931</v>
      </c>
      <c r="AI253" s="38" t="s">
        <v>4739</v>
      </c>
    </row>
    <row r="254" ht="38.25" hidden="1" customHeight="1">
      <c r="A254" s="25">
        <v>251.0</v>
      </c>
      <c r="B254" s="107" t="s">
        <v>1037</v>
      </c>
      <c r="C254" s="107" t="s">
        <v>4740</v>
      </c>
      <c r="D254" s="107" t="s">
        <v>4741</v>
      </c>
      <c r="E254" s="107" t="s">
        <v>4628</v>
      </c>
      <c r="F254" s="107" t="s">
        <v>4628</v>
      </c>
      <c r="G254" s="108" t="s">
        <v>4220</v>
      </c>
      <c r="H254" s="108" t="s">
        <v>4629</v>
      </c>
      <c r="I254" s="109">
        <v>133813.0</v>
      </c>
      <c r="J254" s="109" t="s">
        <v>1125</v>
      </c>
      <c r="K254" s="108" t="s">
        <v>1137</v>
      </c>
      <c r="L254" s="110">
        <v>1.0</v>
      </c>
      <c r="M254" s="27" t="s">
        <v>1137</v>
      </c>
      <c r="N254" s="111" t="s">
        <v>1174</v>
      </c>
      <c r="O254" s="107" t="s">
        <v>4702</v>
      </c>
      <c r="P254" s="107" t="s">
        <v>4702</v>
      </c>
      <c r="Q254" s="107" t="str">
        <f t="shared" si="71"/>
        <v>กลุ่มงานกุมารเวชกรรม</v>
      </c>
      <c r="R254" s="107" t="str">
        <f t="shared" si="72"/>
        <v>ภารกิจด้านบริการทุติยภูมิและตติยภูมิ</v>
      </c>
      <c r="S254" s="107" t="str">
        <f t="shared" si="73"/>
        <v>กลุ่มงานกุมารเวชกรรม</v>
      </c>
      <c r="T254" s="107" t="s">
        <v>4703</v>
      </c>
      <c r="U254" s="26" t="s">
        <v>1302</v>
      </c>
      <c r="V254" s="110" t="s">
        <v>1312</v>
      </c>
      <c r="W254" s="107" t="s">
        <v>4054</v>
      </c>
      <c r="X254" s="110" t="s">
        <v>3978</v>
      </c>
      <c r="Y254" s="112">
        <v>5.0</v>
      </c>
      <c r="Z254" s="112">
        <v>5.0</v>
      </c>
      <c r="AA254" s="112">
        <v>199.0</v>
      </c>
      <c r="AB254" s="112">
        <v>80.0</v>
      </c>
      <c r="AC254" s="32">
        <v>1.0</v>
      </c>
      <c r="AD254" s="107"/>
      <c r="AE254" s="107"/>
      <c r="AF254" s="105">
        <v>1.0</v>
      </c>
      <c r="AG254" s="37">
        <v>1.509901141048E12</v>
      </c>
      <c r="AH254" s="37" t="s">
        <v>1916</v>
      </c>
      <c r="AI254" s="38" t="s">
        <v>4742</v>
      </c>
    </row>
    <row r="255" ht="38.25" hidden="1" customHeight="1">
      <c r="A255" s="32">
        <v>252.0</v>
      </c>
      <c r="B255" s="107" t="s">
        <v>2692</v>
      </c>
      <c r="C255" s="107" t="s">
        <v>4743</v>
      </c>
      <c r="D255" s="107" t="s">
        <v>4744</v>
      </c>
      <c r="E255" s="107" t="s">
        <v>4628</v>
      </c>
      <c r="F255" s="107" t="s">
        <v>4628</v>
      </c>
      <c r="G255" s="108" t="s">
        <v>4226</v>
      </c>
      <c r="H255" s="108" t="s">
        <v>4629</v>
      </c>
      <c r="I255" s="109">
        <v>110716.0</v>
      </c>
      <c r="J255" s="109" t="s">
        <v>1125</v>
      </c>
      <c r="K255" s="108" t="s">
        <v>1137</v>
      </c>
      <c r="L255" s="110">
        <v>1.0</v>
      </c>
      <c r="M255" s="27" t="s">
        <v>1137</v>
      </c>
      <c r="N255" s="111" t="s">
        <v>1174</v>
      </c>
      <c r="O255" s="107" t="s">
        <v>4702</v>
      </c>
      <c r="P255" s="107" t="s">
        <v>4702</v>
      </c>
      <c r="Q255" s="107" t="str">
        <f t="shared" si="71"/>
        <v>กลุ่มงานกุมารเวชกรรม</v>
      </c>
      <c r="R255" s="107" t="str">
        <f t="shared" si="72"/>
        <v>ภารกิจด้านบริการทุติยภูมิและตติยภูมิ</v>
      </c>
      <c r="S255" s="107" t="str">
        <f t="shared" si="73"/>
        <v>กลุ่มงานกุมารเวชกรรม</v>
      </c>
      <c r="T255" s="107" t="s">
        <v>4703</v>
      </c>
      <c r="U255" s="26" t="s">
        <v>1302</v>
      </c>
      <c r="V255" s="110" t="s">
        <v>1312</v>
      </c>
      <c r="W255" s="107" t="s">
        <v>4054</v>
      </c>
      <c r="X255" s="110" t="s">
        <v>3978</v>
      </c>
      <c r="Y255" s="112">
        <v>5.0</v>
      </c>
      <c r="Z255" s="112">
        <v>5.0</v>
      </c>
      <c r="AA255" s="112">
        <v>199.0</v>
      </c>
      <c r="AB255" s="112">
        <v>80.0</v>
      </c>
      <c r="AC255" s="32">
        <v>1.0</v>
      </c>
      <c r="AD255" s="107"/>
      <c r="AE255" s="107"/>
      <c r="AF255" s="105">
        <v>1.0</v>
      </c>
      <c r="AG255" s="33">
        <v>3.101800258236E12</v>
      </c>
      <c r="AH255" s="33" t="s">
        <v>3927</v>
      </c>
      <c r="AI255" s="34" t="s">
        <v>4745</v>
      </c>
    </row>
    <row r="256" ht="38.25" hidden="1" customHeight="1">
      <c r="A256" s="25">
        <v>253.0</v>
      </c>
      <c r="B256" s="107" t="s">
        <v>1037</v>
      </c>
      <c r="C256" s="107" t="s">
        <v>4746</v>
      </c>
      <c r="D256" s="107" t="s">
        <v>4747</v>
      </c>
      <c r="E256" s="107" t="s">
        <v>4628</v>
      </c>
      <c r="F256" s="107" t="s">
        <v>4628</v>
      </c>
      <c r="G256" s="108" t="s">
        <v>4220</v>
      </c>
      <c r="H256" s="108" t="s">
        <v>1110</v>
      </c>
      <c r="I256" s="109">
        <v>180355.0</v>
      </c>
      <c r="J256" s="109" t="s">
        <v>1125</v>
      </c>
      <c r="K256" s="108" t="s">
        <v>1137</v>
      </c>
      <c r="L256" s="110">
        <v>1.0</v>
      </c>
      <c r="M256" s="27" t="s">
        <v>1137</v>
      </c>
      <c r="N256" s="111" t="s">
        <v>1174</v>
      </c>
      <c r="O256" s="107" t="str">
        <f t="shared" ref="O256:O261" si="74">+T256</f>
        <v>กลุ่มงานจักษุวิทยา</v>
      </c>
      <c r="P256" s="107" t="str">
        <f t="shared" ref="P256:P258" si="75">+O256</f>
        <v>กลุ่มงานจักษุวิทยา</v>
      </c>
      <c r="Q256" s="107" t="str">
        <f t="shared" si="71"/>
        <v>กลุ่มงานจักษุวิทยา</v>
      </c>
      <c r="R256" s="107" t="str">
        <f t="shared" si="72"/>
        <v>ภารกิจด้านบริการทุติยภูมิและตติยภูมิ</v>
      </c>
      <c r="S256" s="107" t="str">
        <f t="shared" si="73"/>
        <v>กลุ่มงานจักษุวิทยา</v>
      </c>
      <c r="T256" s="107" t="s">
        <v>4748</v>
      </c>
      <c r="U256" s="26" t="s">
        <v>1302</v>
      </c>
      <c r="V256" s="110" t="s">
        <v>4749</v>
      </c>
      <c r="W256" s="107" t="s">
        <v>4054</v>
      </c>
      <c r="X256" s="110" t="s">
        <v>3978</v>
      </c>
      <c r="Y256" s="112">
        <v>3.0</v>
      </c>
      <c r="Z256" s="112">
        <v>3.0</v>
      </c>
      <c r="AA256" s="112">
        <v>199.0</v>
      </c>
      <c r="AB256" s="112">
        <v>80.0</v>
      </c>
      <c r="AC256" s="32">
        <v>1.0</v>
      </c>
      <c r="AD256" s="107"/>
      <c r="AE256" s="107"/>
      <c r="AF256" s="105">
        <v>1.0</v>
      </c>
      <c r="AG256" s="33">
        <v>1.509901148671E12</v>
      </c>
      <c r="AH256" s="33" t="s">
        <v>1659</v>
      </c>
      <c r="AI256" s="34" t="s">
        <v>4750</v>
      </c>
    </row>
    <row r="257" ht="38.25" hidden="1" customHeight="1">
      <c r="A257" s="25">
        <v>254.0</v>
      </c>
      <c r="B257" s="107" t="s">
        <v>1037</v>
      </c>
      <c r="C257" s="107" t="s">
        <v>4751</v>
      </c>
      <c r="D257" s="107" t="s">
        <v>4752</v>
      </c>
      <c r="E257" s="99" t="s">
        <v>4628</v>
      </c>
      <c r="F257" s="107" t="s">
        <v>4628</v>
      </c>
      <c r="G257" s="108" t="s">
        <v>4220</v>
      </c>
      <c r="H257" s="108" t="s">
        <v>4629</v>
      </c>
      <c r="I257" s="109">
        <v>214396.0</v>
      </c>
      <c r="J257" s="109" t="s">
        <v>1125</v>
      </c>
      <c r="K257" s="108" t="s">
        <v>1137</v>
      </c>
      <c r="L257" s="110">
        <v>1.0</v>
      </c>
      <c r="M257" s="27" t="s">
        <v>1137</v>
      </c>
      <c r="N257" s="111" t="s">
        <v>1174</v>
      </c>
      <c r="O257" s="107" t="str">
        <f t="shared" si="74"/>
        <v>กลุ่มงานจักษุวิทยา</v>
      </c>
      <c r="P257" s="107" t="str">
        <f t="shared" si="75"/>
        <v>กลุ่มงานจักษุวิทยา</v>
      </c>
      <c r="Q257" s="107" t="str">
        <f t="shared" si="71"/>
        <v>กลุ่มงานจักษุวิทยา</v>
      </c>
      <c r="R257" s="107" t="str">
        <f t="shared" si="72"/>
        <v>ภารกิจด้านบริการทุติยภูมิและตติยภูมิ</v>
      </c>
      <c r="S257" s="107" t="str">
        <f t="shared" si="73"/>
        <v>กลุ่มงานจักษุวิทยา</v>
      </c>
      <c r="T257" s="107" t="s">
        <v>4748</v>
      </c>
      <c r="U257" s="26" t="s">
        <v>1302</v>
      </c>
      <c r="V257" s="110" t="s">
        <v>4749</v>
      </c>
      <c r="W257" s="107" t="s">
        <v>4054</v>
      </c>
      <c r="X257" s="110" t="s">
        <v>3978</v>
      </c>
      <c r="Y257" s="112">
        <v>3.0</v>
      </c>
      <c r="Z257" s="112">
        <v>3.0</v>
      </c>
      <c r="AA257" s="112">
        <v>199.0</v>
      </c>
      <c r="AB257" s="112">
        <v>80.0</v>
      </c>
      <c r="AC257" s="32">
        <v>1.0</v>
      </c>
      <c r="AD257" s="107"/>
      <c r="AE257" s="107"/>
      <c r="AF257" s="105">
        <v>1.0</v>
      </c>
      <c r="AG257" s="37">
        <v>1.559900268354E12</v>
      </c>
      <c r="AH257" s="61"/>
      <c r="AI257" s="44">
        <v>232791.0</v>
      </c>
    </row>
    <row r="258" ht="38.25" hidden="1" customHeight="1">
      <c r="A258" s="32">
        <v>255.0</v>
      </c>
      <c r="B258" s="107" t="s">
        <v>1037</v>
      </c>
      <c r="C258" s="107" t="s">
        <v>4753</v>
      </c>
      <c r="D258" s="107" t="s">
        <v>4754</v>
      </c>
      <c r="E258" s="107" t="s">
        <v>4628</v>
      </c>
      <c r="F258" s="107" t="s">
        <v>4628</v>
      </c>
      <c r="G258" s="108" t="s">
        <v>4220</v>
      </c>
      <c r="H258" s="108" t="s">
        <v>4629</v>
      </c>
      <c r="I258" s="109">
        <v>168996.0</v>
      </c>
      <c r="J258" s="109" t="s">
        <v>1125</v>
      </c>
      <c r="K258" s="108" t="s">
        <v>1137</v>
      </c>
      <c r="L258" s="110">
        <v>1.0</v>
      </c>
      <c r="M258" s="27" t="s">
        <v>1137</v>
      </c>
      <c r="N258" s="111" t="s">
        <v>1174</v>
      </c>
      <c r="O258" s="107" t="str">
        <f t="shared" si="74"/>
        <v>กลุ่มงานจักษุวิทยา</v>
      </c>
      <c r="P258" s="107" t="str">
        <f t="shared" si="75"/>
        <v>กลุ่มงานจักษุวิทยา</v>
      </c>
      <c r="Q258" s="107" t="str">
        <f t="shared" si="71"/>
        <v>กลุ่มงานจักษุวิทยา</v>
      </c>
      <c r="R258" s="107" t="str">
        <f t="shared" si="72"/>
        <v>ภารกิจด้านบริการทุติยภูมิและตติยภูมิ</v>
      </c>
      <c r="S258" s="107" t="str">
        <f t="shared" si="73"/>
        <v>กลุ่มงานจักษุวิทยา</v>
      </c>
      <c r="T258" s="107" t="s">
        <v>4748</v>
      </c>
      <c r="U258" s="26" t="s">
        <v>1302</v>
      </c>
      <c r="V258" s="110" t="s">
        <v>4749</v>
      </c>
      <c r="W258" s="107" t="s">
        <v>4054</v>
      </c>
      <c r="X258" s="110" t="s">
        <v>3978</v>
      </c>
      <c r="Y258" s="112">
        <v>3.0</v>
      </c>
      <c r="Z258" s="112">
        <v>3.0</v>
      </c>
      <c r="AA258" s="112">
        <v>199.0</v>
      </c>
      <c r="AB258" s="112">
        <v>80.0</v>
      </c>
      <c r="AC258" s="32">
        <v>1.0</v>
      </c>
      <c r="AD258" s="107"/>
      <c r="AE258" s="107"/>
      <c r="AF258" s="105">
        <v>1.0</v>
      </c>
      <c r="AG258" s="33">
        <v>1.509900413036E12</v>
      </c>
      <c r="AH258" s="33" t="s">
        <v>2001</v>
      </c>
      <c r="AI258" s="34" t="s">
        <v>4755</v>
      </c>
    </row>
    <row r="259" ht="38.25" hidden="1" customHeight="1">
      <c r="A259" s="25">
        <v>256.0</v>
      </c>
      <c r="B259" s="107" t="s">
        <v>1037</v>
      </c>
      <c r="C259" s="107" t="s">
        <v>4756</v>
      </c>
      <c r="D259" s="107" t="s">
        <v>4757</v>
      </c>
      <c r="E259" s="107" t="s">
        <v>4628</v>
      </c>
      <c r="F259" s="107" t="s">
        <v>4628</v>
      </c>
      <c r="G259" s="108" t="s">
        <v>4220</v>
      </c>
      <c r="H259" s="108" t="s">
        <v>4629</v>
      </c>
      <c r="I259" s="109">
        <v>106208.0</v>
      </c>
      <c r="J259" s="109" t="s">
        <v>1125</v>
      </c>
      <c r="K259" s="108" t="s">
        <v>1137</v>
      </c>
      <c r="L259" s="110">
        <v>1.0</v>
      </c>
      <c r="M259" s="27" t="s">
        <v>1137</v>
      </c>
      <c r="N259" s="111" t="s">
        <v>1174</v>
      </c>
      <c r="O259" s="107" t="str">
        <f t="shared" si="74"/>
        <v>กลุ่มงานโสต ศอ นาสิก</v>
      </c>
      <c r="P259" s="107" t="s">
        <v>4630</v>
      </c>
      <c r="Q259" s="107" t="str">
        <f t="shared" si="71"/>
        <v>กลุ่มงานโสต ศอ นาสิก</v>
      </c>
      <c r="R259" s="107" t="str">
        <f t="shared" si="72"/>
        <v>ภารกิจด้านบริการทุติยภูมิและตติยภูมิ</v>
      </c>
      <c r="S259" s="107" t="str">
        <f t="shared" si="73"/>
        <v>กลุ่มงานโสต ศอ นาสิก</v>
      </c>
      <c r="T259" s="107" t="s">
        <v>4758</v>
      </c>
      <c r="U259" s="26" t="s">
        <v>1302</v>
      </c>
      <c r="V259" s="110" t="s">
        <v>4759</v>
      </c>
      <c r="W259" s="107" t="s">
        <v>4054</v>
      </c>
      <c r="X259" s="110" t="s">
        <v>3978</v>
      </c>
      <c r="Y259" s="112">
        <v>3.0</v>
      </c>
      <c r="Z259" s="112">
        <v>4.0</v>
      </c>
      <c r="AA259" s="112">
        <v>199.0</v>
      </c>
      <c r="AB259" s="112">
        <v>80.0</v>
      </c>
      <c r="AC259" s="32">
        <v>1.0</v>
      </c>
      <c r="AD259" s="107"/>
      <c r="AE259" s="107"/>
      <c r="AF259" s="105">
        <v>1.0</v>
      </c>
      <c r="AG259" s="37">
        <v>1.509900489393E12</v>
      </c>
      <c r="AH259" s="37" t="s">
        <v>3819</v>
      </c>
      <c r="AI259" s="44">
        <v>230260.0</v>
      </c>
    </row>
    <row r="260" ht="38.25" hidden="1" customHeight="1">
      <c r="A260" s="25">
        <v>257.0</v>
      </c>
      <c r="B260" s="107" t="s">
        <v>1037</v>
      </c>
      <c r="C260" s="107" t="s">
        <v>4760</v>
      </c>
      <c r="D260" s="107" t="s">
        <v>4761</v>
      </c>
      <c r="E260" s="107" t="s">
        <v>4628</v>
      </c>
      <c r="F260" s="107" t="s">
        <v>4628</v>
      </c>
      <c r="G260" s="108" t="s">
        <v>4220</v>
      </c>
      <c r="H260" s="108" t="s">
        <v>1110</v>
      </c>
      <c r="I260" s="109">
        <v>191189.0</v>
      </c>
      <c r="J260" s="109" t="s">
        <v>1125</v>
      </c>
      <c r="K260" s="108" t="s">
        <v>1137</v>
      </c>
      <c r="L260" s="110">
        <v>1.0</v>
      </c>
      <c r="M260" s="27" t="s">
        <v>1137</v>
      </c>
      <c r="N260" s="111" t="s">
        <v>1174</v>
      </c>
      <c r="O260" s="107" t="str">
        <f t="shared" si="74"/>
        <v>กลุ่มงานโสต ศอ นาสิก</v>
      </c>
      <c r="P260" s="107" t="s">
        <v>4630</v>
      </c>
      <c r="Q260" s="107" t="str">
        <f t="shared" si="71"/>
        <v>กลุ่มงานโสต ศอ นาสิก</v>
      </c>
      <c r="R260" s="107" t="str">
        <f t="shared" si="72"/>
        <v>ภารกิจด้านบริการทุติยภูมิและตติยภูมิ</v>
      </c>
      <c r="S260" s="107" t="str">
        <f t="shared" si="73"/>
        <v>กลุ่มงานโสต ศอ นาสิก</v>
      </c>
      <c r="T260" s="107" t="s">
        <v>4758</v>
      </c>
      <c r="U260" s="26" t="s">
        <v>1302</v>
      </c>
      <c r="V260" s="110" t="s">
        <v>4759</v>
      </c>
      <c r="W260" s="107" t="s">
        <v>4054</v>
      </c>
      <c r="X260" s="110" t="s">
        <v>3978</v>
      </c>
      <c r="Y260" s="112">
        <v>3.0</v>
      </c>
      <c r="Z260" s="112">
        <v>4.0</v>
      </c>
      <c r="AA260" s="112">
        <v>199.0</v>
      </c>
      <c r="AB260" s="112">
        <v>80.0</v>
      </c>
      <c r="AC260" s="129">
        <v>1.0</v>
      </c>
      <c r="AD260" s="107"/>
      <c r="AE260" s="107"/>
      <c r="AF260" s="105">
        <v>1.0</v>
      </c>
      <c r="AG260" s="33">
        <v>1.509901445896E12</v>
      </c>
      <c r="AH260" s="33" t="s">
        <v>1620</v>
      </c>
      <c r="AI260" s="40">
        <v>232756.0</v>
      </c>
    </row>
    <row r="261" ht="38.25" hidden="1" customHeight="1">
      <c r="A261" s="25">
        <v>258.0</v>
      </c>
      <c r="B261" s="107" t="s">
        <v>1037</v>
      </c>
      <c r="C261" s="107" t="s">
        <v>4762</v>
      </c>
      <c r="D261" s="107" t="s">
        <v>4763</v>
      </c>
      <c r="E261" s="107" t="s">
        <v>4628</v>
      </c>
      <c r="F261" s="107" t="s">
        <v>4628</v>
      </c>
      <c r="G261" s="108" t="s">
        <v>4249</v>
      </c>
      <c r="H261" s="108" t="s">
        <v>1110</v>
      </c>
      <c r="I261" s="109">
        <v>253525.0</v>
      </c>
      <c r="J261" s="109" t="s">
        <v>1125</v>
      </c>
      <c r="K261" s="108" t="s">
        <v>1137</v>
      </c>
      <c r="L261" s="110">
        <v>1.0</v>
      </c>
      <c r="M261" s="27" t="s">
        <v>1137</v>
      </c>
      <c r="N261" s="111" t="s">
        <v>1174</v>
      </c>
      <c r="O261" s="107" t="str">
        <f t="shared" si="74"/>
        <v>กลุ่มงานโสต ศอ นาสิก</v>
      </c>
      <c r="P261" s="107" t="s">
        <v>4630</v>
      </c>
      <c r="Q261" s="107" t="str">
        <f t="shared" si="71"/>
        <v>กลุ่มงานโสต ศอ นาสิก</v>
      </c>
      <c r="R261" s="107" t="str">
        <f t="shared" si="72"/>
        <v>ภารกิจด้านบริการทุติยภูมิและตติยภูมิ</v>
      </c>
      <c r="S261" s="107" t="str">
        <f t="shared" si="73"/>
        <v>กลุ่มงานโสต ศอ นาสิก</v>
      </c>
      <c r="T261" s="107" t="s">
        <v>4758</v>
      </c>
      <c r="U261" s="26" t="s">
        <v>1302</v>
      </c>
      <c r="V261" s="110" t="s">
        <v>4759</v>
      </c>
      <c r="W261" s="107" t="s">
        <v>4054</v>
      </c>
      <c r="X261" s="110" t="s">
        <v>3978</v>
      </c>
      <c r="Y261" s="112">
        <v>3.0</v>
      </c>
      <c r="Z261" s="112">
        <v>4.0</v>
      </c>
      <c r="AA261" s="112">
        <v>199.0</v>
      </c>
      <c r="AB261" s="112">
        <v>80.0</v>
      </c>
      <c r="AC261" s="129">
        <v>1.0</v>
      </c>
      <c r="AD261" s="107"/>
      <c r="AE261" s="107"/>
      <c r="AF261" s="105">
        <v>1.0</v>
      </c>
      <c r="AG261" s="33">
        <v>1.509901482627E12</v>
      </c>
      <c r="AH261" s="33" t="s">
        <v>1236</v>
      </c>
      <c r="AI261" s="34" t="s">
        <v>4764</v>
      </c>
    </row>
    <row r="262" ht="38.25" hidden="1" customHeight="1">
      <c r="A262" s="32">
        <v>259.0</v>
      </c>
      <c r="B262" s="76" t="s">
        <v>2692</v>
      </c>
      <c r="C262" s="76" t="s">
        <v>4765</v>
      </c>
      <c r="D262" s="76" t="s">
        <v>4766</v>
      </c>
      <c r="E262" s="76" t="s">
        <v>4628</v>
      </c>
      <c r="F262" s="76" t="s">
        <v>4628</v>
      </c>
      <c r="G262" s="77" t="s">
        <v>4738</v>
      </c>
      <c r="H262" s="77" t="s">
        <v>4767</v>
      </c>
      <c r="I262" s="78">
        <v>20668.0</v>
      </c>
      <c r="J262" s="78" t="s">
        <v>1125</v>
      </c>
      <c r="K262" s="77" t="s">
        <v>1137</v>
      </c>
      <c r="L262" s="79">
        <v>1.0</v>
      </c>
      <c r="M262" s="27" t="s">
        <v>1137</v>
      </c>
      <c r="N262" s="80" t="s">
        <v>1174</v>
      </c>
      <c r="O262" s="76" t="s">
        <v>4768</v>
      </c>
      <c r="P262" s="120" t="s">
        <v>4054</v>
      </c>
      <c r="Q262" s="120" t="s">
        <v>4054</v>
      </c>
      <c r="R262" s="113" t="s">
        <v>4054</v>
      </c>
      <c r="S262" s="76" t="str">
        <f t="shared" si="73"/>
        <v>กลุ่มงานจิตเวชและยาเสพติด</v>
      </c>
      <c r="T262" s="76" t="s">
        <v>4311</v>
      </c>
      <c r="U262" s="26" t="s">
        <v>1302</v>
      </c>
      <c r="V262" s="79"/>
      <c r="W262" s="76" t="s">
        <v>4054</v>
      </c>
      <c r="X262" s="79" t="s">
        <v>3978</v>
      </c>
      <c r="Y262" s="81">
        <v>4.0</v>
      </c>
      <c r="Z262" s="81">
        <v>9.0</v>
      </c>
      <c r="AA262" s="81">
        <v>199.0</v>
      </c>
      <c r="AB262" s="81">
        <v>80.0</v>
      </c>
      <c r="AC262" s="32">
        <v>1.0</v>
      </c>
      <c r="AD262" s="76"/>
      <c r="AE262" s="76" t="s">
        <v>4769</v>
      </c>
      <c r="AF262" s="32">
        <v>1.0</v>
      </c>
      <c r="AG262" s="33">
        <v>3.501900265265E12</v>
      </c>
      <c r="AH262" s="33" t="s">
        <v>3903</v>
      </c>
      <c r="AI262" s="34" t="s">
        <v>4770</v>
      </c>
    </row>
    <row r="263" ht="38.25" hidden="1" customHeight="1">
      <c r="A263" s="25">
        <v>260.0</v>
      </c>
      <c r="B263" s="130" t="s">
        <v>2692</v>
      </c>
      <c r="C263" s="130" t="s">
        <v>4771</v>
      </c>
      <c r="D263" s="130" t="s">
        <v>4772</v>
      </c>
      <c r="E263" s="130" t="s">
        <v>4628</v>
      </c>
      <c r="F263" s="130" t="s">
        <v>4628</v>
      </c>
      <c r="G263" s="131" t="s">
        <v>4249</v>
      </c>
      <c r="H263" s="77" t="s">
        <v>1110</v>
      </c>
      <c r="I263" s="132">
        <v>5154.0</v>
      </c>
      <c r="J263" s="132" t="s">
        <v>1125</v>
      </c>
      <c r="K263" s="131" t="s">
        <v>1137</v>
      </c>
      <c r="L263" s="133">
        <v>1.0</v>
      </c>
      <c r="M263" s="27" t="s">
        <v>1137</v>
      </c>
      <c r="N263" s="134" t="s">
        <v>1174</v>
      </c>
      <c r="O263" s="130" t="str">
        <f t="shared" ref="O263:O265" si="76">+T263</f>
        <v>กลุ่มงานผู้ป่วยนอก</v>
      </c>
      <c r="P263" s="130" t="s">
        <v>4645</v>
      </c>
      <c r="Q263" s="130" t="str">
        <f t="shared" ref="Q263:Q264" si="77">+T263</f>
        <v>กลุ่มงานผู้ป่วยนอก</v>
      </c>
      <c r="R263" s="130" t="s">
        <v>4064</v>
      </c>
      <c r="S263" s="130" t="s">
        <v>4645</v>
      </c>
      <c r="T263" s="130" t="s">
        <v>4645</v>
      </c>
      <c r="U263" s="26" t="s">
        <v>1302</v>
      </c>
      <c r="V263" s="133" t="s">
        <v>46</v>
      </c>
      <c r="W263" s="130" t="s">
        <v>4064</v>
      </c>
      <c r="X263" s="79" t="s">
        <v>3935</v>
      </c>
      <c r="Y263" s="146">
        <v>12.0</v>
      </c>
      <c r="Z263" s="146">
        <v>12.0</v>
      </c>
      <c r="AA263" s="147">
        <v>66.0</v>
      </c>
      <c r="AB263" s="146">
        <v>80.0</v>
      </c>
      <c r="AC263" s="137">
        <v>1.0</v>
      </c>
      <c r="AD263" s="130"/>
      <c r="AE263" s="130"/>
      <c r="AF263" s="137">
        <v>1.0</v>
      </c>
      <c r="AG263" s="33">
        <v>1.509963015232E12</v>
      </c>
      <c r="AH263" s="46"/>
      <c r="AI263" s="34" t="s">
        <v>4773</v>
      </c>
    </row>
    <row r="264" ht="38.25" hidden="1" customHeight="1">
      <c r="A264" s="25">
        <v>261.0</v>
      </c>
      <c r="B264" s="130" t="s">
        <v>1037</v>
      </c>
      <c r="C264" s="130" t="s">
        <v>4774</v>
      </c>
      <c r="D264" s="130" t="s">
        <v>4775</v>
      </c>
      <c r="E264" s="130" t="s">
        <v>4628</v>
      </c>
      <c r="F264" s="130" t="s">
        <v>4628</v>
      </c>
      <c r="G264" s="131" t="s">
        <v>4220</v>
      </c>
      <c r="H264" s="77" t="s">
        <v>4629</v>
      </c>
      <c r="I264" s="132">
        <v>17190.0</v>
      </c>
      <c r="J264" s="132" t="s">
        <v>1125</v>
      </c>
      <c r="K264" s="131" t="s">
        <v>1137</v>
      </c>
      <c r="L264" s="133">
        <v>1.0</v>
      </c>
      <c r="M264" s="27" t="s">
        <v>1137</v>
      </c>
      <c r="N264" s="134" t="s">
        <v>1174</v>
      </c>
      <c r="O264" s="130" t="str">
        <f t="shared" si="76"/>
        <v>กลุ่มงานอายุรกรรม</v>
      </c>
      <c r="P264" s="130" t="s">
        <v>4645</v>
      </c>
      <c r="Q264" s="130" t="str">
        <f t="shared" si="77"/>
        <v>กลุ่มงานอายุรกรรม</v>
      </c>
      <c r="R264" s="130" t="s">
        <v>4064</v>
      </c>
      <c r="S264" s="130" t="s">
        <v>4680</v>
      </c>
      <c r="T264" s="130" t="s">
        <v>4680</v>
      </c>
      <c r="U264" s="26" t="s">
        <v>1302</v>
      </c>
      <c r="V264" s="133" t="s">
        <v>46</v>
      </c>
      <c r="W264" s="130" t="s">
        <v>4064</v>
      </c>
      <c r="X264" s="79" t="s">
        <v>3935</v>
      </c>
      <c r="Y264" s="112">
        <v>12.0</v>
      </c>
      <c r="Z264" s="112">
        <v>12.0</v>
      </c>
      <c r="AA264" s="147">
        <v>199.0</v>
      </c>
      <c r="AB264" s="112">
        <v>80.0</v>
      </c>
      <c r="AC264" s="137">
        <v>1.0</v>
      </c>
      <c r="AD264" s="130"/>
      <c r="AE264" s="130"/>
      <c r="AF264" s="137">
        <v>1.0</v>
      </c>
      <c r="AG264" s="37">
        <v>1.509900850754E12</v>
      </c>
      <c r="AH264" s="37" t="s">
        <v>293</v>
      </c>
      <c r="AI264" s="38" t="s">
        <v>4776</v>
      </c>
    </row>
    <row r="265" ht="38.25" hidden="1" customHeight="1">
      <c r="A265" s="32">
        <v>262.0</v>
      </c>
      <c r="B265" s="130" t="s">
        <v>1037</v>
      </c>
      <c r="C265" s="130" t="s">
        <v>4777</v>
      </c>
      <c r="D265" s="130" t="s">
        <v>4778</v>
      </c>
      <c r="E265" s="130" t="s">
        <v>4628</v>
      </c>
      <c r="F265" s="130" t="s">
        <v>4628</v>
      </c>
      <c r="G265" s="131" t="s">
        <v>4249</v>
      </c>
      <c r="H265" s="131" t="s">
        <v>1110</v>
      </c>
      <c r="I265" s="132">
        <v>43070.0</v>
      </c>
      <c r="J265" s="132" t="s">
        <v>1125</v>
      </c>
      <c r="K265" s="131" t="s">
        <v>1137</v>
      </c>
      <c r="L265" s="133">
        <v>1.0</v>
      </c>
      <c r="M265" s="27" t="s">
        <v>1137</v>
      </c>
      <c r="N265" s="134" t="s">
        <v>1174</v>
      </c>
      <c r="O265" s="130" t="str">
        <f t="shared" si="76"/>
        <v>กลุ่มงานผู้ป่วยนอก</v>
      </c>
      <c r="P265" s="130" t="s">
        <v>4645</v>
      </c>
      <c r="Q265" s="130" t="s">
        <v>4645</v>
      </c>
      <c r="R265" s="130" t="s">
        <v>4064</v>
      </c>
      <c r="S265" s="130" t="s">
        <v>4645</v>
      </c>
      <c r="T265" s="130" t="s">
        <v>4645</v>
      </c>
      <c r="U265" s="26" t="s">
        <v>1302</v>
      </c>
      <c r="V265" s="133" t="s">
        <v>46</v>
      </c>
      <c r="W265" s="130" t="s">
        <v>4064</v>
      </c>
      <c r="X265" s="79" t="s">
        <v>3935</v>
      </c>
      <c r="Y265" s="146">
        <v>12.0</v>
      </c>
      <c r="Z265" s="146">
        <v>12.0</v>
      </c>
      <c r="AA265" s="147">
        <v>66.0</v>
      </c>
      <c r="AB265" s="146">
        <v>80.0</v>
      </c>
      <c r="AC265" s="32">
        <v>1.0</v>
      </c>
      <c r="AD265" s="130"/>
      <c r="AE265" s="130"/>
      <c r="AF265" s="137">
        <v>1.0</v>
      </c>
      <c r="AG265" s="37">
        <v>1.509902776934E12</v>
      </c>
      <c r="AH265" s="37" t="s">
        <v>752</v>
      </c>
      <c r="AI265" s="38" t="s">
        <v>4779</v>
      </c>
    </row>
    <row r="266" ht="38.25" hidden="1" customHeight="1">
      <c r="A266" s="25">
        <v>263.0</v>
      </c>
      <c r="B266" s="130" t="s">
        <v>1037</v>
      </c>
      <c r="C266" s="130" t="s">
        <v>4780</v>
      </c>
      <c r="D266" s="130" t="s">
        <v>4781</v>
      </c>
      <c r="E266" s="130" t="s">
        <v>4628</v>
      </c>
      <c r="F266" s="130" t="s">
        <v>4628</v>
      </c>
      <c r="G266" s="131" t="s">
        <v>4220</v>
      </c>
      <c r="H266" s="131" t="s">
        <v>4629</v>
      </c>
      <c r="I266" s="132">
        <v>115325.0</v>
      </c>
      <c r="J266" s="132" t="s">
        <v>1125</v>
      </c>
      <c r="K266" s="131" t="s">
        <v>1137</v>
      </c>
      <c r="L266" s="133">
        <v>1.0</v>
      </c>
      <c r="M266" s="27" t="s">
        <v>1137</v>
      </c>
      <c r="N266" s="134" t="s">
        <v>1174</v>
      </c>
      <c r="O266" s="130" t="str">
        <f>+AE266</f>
        <v>รองภารกิจด้านบริการปฐมภูมิ/หัวหน้ากลุ่มงานเวชกรรมสังคม</v>
      </c>
      <c r="P266" s="130" t="str">
        <f>+Q266</f>
        <v>ภารกิจด้านปริการปฐมภูมิ</v>
      </c>
      <c r="Q266" s="130" t="s">
        <v>4782</v>
      </c>
      <c r="R266" s="130" t="s">
        <v>4064</v>
      </c>
      <c r="S266" s="130" t="s">
        <v>4517</v>
      </c>
      <c r="T266" s="130" t="s">
        <v>4063</v>
      </c>
      <c r="U266" s="26" t="s">
        <v>1302</v>
      </c>
      <c r="V266" s="135" t="s">
        <v>4518</v>
      </c>
      <c r="W266" s="130" t="s">
        <v>4064</v>
      </c>
      <c r="X266" s="79" t="s">
        <v>3935</v>
      </c>
      <c r="Y266" s="146">
        <v>16.0</v>
      </c>
      <c r="Z266" s="146">
        <v>26.0</v>
      </c>
      <c r="AA266" s="147">
        <v>66.0</v>
      </c>
      <c r="AB266" s="146">
        <v>80.0</v>
      </c>
      <c r="AC266" s="32">
        <v>1.0</v>
      </c>
      <c r="AD266" s="130"/>
      <c r="AE266" s="130" t="s">
        <v>4783</v>
      </c>
      <c r="AF266" s="137">
        <v>1.0</v>
      </c>
      <c r="AG266" s="37">
        <v>1.509901309976E12</v>
      </c>
      <c r="AH266" s="37" t="s">
        <v>3828</v>
      </c>
      <c r="AI266" s="38" t="s">
        <v>4784</v>
      </c>
    </row>
    <row r="267" ht="38.25" customHeight="1">
      <c r="A267" s="25">
        <v>264.0</v>
      </c>
      <c r="B267" s="148" t="s">
        <v>1037</v>
      </c>
      <c r="C267" s="148" t="s">
        <v>4785</v>
      </c>
      <c r="D267" s="148" t="s">
        <v>4786</v>
      </c>
      <c r="E267" s="148" t="s">
        <v>4628</v>
      </c>
      <c r="F267" s="148" t="s">
        <v>4628</v>
      </c>
      <c r="G267" s="149" t="s">
        <v>4220</v>
      </c>
      <c r="H267" s="149" t="s">
        <v>4629</v>
      </c>
      <c r="I267" s="150">
        <v>214391.0</v>
      </c>
      <c r="J267" s="150" t="s">
        <v>1125</v>
      </c>
      <c r="K267" s="149" t="s">
        <v>1137</v>
      </c>
      <c r="L267" s="151">
        <v>1.0</v>
      </c>
      <c r="M267" s="27" t="s">
        <v>1137</v>
      </c>
      <c r="N267" s="152" t="s">
        <v>3981</v>
      </c>
      <c r="O267" s="148" t="s">
        <v>4517</v>
      </c>
      <c r="P267" s="76" t="s">
        <v>4522</v>
      </c>
      <c r="Q267" s="130" t="s">
        <v>4063</v>
      </c>
      <c r="R267" s="130" t="s">
        <v>4064</v>
      </c>
      <c r="S267" s="148" t="s">
        <v>4645</v>
      </c>
      <c r="T267" s="148" t="s">
        <v>4645</v>
      </c>
      <c r="U267" s="26" t="s">
        <v>1302</v>
      </c>
      <c r="V267" s="153" t="s">
        <v>4518</v>
      </c>
      <c r="W267" s="148" t="s">
        <v>4064</v>
      </c>
      <c r="X267" s="25" t="s">
        <v>3935</v>
      </c>
      <c r="Y267" s="154">
        <v>16.0</v>
      </c>
      <c r="Z267" s="154">
        <v>26.0</v>
      </c>
      <c r="AA267" s="63">
        <v>66.0</v>
      </c>
      <c r="AB267" s="154">
        <v>80.0</v>
      </c>
      <c r="AC267" s="32">
        <v>1.0</v>
      </c>
      <c r="AD267" s="148"/>
      <c r="AE267" s="148"/>
      <c r="AF267" s="137">
        <v>1.0</v>
      </c>
      <c r="AG267" s="33">
        <v>1.50990159008E12</v>
      </c>
      <c r="AH267" s="33" t="s">
        <v>2126</v>
      </c>
      <c r="AI267" s="47"/>
    </row>
    <row r="268" ht="38.25" hidden="1" customHeight="1">
      <c r="A268" s="32">
        <v>265.0</v>
      </c>
      <c r="B268" s="130" t="s">
        <v>2692</v>
      </c>
      <c r="C268" s="130" t="s">
        <v>4787</v>
      </c>
      <c r="D268" s="130" t="s">
        <v>4788</v>
      </c>
      <c r="E268" s="130" t="s">
        <v>4628</v>
      </c>
      <c r="F268" s="130" t="s">
        <v>4628</v>
      </c>
      <c r="G268" s="131" t="s">
        <v>4220</v>
      </c>
      <c r="H268" s="149" t="s">
        <v>4767</v>
      </c>
      <c r="I268" s="132">
        <v>109968.0</v>
      </c>
      <c r="J268" s="132" t="s">
        <v>1125</v>
      </c>
      <c r="K268" s="131" t="s">
        <v>1137</v>
      </c>
      <c r="L268" s="133">
        <v>1.0</v>
      </c>
      <c r="M268" s="27" t="s">
        <v>1137</v>
      </c>
      <c r="N268" s="155" t="s">
        <v>3981</v>
      </c>
      <c r="O268" s="130" t="s">
        <v>4517</v>
      </c>
      <c r="P268" s="130" t="s">
        <v>4789</v>
      </c>
      <c r="Q268" s="130" t="s">
        <v>4063</v>
      </c>
      <c r="R268" s="130" t="s">
        <v>4064</v>
      </c>
      <c r="S268" s="130" t="s">
        <v>4517</v>
      </c>
      <c r="T268" s="130" t="s">
        <v>4063</v>
      </c>
      <c r="U268" s="26" t="s">
        <v>1302</v>
      </c>
      <c r="V268" s="133" t="s">
        <v>4518</v>
      </c>
      <c r="W268" s="130" t="s">
        <v>4064</v>
      </c>
      <c r="X268" s="25" t="s">
        <v>3935</v>
      </c>
      <c r="Y268" s="146">
        <v>16.0</v>
      </c>
      <c r="Z268" s="146">
        <v>26.0</v>
      </c>
      <c r="AA268" s="147">
        <v>66.0</v>
      </c>
      <c r="AB268" s="146">
        <v>80.0</v>
      </c>
      <c r="AC268" s="32">
        <v>1.0</v>
      </c>
      <c r="AD268" s="130"/>
      <c r="AE268" s="130"/>
      <c r="AF268" s="137">
        <v>1.0</v>
      </c>
      <c r="AG268" s="37">
        <v>3.529900071395E12</v>
      </c>
      <c r="AH268" s="37" t="s">
        <v>3883</v>
      </c>
      <c r="AI268" s="62"/>
    </row>
    <row r="269" ht="38.25" hidden="1" customHeight="1">
      <c r="A269" s="25">
        <v>266.0</v>
      </c>
      <c r="B269" s="130" t="s">
        <v>1037</v>
      </c>
      <c r="C269" s="130" t="s">
        <v>4790</v>
      </c>
      <c r="D269" s="130" t="s">
        <v>4791</v>
      </c>
      <c r="E269" s="130" t="s">
        <v>4628</v>
      </c>
      <c r="F269" s="130" t="s">
        <v>4628</v>
      </c>
      <c r="G269" s="131" t="s">
        <v>4220</v>
      </c>
      <c r="H269" s="149" t="s">
        <v>4629</v>
      </c>
      <c r="I269" s="132">
        <v>159178.0</v>
      </c>
      <c r="J269" s="132" t="s">
        <v>1125</v>
      </c>
      <c r="K269" s="131" t="s">
        <v>1137</v>
      </c>
      <c r="L269" s="133">
        <v>1.0</v>
      </c>
      <c r="M269" s="27" t="s">
        <v>1137</v>
      </c>
      <c r="N269" s="134" t="s">
        <v>1174</v>
      </c>
      <c r="O269" s="130" t="s">
        <v>4517</v>
      </c>
      <c r="P269" s="130" t="s">
        <v>4792</v>
      </c>
      <c r="Q269" s="130" t="s">
        <v>4063</v>
      </c>
      <c r="R269" s="130" t="s">
        <v>4064</v>
      </c>
      <c r="S269" s="130" t="s">
        <v>4645</v>
      </c>
      <c r="T269" s="130" t="s">
        <v>4645</v>
      </c>
      <c r="U269" s="26" t="s">
        <v>1302</v>
      </c>
      <c r="V269" s="133" t="s">
        <v>46</v>
      </c>
      <c r="W269" s="130" t="s">
        <v>4064</v>
      </c>
      <c r="X269" s="25" t="s">
        <v>3935</v>
      </c>
      <c r="Y269" s="146">
        <v>16.0</v>
      </c>
      <c r="Z269" s="146">
        <v>26.0</v>
      </c>
      <c r="AA269" s="147">
        <v>66.0</v>
      </c>
      <c r="AB269" s="146">
        <v>80.0</v>
      </c>
      <c r="AC269" s="32">
        <v>1.0</v>
      </c>
      <c r="AD269" s="130"/>
      <c r="AE269" s="130"/>
      <c r="AF269" s="137">
        <v>1.0</v>
      </c>
      <c r="AG269" s="33">
        <v>1.505300026607E12</v>
      </c>
      <c r="AH269" s="33" t="s">
        <v>1924</v>
      </c>
      <c r="AI269" s="34" t="s">
        <v>4793</v>
      </c>
    </row>
    <row r="270" ht="38.25" customHeight="1">
      <c r="A270" s="25">
        <v>267.0</v>
      </c>
      <c r="B270" s="130" t="s">
        <v>2692</v>
      </c>
      <c r="C270" s="130" t="s">
        <v>4794</v>
      </c>
      <c r="D270" s="130" t="s">
        <v>4637</v>
      </c>
      <c r="E270" s="130" t="s">
        <v>4628</v>
      </c>
      <c r="F270" s="130" t="s">
        <v>4628</v>
      </c>
      <c r="G270" s="131" t="s">
        <v>4220</v>
      </c>
      <c r="H270" s="149" t="s">
        <v>4629</v>
      </c>
      <c r="I270" s="132">
        <v>214392.0</v>
      </c>
      <c r="J270" s="132" t="s">
        <v>1125</v>
      </c>
      <c r="K270" s="131" t="s">
        <v>1137</v>
      </c>
      <c r="L270" s="133">
        <v>1.0</v>
      </c>
      <c r="M270" s="27" t="s">
        <v>1137</v>
      </c>
      <c r="N270" s="155" t="s">
        <v>3981</v>
      </c>
      <c r="O270" s="130" t="s">
        <v>4517</v>
      </c>
      <c r="P270" s="76" t="s">
        <v>4522</v>
      </c>
      <c r="Q270" s="130" t="s">
        <v>4063</v>
      </c>
      <c r="R270" s="130" t="s">
        <v>4064</v>
      </c>
      <c r="S270" s="130" t="s">
        <v>4645</v>
      </c>
      <c r="T270" s="130" t="s">
        <v>4645</v>
      </c>
      <c r="U270" s="26" t="s">
        <v>1302</v>
      </c>
      <c r="V270" s="135" t="s">
        <v>4518</v>
      </c>
      <c r="W270" s="130" t="s">
        <v>4064</v>
      </c>
      <c r="X270" s="25" t="s">
        <v>3935</v>
      </c>
      <c r="Y270" s="146">
        <v>16.0</v>
      </c>
      <c r="Z270" s="146">
        <v>26.0</v>
      </c>
      <c r="AA270" s="147">
        <v>66.0</v>
      </c>
      <c r="AB270" s="146">
        <v>80.0</v>
      </c>
      <c r="AC270" s="32">
        <v>1.0</v>
      </c>
      <c r="AD270" s="130"/>
      <c r="AE270" s="130"/>
      <c r="AF270" s="137">
        <v>1.0</v>
      </c>
      <c r="AG270" s="37">
        <v>1.509901572341E12</v>
      </c>
      <c r="AH270" s="37" t="s">
        <v>2116</v>
      </c>
      <c r="AI270" s="44">
        <v>233303.0</v>
      </c>
    </row>
    <row r="271" ht="38.25" customHeight="1">
      <c r="A271" s="32">
        <v>268.0</v>
      </c>
      <c r="B271" s="130" t="s">
        <v>806</v>
      </c>
      <c r="C271" s="130" t="s">
        <v>4795</v>
      </c>
      <c r="D271" s="130" t="s">
        <v>4796</v>
      </c>
      <c r="E271" s="130" t="s">
        <v>4628</v>
      </c>
      <c r="F271" s="130" t="s">
        <v>4628</v>
      </c>
      <c r="G271" s="131" t="s">
        <v>4226</v>
      </c>
      <c r="H271" s="131" t="s">
        <v>4629</v>
      </c>
      <c r="I271" s="132">
        <v>93891.0</v>
      </c>
      <c r="J271" s="132" t="s">
        <v>1125</v>
      </c>
      <c r="K271" s="131" t="s">
        <v>1137</v>
      </c>
      <c r="L271" s="133">
        <v>1.0</v>
      </c>
      <c r="M271" s="27" t="s">
        <v>1137</v>
      </c>
      <c r="N271" s="134" t="s">
        <v>1174</v>
      </c>
      <c r="O271" s="130" t="s">
        <v>4517</v>
      </c>
      <c r="P271" s="76" t="s">
        <v>4522</v>
      </c>
      <c r="Q271" s="130" t="s">
        <v>4063</v>
      </c>
      <c r="R271" s="130" t="s">
        <v>4064</v>
      </c>
      <c r="S271" s="130" t="s">
        <v>4517</v>
      </c>
      <c r="T271" s="130" t="s">
        <v>4063</v>
      </c>
      <c r="U271" s="26" t="s">
        <v>1302</v>
      </c>
      <c r="V271" s="135" t="s">
        <v>4518</v>
      </c>
      <c r="W271" s="130" t="s">
        <v>4064</v>
      </c>
      <c r="X271" s="25" t="s">
        <v>3935</v>
      </c>
      <c r="Y271" s="146">
        <v>16.0</v>
      </c>
      <c r="Z271" s="146">
        <v>26.0</v>
      </c>
      <c r="AA271" s="147">
        <v>66.0</v>
      </c>
      <c r="AB271" s="146">
        <v>80.0</v>
      </c>
      <c r="AC271" s="32">
        <v>1.0</v>
      </c>
      <c r="AD271" s="130"/>
      <c r="AE271" s="130"/>
      <c r="AF271" s="137">
        <v>1.0</v>
      </c>
      <c r="AG271" s="37">
        <v>5.520390008636E12</v>
      </c>
      <c r="AH271" s="37" t="s">
        <v>3889</v>
      </c>
      <c r="AI271" s="44">
        <v>228685.0</v>
      </c>
    </row>
    <row r="272" ht="38.25" customHeight="1">
      <c r="A272" s="25">
        <v>269.0</v>
      </c>
      <c r="B272" s="130" t="s">
        <v>806</v>
      </c>
      <c r="C272" s="130" t="s">
        <v>4797</v>
      </c>
      <c r="D272" s="130" t="s">
        <v>4798</v>
      </c>
      <c r="E272" s="130" t="s">
        <v>4628</v>
      </c>
      <c r="F272" s="130" t="s">
        <v>4628</v>
      </c>
      <c r="G272" s="131" t="s">
        <v>4226</v>
      </c>
      <c r="H272" s="131" t="s">
        <v>4629</v>
      </c>
      <c r="I272" s="132">
        <v>159285.0</v>
      </c>
      <c r="J272" s="132" t="s">
        <v>1125</v>
      </c>
      <c r="K272" s="131" t="s">
        <v>1137</v>
      </c>
      <c r="L272" s="133">
        <v>1.0</v>
      </c>
      <c r="M272" s="27" t="s">
        <v>1137</v>
      </c>
      <c r="N272" s="134" t="s">
        <v>1174</v>
      </c>
      <c r="O272" s="130" t="s">
        <v>4517</v>
      </c>
      <c r="P272" s="76" t="s">
        <v>4522</v>
      </c>
      <c r="Q272" s="130" t="s">
        <v>4063</v>
      </c>
      <c r="R272" s="130" t="s">
        <v>4064</v>
      </c>
      <c r="S272" s="130" t="s">
        <v>4517</v>
      </c>
      <c r="T272" s="130" t="s">
        <v>4063</v>
      </c>
      <c r="U272" s="26" t="s">
        <v>1302</v>
      </c>
      <c r="V272" s="135" t="s">
        <v>4518</v>
      </c>
      <c r="W272" s="130" t="s">
        <v>4064</v>
      </c>
      <c r="X272" s="25" t="s">
        <v>3935</v>
      </c>
      <c r="Y272" s="146">
        <v>16.0</v>
      </c>
      <c r="Z272" s="146">
        <v>26.0</v>
      </c>
      <c r="AA272" s="147">
        <v>66.0</v>
      </c>
      <c r="AB272" s="146">
        <v>80.0</v>
      </c>
      <c r="AC272" s="32">
        <v>1.0</v>
      </c>
      <c r="AD272" s="130"/>
      <c r="AE272" s="130"/>
      <c r="AF272" s="137">
        <v>1.0</v>
      </c>
      <c r="AG272" s="33">
        <v>5.501400001427E12</v>
      </c>
      <c r="AH272" s="33" t="s">
        <v>3912</v>
      </c>
      <c r="AI272" s="40">
        <v>227063.0</v>
      </c>
    </row>
    <row r="273" ht="38.25" hidden="1" customHeight="1">
      <c r="A273" s="25">
        <v>270.0</v>
      </c>
      <c r="B273" s="130" t="s">
        <v>1037</v>
      </c>
      <c r="C273" s="130" t="s">
        <v>4799</v>
      </c>
      <c r="D273" s="130" t="s">
        <v>4800</v>
      </c>
      <c r="E273" s="130" t="s">
        <v>4628</v>
      </c>
      <c r="F273" s="130" t="s">
        <v>4628</v>
      </c>
      <c r="G273" s="131" t="s">
        <v>4249</v>
      </c>
      <c r="H273" s="131" t="s">
        <v>1110</v>
      </c>
      <c r="I273" s="132">
        <v>35600.0</v>
      </c>
      <c r="J273" s="132" t="s">
        <v>1125</v>
      </c>
      <c r="K273" s="131" t="s">
        <v>1137</v>
      </c>
      <c r="L273" s="133">
        <v>1.0</v>
      </c>
      <c r="M273" s="27" t="s">
        <v>1137</v>
      </c>
      <c r="N273" s="134" t="s">
        <v>1174</v>
      </c>
      <c r="O273" s="156" t="s">
        <v>4801</v>
      </c>
      <c r="P273" s="64" t="s">
        <v>4801</v>
      </c>
      <c r="Q273" s="156" t="s">
        <v>4801</v>
      </c>
      <c r="R273" s="156" t="s">
        <v>4802</v>
      </c>
      <c r="S273" s="130" t="s">
        <v>4517</v>
      </c>
      <c r="T273" s="130" t="s">
        <v>4063</v>
      </c>
      <c r="U273" s="26" t="s">
        <v>1302</v>
      </c>
      <c r="V273" s="135" t="s">
        <v>4518</v>
      </c>
      <c r="W273" s="130" t="s">
        <v>4064</v>
      </c>
      <c r="X273" s="25" t="s">
        <v>3935</v>
      </c>
      <c r="Y273" s="146">
        <v>16.0</v>
      </c>
      <c r="Z273" s="146">
        <v>26.0</v>
      </c>
      <c r="AA273" s="147">
        <v>66.0</v>
      </c>
      <c r="AB273" s="146">
        <v>80.0</v>
      </c>
      <c r="AC273" s="32">
        <v>1.0</v>
      </c>
      <c r="AD273" s="130"/>
      <c r="AE273" s="130"/>
      <c r="AF273" s="137">
        <v>1.0</v>
      </c>
      <c r="AG273" s="37">
        <v>1.659901906281E12</v>
      </c>
      <c r="AH273" s="37" t="s">
        <v>1666</v>
      </c>
      <c r="AI273" s="38" t="s">
        <v>4803</v>
      </c>
    </row>
    <row r="274" ht="38.25" customHeight="1">
      <c r="A274" s="32">
        <v>271.0</v>
      </c>
      <c r="B274" s="130" t="s">
        <v>2692</v>
      </c>
      <c r="C274" s="130" t="s">
        <v>4804</v>
      </c>
      <c r="D274" s="130" t="s">
        <v>4805</v>
      </c>
      <c r="E274" s="130" t="s">
        <v>4628</v>
      </c>
      <c r="F274" s="130" t="s">
        <v>4628</v>
      </c>
      <c r="G274" s="131" t="s">
        <v>4226</v>
      </c>
      <c r="H274" s="131" t="s">
        <v>4629</v>
      </c>
      <c r="I274" s="132">
        <v>166208.0</v>
      </c>
      <c r="J274" s="132" t="s">
        <v>1125</v>
      </c>
      <c r="K274" s="131" t="s">
        <v>1137</v>
      </c>
      <c r="L274" s="133">
        <v>1.0</v>
      </c>
      <c r="M274" s="27" t="s">
        <v>1137</v>
      </c>
      <c r="N274" s="134" t="s">
        <v>1174</v>
      </c>
      <c r="O274" s="130" t="s">
        <v>4517</v>
      </c>
      <c r="P274" s="130" t="s">
        <v>4522</v>
      </c>
      <c r="Q274" s="130" t="s">
        <v>4063</v>
      </c>
      <c r="R274" s="130" t="s">
        <v>4064</v>
      </c>
      <c r="S274" s="130" t="s">
        <v>4517</v>
      </c>
      <c r="T274" s="130" t="s">
        <v>4063</v>
      </c>
      <c r="U274" s="26" t="s">
        <v>1302</v>
      </c>
      <c r="V274" s="133" t="s">
        <v>4518</v>
      </c>
      <c r="W274" s="130" t="s">
        <v>4064</v>
      </c>
      <c r="X274" s="25" t="s">
        <v>3935</v>
      </c>
      <c r="Y274" s="146">
        <v>16.0</v>
      </c>
      <c r="Z274" s="146">
        <v>26.0</v>
      </c>
      <c r="AA274" s="147">
        <v>66.0</v>
      </c>
      <c r="AB274" s="146">
        <v>80.0</v>
      </c>
      <c r="AC274" s="32">
        <v>1.0</v>
      </c>
      <c r="AD274" s="130"/>
      <c r="AE274" s="130"/>
      <c r="AF274" s="137">
        <v>1.0</v>
      </c>
      <c r="AG274" s="37">
        <v>3.349900698365E12</v>
      </c>
      <c r="AH274" s="37" t="s">
        <v>3908</v>
      </c>
      <c r="AI274" s="38" t="s">
        <v>4806</v>
      </c>
    </row>
    <row r="275" ht="38.25" hidden="1" customHeight="1">
      <c r="A275" s="25">
        <v>272.0</v>
      </c>
      <c r="B275" s="76" t="s">
        <v>806</v>
      </c>
      <c r="C275" s="76" t="s">
        <v>4807</v>
      </c>
      <c r="D275" s="76" t="s">
        <v>4766</v>
      </c>
      <c r="E275" s="76" t="s">
        <v>4628</v>
      </c>
      <c r="F275" s="76" t="s">
        <v>4628</v>
      </c>
      <c r="G275" s="77" t="s">
        <v>4738</v>
      </c>
      <c r="H275" s="77" t="s">
        <v>4767</v>
      </c>
      <c r="I275" s="78">
        <v>62476.0</v>
      </c>
      <c r="J275" s="78" t="s">
        <v>1125</v>
      </c>
      <c r="K275" s="77" t="s">
        <v>1137</v>
      </c>
      <c r="L275" s="79">
        <v>1.0</v>
      </c>
      <c r="M275" s="27" t="s">
        <v>1137</v>
      </c>
      <c r="N275" s="80" t="s">
        <v>1174</v>
      </c>
      <c r="O275" s="76" t="str">
        <f>+AE275</f>
        <v>รองภารกิจด้านพัฒนาระบบบริการและสนับสนุนบริการสุขภาพ</v>
      </c>
      <c r="P275" s="76" t="str">
        <f>+Q275</f>
        <v>ภารกิจด้านพัฒนาระบบบริการและสนับสนุนบริการสุขภาพ</v>
      </c>
      <c r="Q275" s="120" t="s">
        <v>1616</v>
      </c>
      <c r="R275" s="113" t="s">
        <v>1616</v>
      </c>
      <c r="S275" s="76" t="str">
        <f>+T275</f>
        <v>กลุ่มงานเวชกรรมสังคม</v>
      </c>
      <c r="T275" s="76" t="s">
        <v>4063</v>
      </c>
      <c r="U275" s="26" t="s">
        <v>1302</v>
      </c>
      <c r="V275" s="157" t="s">
        <v>21</v>
      </c>
      <c r="W275" s="76" t="s">
        <v>4064</v>
      </c>
      <c r="X275" s="25" t="s">
        <v>3935</v>
      </c>
      <c r="Y275" s="81">
        <v>7.0</v>
      </c>
      <c r="Z275" s="81">
        <v>26.0</v>
      </c>
      <c r="AA275" s="81">
        <v>66.0</v>
      </c>
      <c r="AB275" s="81">
        <v>80.0</v>
      </c>
      <c r="AC275" s="32">
        <v>1.0</v>
      </c>
      <c r="AD275" s="76"/>
      <c r="AE275" s="76" t="s">
        <v>4808</v>
      </c>
      <c r="AF275" s="32">
        <v>1.0</v>
      </c>
      <c r="AG275" s="33">
        <v>3.50130014761E12</v>
      </c>
      <c r="AH275" s="33" t="s">
        <v>3899</v>
      </c>
      <c r="AI275" s="40">
        <v>226789.0</v>
      </c>
    </row>
    <row r="276" ht="38.25" hidden="1" customHeight="1">
      <c r="A276" s="32">
        <v>273.0</v>
      </c>
      <c r="B276" s="120" t="s">
        <v>2692</v>
      </c>
      <c r="C276" s="120" t="s">
        <v>4786</v>
      </c>
      <c r="D276" s="158" t="s">
        <v>4229</v>
      </c>
      <c r="E276" s="120" t="s">
        <v>4628</v>
      </c>
      <c r="F276" s="120" t="s">
        <v>4628</v>
      </c>
      <c r="G276" s="121" t="s">
        <v>4226</v>
      </c>
      <c r="H276" s="121" t="s">
        <v>4629</v>
      </c>
      <c r="I276" s="122">
        <v>159172.0</v>
      </c>
      <c r="J276" s="122" t="s">
        <v>1125</v>
      </c>
      <c r="K276" s="121" t="s">
        <v>1137</v>
      </c>
      <c r="L276" s="123">
        <v>1.0</v>
      </c>
      <c r="M276" s="27" t="s">
        <v>1137</v>
      </c>
      <c r="N276" s="159" t="s">
        <v>3981</v>
      </c>
      <c r="O276" s="120" t="s">
        <v>4809</v>
      </c>
      <c r="P276" s="160" t="s">
        <v>3972</v>
      </c>
      <c r="Q276" s="120" t="s">
        <v>3972</v>
      </c>
      <c r="R276" s="113" t="s">
        <v>3972</v>
      </c>
      <c r="S276" s="120" t="s">
        <v>4645</v>
      </c>
      <c r="T276" s="120" t="s">
        <v>4645</v>
      </c>
      <c r="U276" s="26" t="s">
        <v>1302</v>
      </c>
      <c r="V276" s="123">
        <v>1.0</v>
      </c>
      <c r="W276" s="120" t="s">
        <v>4064</v>
      </c>
      <c r="X276" s="25" t="s">
        <v>3935</v>
      </c>
      <c r="Y276" s="127">
        <v>12.0</v>
      </c>
      <c r="Z276" s="127">
        <v>12.0</v>
      </c>
      <c r="AA276" s="127">
        <v>66.0</v>
      </c>
      <c r="AB276" s="127">
        <v>80.0</v>
      </c>
      <c r="AC276" s="32">
        <v>1.0</v>
      </c>
      <c r="AD276" s="120"/>
      <c r="AE276" s="161" t="s">
        <v>4810</v>
      </c>
      <c r="AF276" s="162">
        <v>1.0</v>
      </c>
      <c r="AG276" s="37">
        <v>3.500700530312E12</v>
      </c>
      <c r="AH276" s="37" t="s">
        <v>3894</v>
      </c>
      <c r="AI276" s="38" t="s">
        <v>4811</v>
      </c>
    </row>
    <row r="277" ht="38.25" hidden="1" customHeight="1">
      <c r="A277" s="25">
        <v>274.0</v>
      </c>
      <c r="B277" s="130"/>
      <c r="C277" s="130"/>
      <c r="D277" s="130"/>
      <c r="E277" s="130" t="s">
        <v>4628</v>
      </c>
      <c r="F277" s="130" t="s">
        <v>4628</v>
      </c>
      <c r="G277" s="131" t="s">
        <v>1110</v>
      </c>
      <c r="H277" s="77" t="s">
        <v>1110</v>
      </c>
      <c r="I277" s="163" t="s">
        <v>4812</v>
      </c>
      <c r="J277" s="132" t="s">
        <v>3949</v>
      </c>
      <c r="K277" s="131" t="s">
        <v>1137</v>
      </c>
      <c r="L277" s="133">
        <v>1.0</v>
      </c>
      <c r="M277" s="27" t="s">
        <v>1137</v>
      </c>
      <c r="N277" s="134" t="s">
        <v>1174</v>
      </c>
      <c r="O277" s="130" t="str">
        <f>+T277</f>
        <v>กลุ่มงานผู้ป่วยนอก</v>
      </c>
      <c r="P277" s="130" t="s">
        <v>4645</v>
      </c>
      <c r="Q277" s="130" t="str">
        <f t="shared" ref="Q277:Q278" si="78">+T277</f>
        <v>กลุ่มงานผู้ป่วยนอก</v>
      </c>
      <c r="R277" s="130" t="s">
        <v>4064</v>
      </c>
      <c r="S277" s="130" t="s">
        <v>4645</v>
      </c>
      <c r="T277" s="130" t="s">
        <v>4645</v>
      </c>
      <c r="U277" s="76" t="s">
        <v>1302</v>
      </c>
      <c r="V277" s="133" t="s">
        <v>46</v>
      </c>
      <c r="W277" s="130" t="s">
        <v>4064</v>
      </c>
      <c r="X277" s="79" t="s">
        <v>3935</v>
      </c>
      <c r="Y277" s="146">
        <v>12.0</v>
      </c>
      <c r="Z277" s="146">
        <v>12.0</v>
      </c>
      <c r="AA277" s="147">
        <v>66.0</v>
      </c>
      <c r="AB277" s="146">
        <v>80.0</v>
      </c>
      <c r="AC277" s="32">
        <v>0.0</v>
      </c>
      <c r="AD277" s="130" t="s">
        <v>4155</v>
      </c>
      <c r="AE277" s="130"/>
      <c r="AF277" s="137">
        <v>1.0</v>
      </c>
      <c r="AG277" s="65"/>
      <c r="AH277" s="65"/>
      <c r="AI277" s="66"/>
    </row>
    <row r="278" ht="38.25" hidden="1" customHeight="1">
      <c r="A278" s="25">
        <v>275.0</v>
      </c>
      <c r="B278" s="76"/>
      <c r="C278" s="76"/>
      <c r="D278" s="76"/>
      <c r="E278" s="76" t="s">
        <v>4813</v>
      </c>
      <c r="F278" s="76" t="s">
        <v>4813</v>
      </c>
      <c r="G278" s="77" t="s">
        <v>4249</v>
      </c>
      <c r="H278" s="77" t="s">
        <v>1110</v>
      </c>
      <c r="I278" s="78">
        <v>81119.0</v>
      </c>
      <c r="J278" s="78" t="s">
        <v>1125</v>
      </c>
      <c r="K278" s="77" t="s">
        <v>1137</v>
      </c>
      <c r="L278" s="79">
        <v>1.0</v>
      </c>
      <c r="M278" s="27" t="s">
        <v>1137</v>
      </c>
      <c r="N278" s="80" t="s">
        <v>1174</v>
      </c>
      <c r="O278" s="76" t="s">
        <v>4814</v>
      </c>
      <c r="P278" s="26" t="s">
        <v>4815</v>
      </c>
      <c r="Q278" s="76" t="str">
        <f t="shared" si="78"/>
        <v>กลุ่มงานบริหารทั่วไป</v>
      </c>
      <c r="R278" s="76" t="str">
        <f>+W278</f>
        <v>ภารกิจด้านอำนวยการ</v>
      </c>
      <c r="S278" s="76" t="str">
        <f>+T278</f>
        <v>กลุ่มงานบริหารทั่วไป</v>
      </c>
      <c r="T278" s="76" t="s">
        <v>3992</v>
      </c>
      <c r="U278" s="26" t="s">
        <v>1302</v>
      </c>
      <c r="V278" s="79" t="s">
        <v>46</v>
      </c>
      <c r="W278" s="76" t="s">
        <v>1323</v>
      </c>
      <c r="X278" s="25" t="s">
        <v>46</v>
      </c>
      <c r="Y278" s="81">
        <v>1.0</v>
      </c>
      <c r="Z278" s="81">
        <v>15.0</v>
      </c>
      <c r="AA278" s="81">
        <v>85.0</v>
      </c>
      <c r="AB278" s="81">
        <v>1.0</v>
      </c>
      <c r="AC278" s="32">
        <v>0.0</v>
      </c>
      <c r="AD278" s="76" t="s">
        <v>4155</v>
      </c>
      <c r="AE278" s="76"/>
      <c r="AF278" s="32">
        <v>32.0</v>
      </c>
      <c r="AG278" s="65"/>
      <c r="AH278" s="65"/>
      <c r="AI278" s="66"/>
    </row>
    <row r="279" ht="38.25" customHeight="1">
      <c r="A279" s="32">
        <v>276.0</v>
      </c>
      <c r="B279" s="76" t="s">
        <v>1037</v>
      </c>
      <c r="C279" s="76" t="s">
        <v>4816</v>
      </c>
      <c r="D279" s="76" t="s">
        <v>4817</v>
      </c>
      <c r="E279" s="76" t="s">
        <v>4818</v>
      </c>
      <c r="F279" s="76" t="s">
        <v>4818</v>
      </c>
      <c r="G279" s="77" t="s">
        <v>1110</v>
      </c>
      <c r="H279" s="77" t="s">
        <v>1110</v>
      </c>
      <c r="I279" s="78" t="s">
        <v>4819</v>
      </c>
      <c r="J279" s="78" t="s">
        <v>3963</v>
      </c>
      <c r="K279" s="77" t="s">
        <v>4214</v>
      </c>
      <c r="L279" s="79">
        <v>2.0</v>
      </c>
      <c r="M279" s="27" t="s">
        <v>1137</v>
      </c>
      <c r="N279" s="80" t="s">
        <v>1174</v>
      </c>
      <c r="O279" s="76"/>
      <c r="P279" s="26" t="s">
        <v>4522</v>
      </c>
      <c r="Q279" s="76" t="s">
        <v>4063</v>
      </c>
      <c r="R279" s="76" t="s">
        <v>4064</v>
      </c>
      <c r="S279" s="76" t="s">
        <v>4517</v>
      </c>
      <c r="T279" s="76" t="s">
        <v>4063</v>
      </c>
      <c r="U279" s="26" t="s">
        <v>1302</v>
      </c>
      <c r="V279" s="157" t="s">
        <v>4518</v>
      </c>
      <c r="W279" s="76" t="s">
        <v>4064</v>
      </c>
      <c r="X279" s="25" t="s">
        <v>3935</v>
      </c>
      <c r="Y279" s="81">
        <v>5.0</v>
      </c>
      <c r="Z279" s="81">
        <v>8.0</v>
      </c>
      <c r="AA279" s="147">
        <v>18.0</v>
      </c>
      <c r="AB279" s="81">
        <v>160.0</v>
      </c>
      <c r="AC279" s="32">
        <v>1.0</v>
      </c>
      <c r="AD279" s="76"/>
      <c r="AE279" s="76"/>
      <c r="AF279" s="32">
        <v>47.0</v>
      </c>
      <c r="AG279" s="37">
        <v>1.398800021854E12</v>
      </c>
      <c r="AH279" s="37" t="s">
        <v>219</v>
      </c>
      <c r="AI279" s="38" t="s">
        <v>4820</v>
      </c>
    </row>
    <row r="280" ht="38.25" customHeight="1">
      <c r="A280" s="25">
        <v>277.0</v>
      </c>
      <c r="B280" s="76" t="s">
        <v>1037</v>
      </c>
      <c r="C280" s="76" t="s">
        <v>4821</v>
      </c>
      <c r="D280" s="76" t="s">
        <v>4822</v>
      </c>
      <c r="E280" s="76" t="s">
        <v>4818</v>
      </c>
      <c r="F280" s="76" t="str">
        <f t="shared" ref="F280:F281" si="79">+E280</f>
        <v>ผู้ช่วยเจ้าหน้าที่อนามัย</v>
      </c>
      <c r="G280" s="77" t="s">
        <v>1110</v>
      </c>
      <c r="H280" s="77" t="s">
        <v>1110</v>
      </c>
      <c r="I280" s="164" t="s">
        <v>4823</v>
      </c>
      <c r="J280" s="78" t="s">
        <v>3949</v>
      </c>
      <c r="K280" s="77" t="s">
        <v>4214</v>
      </c>
      <c r="L280" s="79">
        <v>2.0</v>
      </c>
      <c r="M280" s="27" t="s">
        <v>1137</v>
      </c>
      <c r="N280" s="80" t="s">
        <v>1174</v>
      </c>
      <c r="O280" s="76"/>
      <c r="P280" s="26" t="s">
        <v>4522</v>
      </c>
      <c r="Q280" s="76" t="s">
        <v>4063</v>
      </c>
      <c r="R280" s="76" t="s">
        <v>4064</v>
      </c>
      <c r="S280" s="76" t="s">
        <v>4517</v>
      </c>
      <c r="T280" s="76" t="s">
        <v>4063</v>
      </c>
      <c r="U280" s="26" t="s">
        <v>1302</v>
      </c>
      <c r="V280" s="79" t="s">
        <v>4515</v>
      </c>
      <c r="W280" s="76" t="s">
        <v>4064</v>
      </c>
      <c r="X280" s="25" t="s">
        <v>3935</v>
      </c>
      <c r="Y280" s="81">
        <v>1.0</v>
      </c>
      <c r="Z280" s="81">
        <v>8.0</v>
      </c>
      <c r="AA280" s="147">
        <v>18.0</v>
      </c>
      <c r="AB280" s="81">
        <v>160.0</v>
      </c>
      <c r="AC280" s="32">
        <v>1.0</v>
      </c>
      <c r="AD280" s="76"/>
      <c r="AE280" s="76"/>
      <c r="AF280" s="32">
        <v>47.0</v>
      </c>
      <c r="AG280" s="33">
        <v>1.509966222221E12</v>
      </c>
      <c r="AH280" s="33" t="s">
        <v>848</v>
      </c>
      <c r="AI280" s="34" t="s">
        <v>4824</v>
      </c>
    </row>
    <row r="281" ht="38.25" customHeight="1">
      <c r="A281" s="25">
        <v>278.0</v>
      </c>
      <c r="B281" s="76" t="s">
        <v>1037</v>
      </c>
      <c r="C281" s="76" t="s">
        <v>4825</v>
      </c>
      <c r="D281" s="76" t="s">
        <v>4826</v>
      </c>
      <c r="E281" s="76" t="s">
        <v>4818</v>
      </c>
      <c r="F281" s="76" t="str">
        <f t="shared" si="79"/>
        <v>ผู้ช่วยเจ้าหน้าที่อนามัย</v>
      </c>
      <c r="G281" s="77" t="s">
        <v>1110</v>
      </c>
      <c r="H281" s="77" t="s">
        <v>1110</v>
      </c>
      <c r="I281" s="78">
        <v>4363.0</v>
      </c>
      <c r="J281" s="78" t="s">
        <v>1535</v>
      </c>
      <c r="K281" s="77" t="s">
        <v>4214</v>
      </c>
      <c r="L281" s="79">
        <v>2.0</v>
      </c>
      <c r="M281" s="27" t="s">
        <v>1137</v>
      </c>
      <c r="N281" s="80" t="s">
        <v>1174</v>
      </c>
      <c r="O281" s="76"/>
      <c r="P281" s="76" t="s">
        <v>4522</v>
      </c>
      <c r="Q281" s="76" t="s">
        <v>4063</v>
      </c>
      <c r="R281" s="76" t="s">
        <v>4064</v>
      </c>
      <c r="S281" s="76" t="s">
        <v>4517</v>
      </c>
      <c r="T281" s="76" t="s">
        <v>4063</v>
      </c>
      <c r="U281" s="26" t="s">
        <v>1302</v>
      </c>
      <c r="V281" s="79" t="s">
        <v>4515</v>
      </c>
      <c r="W281" s="76" t="s">
        <v>4064</v>
      </c>
      <c r="X281" s="25" t="s">
        <v>3935</v>
      </c>
      <c r="Y281" s="81">
        <v>1.0</v>
      </c>
      <c r="Z281" s="81">
        <v>8.0</v>
      </c>
      <c r="AA281" s="147">
        <v>18.0</v>
      </c>
      <c r="AB281" s="81">
        <v>160.0</v>
      </c>
      <c r="AC281" s="32">
        <v>1.0</v>
      </c>
      <c r="AD281" s="76"/>
      <c r="AE281" s="76"/>
      <c r="AF281" s="32">
        <v>47.0</v>
      </c>
      <c r="AG281" s="37">
        <v>1.509966179571E12</v>
      </c>
      <c r="AH281" s="37" t="s">
        <v>1461</v>
      </c>
      <c r="AI281" s="44">
        <v>232667.0</v>
      </c>
    </row>
    <row r="282" ht="38.25" hidden="1" customHeight="1">
      <c r="A282" s="32">
        <v>279.0</v>
      </c>
      <c r="B282" s="26"/>
      <c r="C282" s="26"/>
      <c r="D282" s="26"/>
      <c r="E282" s="26" t="s">
        <v>4827</v>
      </c>
      <c r="F282" s="26" t="s">
        <v>4827</v>
      </c>
      <c r="G282" s="27" t="s">
        <v>1110</v>
      </c>
      <c r="H282" s="27" t="s">
        <v>1110</v>
      </c>
      <c r="I282" s="28" t="s">
        <v>4828</v>
      </c>
      <c r="J282" s="29" t="s">
        <v>3949</v>
      </c>
      <c r="K282" s="27" t="s">
        <v>4214</v>
      </c>
      <c r="L282" s="25">
        <v>2.0</v>
      </c>
      <c r="M282" s="27" t="s">
        <v>1137</v>
      </c>
      <c r="N282" s="30" t="s">
        <v>1174</v>
      </c>
      <c r="O282" s="26" t="s">
        <v>4095</v>
      </c>
      <c r="P282" s="26" t="str">
        <f t="shared" ref="P282:P287" si="80">+O282</f>
        <v>กลุ่มงานทันตกรรม</v>
      </c>
      <c r="Q282" s="76" t="s">
        <v>4095</v>
      </c>
      <c r="R282" s="76" t="str">
        <f t="shared" ref="R282:R290" si="81">+W282</f>
        <v>ภารกิจด้านบริการทุติยภูมิและตติยภูมิ</v>
      </c>
      <c r="S282" s="26" t="str">
        <f t="shared" ref="S282:S335" si="82">+T282</f>
        <v>กลุ่มงานทันตกรรม</v>
      </c>
      <c r="T282" s="26" t="s">
        <v>4095</v>
      </c>
      <c r="U282" s="26" t="s">
        <v>1302</v>
      </c>
      <c r="V282" s="25">
        <v>14.0</v>
      </c>
      <c r="W282" s="26" t="s">
        <v>4054</v>
      </c>
      <c r="X282" s="25" t="s">
        <v>3978</v>
      </c>
      <c r="Y282" s="31">
        <v>6.0</v>
      </c>
      <c r="Z282" s="31">
        <v>12.0</v>
      </c>
      <c r="AA282" s="31">
        <v>50.0</v>
      </c>
      <c r="AB282" s="31">
        <v>160.0</v>
      </c>
      <c r="AC282" s="32">
        <v>1.0</v>
      </c>
      <c r="AD282" s="26"/>
      <c r="AE282" s="26"/>
      <c r="AF282" s="32">
        <v>47.0</v>
      </c>
      <c r="AG282" s="33">
        <v>1.501201146317E12</v>
      </c>
      <c r="AH282" s="33" t="s">
        <v>1435</v>
      </c>
      <c r="AI282" s="34" t="s">
        <v>4829</v>
      </c>
    </row>
    <row r="283" ht="38.25" hidden="1" customHeight="1">
      <c r="A283" s="25">
        <v>280.0</v>
      </c>
      <c r="B283" s="76" t="s">
        <v>2692</v>
      </c>
      <c r="C283" s="76" t="s">
        <v>1438</v>
      </c>
      <c r="D283" s="76" t="s">
        <v>4830</v>
      </c>
      <c r="E283" s="76" t="s">
        <v>4827</v>
      </c>
      <c r="F283" s="76" t="s">
        <v>4827</v>
      </c>
      <c r="G283" s="77" t="s">
        <v>1110</v>
      </c>
      <c r="H283" s="77" t="s">
        <v>1110</v>
      </c>
      <c r="I283" s="164" t="s">
        <v>4831</v>
      </c>
      <c r="J283" s="78" t="s">
        <v>3949</v>
      </c>
      <c r="K283" s="77" t="s">
        <v>4214</v>
      </c>
      <c r="L283" s="79">
        <v>2.0</v>
      </c>
      <c r="M283" s="27" t="s">
        <v>1137</v>
      </c>
      <c r="N283" s="80" t="s">
        <v>1174</v>
      </c>
      <c r="O283" s="76" t="s">
        <v>4095</v>
      </c>
      <c r="P283" s="76" t="str">
        <f t="shared" si="80"/>
        <v>กลุ่มงานทันตกรรม</v>
      </c>
      <c r="Q283" s="76" t="s">
        <v>4095</v>
      </c>
      <c r="R283" s="76" t="str">
        <f t="shared" si="81"/>
        <v>ภารกิจด้านบริการทุติยภูมิและตติยภูมิ</v>
      </c>
      <c r="S283" s="76" t="str">
        <f t="shared" si="82"/>
        <v>กลุ่มงานทันตกรรม</v>
      </c>
      <c r="T283" s="76" t="s">
        <v>4095</v>
      </c>
      <c r="U283" s="26" t="s">
        <v>1302</v>
      </c>
      <c r="V283" s="79">
        <v>14.0</v>
      </c>
      <c r="W283" s="76" t="s">
        <v>4054</v>
      </c>
      <c r="X283" s="25" t="s">
        <v>3978</v>
      </c>
      <c r="Y283" s="81">
        <v>6.0</v>
      </c>
      <c r="Z283" s="81">
        <v>12.0</v>
      </c>
      <c r="AA283" s="81">
        <v>50.0</v>
      </c>
      <c r="AB283" s="81">
        <v>160.0</v>
      </c>
      <c r="AC283" s="32">
        <v>1.0</v>
      </c>
      <c r="AD283" s="76"/>
      <c r="AE283" s="76"/>
      <c r="AF283" s="32">
        <v>47.0</v>
      </c>
      <c r="AG283" s="37">
        <v>1.550500156453E12</v>
      </c>
      <c r="AH283" s="37" t="s">
        <v>1440</v>
      </c>
      <c r="AI283" s="38" t="s">
        <v>4832</v>
      </c>
    </row>
    <row r="284" ht="38.25" hidden="1" customHeight="1">
      <c r="A284" s="25">
        <v>281.0</v>
      </c>
      <c r="B284" s="26" t="s">
        <v>2692</v>
      </c>
      <c r="C284" s="26" t="s">
        <v>4833</v>
      </c>
      <c r="D284" s="26" t="s">
        <v>4834</v>
      </c>
      <c r="E284" s="26" t="s">
        <v>4827</v>
      </c>
      <c r="F284" s="26" t="s">
        <v>4827</v>
      </c>
      <c r="G284" s="27" t="s">
        <v>1110</v>
      </c>
      <c r="H284" s="27" t="s">
        <v>1110</v>
      </c>
      <c r="I284" s="28" t="s">
        <v>4835</v>
      </c>
      <c r="J284" s="29" t="s">
        <v>3949</v>
      </c>
      <c r="K284" s="27" t="s">
        <v>4214</v>
      </c>
      <c r="L284" s="25">
        <v>2.0</v>
      </c>
      <c r="M284" s="27" t="s">
        <v>1137</v>
      </c>
      <c r="N284" s="30" t="s">
        <v>1174</v>
      </c>
      <c r="O284" s="26" t="s">
        <v>4095</v>
      </c>
      <c r="P284" s="26" t="str">
        <f t="shared" si="80"/>
        <v>กลุ่มงานทันตกรรม</v>
      </c>
      <c r="Q284" s="26" t="s">
        <v>4095</v>
      </c>
      <c r="R284" s="26" t="str">
        <f t="shared" si="81"/>
        <v>ภารกิจด้านบริการทุติยภูมิและตติยภูมิ</v>
      </c>
      <c r="S284" s="26" t="str">
        <f t="shared" si="82"/>
        <v>กลุ่มงานทันตกรรม</v>
      </c>
      <c r="T284" s="26" t="s">
        <v>4095</v>
      </c>
      <c r="U284" s="26" t="s">
        <v>1302</v>
      </c>
      <c r="V284" s="25">
        <v>14.0</v>
      </c>
      <c r="W284" s="26" t="s">
        <v>4054</v>
      </c>
      <c r="X284" s="25" t="s">
        <v>3978</v>
      </c>
      <c r="Y284" s="31">
        <v>6.0</v>
      </c>
      <c r="Z284" s="31">
        <v>12.0</v>
      </c>
      <c r="AA284" s="31">
        <v>50.0</v>
      </c>
      <c r="AB284" s="31">
        <v>160.0</v>
      </c>
      <c r="AC284" s="32">
        <v>1.0</v>
      </c>
      <c r="AD284" s="26"/>
      <c r="AE284" s="26"/>
      <c r="AF284" s="32">
        <v>47.0</v>
      </c>
      <c r="AG284" s="33">
        <v>1.501601148252E12</v>
      </c>
      <c r="AH284" s="33" t="s">
        <v>1430</v>
      </c>
      <c r="AI284" s="47"/>
    </row>
    <row r="285" ht="38.25" hidden="1" customHeight="1">
      <c r="A285" s="25">
        <v>282.0</v>
      </c>
      <c r="B285" s="26" t="s">
        <v>1037</v>
      </c>
      <c r="C285" s="26" t="s">
        <v>4836</v>
      </c>
      <c r="D285" s="26" t="s">
        <v>4837</v>
      </c>
      <c r="E285" s="26" t="s">
        <v>4827</v>
      </c>
      <c r="F285" s="26" t="s">
        <v>4827</v>
      </c>
      <c r="G285" s="27" t="s">
        <v>1110</v>
      </c>
      <c r="H285" s="27" t="s">
        <v>1110</v>
      </c>
      <c r="I285" s="29">
        <v>4380.0</v>
      </c>
      <c r="J285" s="29" t="s">
        <v>1535</v>
      </c>
      <c r="K285" s="27" t="s">
        <v>4214</v>
      </c>
      <c r="L285" s="25">
        <v>2.0</v>
      </c>
      <c r="M285" s="27" t="s">
        <v>1137</v>
      </c>
      <c r="N285" s="30" t="s">
        <v>1174</v>
      </c>
      <c r="O285" s="26" t="s">
        <v>4095</v>
      </c>
      <c r="P285" s="26" t="str">
        <f t="shared" si="80"/>
        <v>กลุ่มงานทันตกรรม</v>
      </c>
      <c r="Q285" s="26" t="s">
        <v>4095</v>
      </c>
      <c r="R285" s="26" t="str">
        <f t="shared" si="81"/>
        <v>ภารกิจด้านบริการทุติยภูมิและตติยภูมิ</v>
      </c>
      <c r="S285" s="26" t="str">
        <f t="shared" si="82"/>
        <v>กลุ่มงานทันตกรรม</v>
      </c>
      <c r="T285" s="26" t="s">
        <v>4095</v>
      </c>
      <c r="U285" s="26" t="s">
        <v>1302</v>
      </c>
      <c r="V285" s="25">
        <v>14.0</v>
      </c>
      <c r="W285" s="26" t="s">
        <v>4054</v>
      </c>
      <c r="X285" s="25" t="s">
        <v>3978</v>
      </c>
      <c r="Y285" s="31">
        <v>6.0</v>
      </c>
      <c r="Z285" s="31">
        <v>12.0</v>
      </c>
      <c r="AA285" s="31">
        <v>50.0</v>
      </c>
      <c r="AB285" s="31">
        <v>160.0</v>
      </c>
      <c r="AC285" s="32">
        <v>1.0</v>
      </c>
      <c r="AD285" s="26"/>
      <c r="AE285" s="26"/>
      <c r="AF285" s="32">
        <v>47.0</v>
      </c>
      <c r="AG285" s="37">
        <v>3.501400560896E12</v>
      </c>
      <c r="AH285" s="37" t="s">
        <v>3271</v>
      </c>
      <c r="AI285" s="38" t="s">
        <v>4838</v>
      </c>
    </row>
    <row r="286" ht="38.25" hidden="1" customHeight="1">
      <c r="A286" s="32">
        <v>283.0</v>
      </c>
      <c r="B286" s="26" t="s">
        <v>1037</v>
      </c>
      <c r="C286" s="26" t="s">
        <v>4839</v>
      </c>
      <c r="D286" s="26" t="s">
        <v>4840</v>
      </c>
      <c r="E286" s="26" t="s">
        <v>4827</v>
      </c>
      <c r="F286" s="26" t="s">
        <v>4827</v>
      </c>
      <c r="G286" s="27" t="s">
        <v>1110</v>
      </c>
      <c r="H286" s="27" t="s">
        <v>1110</v>
      </c>
      <c r="I286" s="29">
        <v>4379.0</v>
      </c>
      <c r="J286" s="29" t="s">
        <v>1535</v>
      </c>
      <c r="K286" s="27" t="s">
        <v>4214</v>
      </c>
      <c r="L286" s="25">
        <v>2.0</v>
      </c>
      <c r="M286" s="27" t="s">
        <v>1137</v>
      </c>
      <c r="N286" s="30" t="s">
        <v>1174</v>
      </c>
      <c r="O286" s="26" t="s">
        <v>4095</v>
      </c>
      <c r="P286" s="26" t="str">
        <f t="shared" si="80"/>
        <v>กลุ่มงานทันตกรรม</v>
      </c>
      <c r="Q286" s="26" t="s">
        <v>4095</v>
      </c>
      <c r="R286" s="26" t="str">
        <f t="shared" si="81"/>
        <v>ภารกิจด้านบริการทุติยภูมิและตติยภูมิ</v>
      </c>
      <c r="S286" s="26" t="str">
        <f t="shared" si="82"/>
        <v>กลุ่มงานทันตกรรม</v>
      </c>
      <c r="T286" s="26" t="s">
        <v>4095</v>
      </c>
      <c r="U286" s="26" t="s">
        <v>1302</v>
      </c>
      <c r="V286" s="25">
        <v>14.0</v>
      </c>
      <c r="W286" s="26" t="s">
        <v>4054</v>
      </c>
      <c r="X286" s="25" t="s">
        <v>3978</v>
      </c>
      <c r="Y286" s="31">
        <v>6.0</v>
      </c>
      <c r="Z286" s="31">
        <v>12.0</v>
      </c>
      <c r="AA286" s="31">
        <v>50.0</v>
      </c>
      <c r="AB286" s="31">
        <v>160.0</v>
      </c>
      <c r="AC286" s="32">
        <v>1.0</v>
      </c>
      <c r="AD286" s="26"/>
      <c r="AE286" s="26"/>
      <c r="AF286" s="32">
        <v>47.0</v>
      </c>
      <c r="AG286" s="33">
        <v>1.509901390587E12</v>
      </c>
      <c r="AH286" s="33" t="s">
        <v>3157</v>
      </c>
      <c r="AI286" s="60">
        <v>232581.0</v>
      </c>
    </row>
    <row r="287" ht="38.25" hidden="1" customHeight="1">
      <c r="A287" s="25">
        <v>284.0</v>
      </c>
      <c r="B287" s="26" t="s">
        <v>1037</v>
      </c>
      <c r="C287" s="26" t="s">
        <v>4841</v>
      </c>
      <c r="D287" s="26" t="s">
        <v>4842</v>
      </c>
      <c r="E287" s="26" t="s">
        <v>4827</v>
      </c>
      <c r="F287" s="26" t="s">
        <v>4827</v>
      </c>
      <c r="G287" s="27" t="s">
        <v>1110</v>
      </c>
      <c r="H287" s="27" t="s">
        <v>1110</v>
      </c>
      <c r="I287" s="29">
        <v>4381.0</v>
      </c>
      <c r="J287" s="29" t="s">
        <v>1535</v>
      </c>
      <c r="K287" s="27" t="s">
        <v>4214</v>
      </c>
      <c r="L287" s="25">
        <v>2.0</v>
      </c>
      <c r="M287" s="27" t="s">
        <v>1137</v>
      </c>
      <c r="N287" s="30" t="s">
        <v>1174</v>
      </c>
      <c r="O287" s="26" t="s">
        <v>4095</v>
      </c>
      <c r="P287" s="26" t="str">
        <f t="shared" si="80"/>
        <v>กลุ่มงานทันตกรรม</v>
      </c>
      <c r="Q287" s="26" t="s">
        <v>4095</v>
      </c>
      <c r="R287" s="26" t="str">
        <f t="shared" si="81"/>
        <v>ภารกิจด้านบริการทุติยภูมิและตติยภูมิ</v>
      </c>
      <c r="S287" s="26" t="str">
        <f t="shared" si="82"/>
        <v>กลุ่มงานทันตกรรม</v>
      </c>
      <c r="T287" s="26" t="s">
        <v>4095</v>
      </c>
      <c r="U287" s="26" t="s">
        <v>1302</v>
      </c>
      <c r="V287" s="25">
        <v>14.0</v>
      </c>
      <c r="W287" s="26" t="s">
        <v>4054</v>
      </c>
      <c r="X287" s="25" t="s">
        <v>3978</v>
      </c>
      <c r="Y287" s="31">
        <v>6.0</v>
      </c>
      <c r="Z287" s="31">
        <v>12.0</v>
      </c>
      <c r="AA287" s="31">
        <v>50.0</v>
      </c>
      <c r="AB287" s="31">
        <v>160.0</v>
      </c>
      <c r="AC287" s="32">
        <v>1.0</v>
      </c>
      <c r="AD287" s="26"/>
      <c r="AE287" s="26"/>
      <c r="AF287" s="32">
        <v>47.0</v>
      </c>
      <c r="AG287" s="37">
        <v>1.501100082143E12</v>
      </c>
      <c r="AH287" s="37" t="s">
        <v>2514</v>
      </c>
      <c r="AI287" s="38" t="s">
        <v>4843</v>
      </c>
    </row>
    <row r="288" ht="38.25" hidden="1" customHeight="1">
      <c r="A288" s="25">
        <v>285.0</v>
      </c>
      <c r="B288" s="26" t="s">
        <v>1037</v>
      </c>
      <c r="C288" s="26" t="s">
        <v>4844</v>
      </c>
      <c r="D288" s="26" t="s">
        <v>4845</v>
      </c>
      <c r="E288" s="26" t="s">
        <v>4846</v>
      </c>
      <c r="F288" s="26" t="s">
        <v>4846</v>
      </c>
      <c r="G288" s="27" t="s">
        <v>1110</v>
      </c>
      <c r="H288" s="27" t="s">
        <v>1110</v>
      </c>
      <c r="I288" s="29" t="s">
        <v>4847</v>
      </c>
      <c r="J288" s="29" t="s">
        <v>3963</v>
      </c>
      <c r="K288" s="27" t="s">
        <v>4214</v>
      </c>
      <c r="L288" s="25">
        <v>2.0</v>
      </c>
      <c r="M288" s="27" t="s">
        <v>1137</v>
      </c>
      <c r="N288" s="30" t="s">
        <v>1174</v>
      </c>
      <c r="O288" s="26" t="str">
        <f t="shared" ref="O288:O290" si="83">+T288</f>
        <v>กลุ่มงานเวชกรรมฟื้นฟู</v>
      </c>
      <c r="P288" s="26" t="s">
        <v>4199</v>
      </c>
      <c r="Q288" s="26" t="str">
        <f t="shared" ref="Q288:Q290" si="84">+T288</f>
        <v>กลุ่มงานเวชกรรมฟื้นฟู</v>
      </c>
      <c r="R288" s="26" t="str">
        <f t="shared" si="81"/>
        <v>ภารกิจด้านบริการทุติยภูมิและตติยภูมิ</v>
      </c>
      <c r="S288" s="26" t="str">
        <f t="shared" si="82"/>
        <v>กลุ่มงานเวชกรรมฟื้นฟู</v>
      </c>
      <c r="T288" s="26" t="s">
        <v>4200</v>
      </c>
      <c r="U288" s="26" t="s">
        <v>1302</v>
      </c>
      <c r="V288" s="25">
        <v>17.0</v>
      </c>
      <c r="W288" s="26" t="s">
        <v>4054</v>
      </c>
      <c r="X288" s="25" t="s">
        <v>3978</v>
      </c>
      <c r="Y288" s="31">
        <v>5.0</v>
      </c>
      <c r="Z288" s="31">
        <v>5.0</v>
      </c>
      <c r="AA288" s="31">
        <v>50.0</v>
      </c>
      <c r="AB288" s="31">
        <v>160.0</v>
      </c>
      <c r="AC288" s="32">
        <v>1.0</v>
      </c>
      <c r="AD288" s="26"/>
      <c r="AE288" s="26"/>
      <c r="AF288" s="32">
        <v>47.0</v>
      </c>
      <c r="AG288" s="33">
        <v>1.139700010829E12</v>
      </c>
      <c r="AH288" s="46"/>
      <c r="AI288" s="34" t="s">
        <v>4848</v>
      </c>
    </row>
    <row r="289" ht="38.25" hidden="1" customHeight="1">
      <c r="A289" s="32">
        <v>286.0</v>
      </c>
      <c r="B289" s="26" t="s">
        <v>1037</v>
      </c>
      <c r="C289" s="26" t="s">
        <v>4849</v>
      </c>
      <c r="D289" s="26" t="s">
        <v>4093</v>
      </c>
      <c r="E289" s="26" t="s">
        <v>4846</v>
      </c>
      <c r="F289" s="26" t="s">
        <v>4846</v>
      </c>
      <c r="G289" s="27" t="s">
        <v>1110</v>
      </c>
      <c r="H289" s="27" t="s">
        <v>1110</v>
      </c>
      <c r="I289" s="29">
        <v>4388.0</v>
      </c>
      <c r="J289" s="29" t="s">
        <v>1535</v>
      </c>
      <c r="K289" s="27" t="s">
        <v>4214</v>
      </c>
      <c r="L289" s="25">
        <v>2.0</v>
      </c>
      <c r="M289" s="27" t="s">
        <v>1137</v>
      </c>
      <c r="N289" s="30" t="s">
        <v>1174</v>
      </c>
      <c r="O289" s="26" t="str">
        <f t="shared" si="83"/>
        <v>กลุ่มงานเวชกรรมฟื้นฟู</v>
      </c>
      <c r="P289" s="26" t="s">
        <v>4199</v>
      </c>
      <c r="Q289" s="26" t="str">
        <f t="shared" si="84"/>
        <v>กลุ่มงานเวชกรรมฟื้นฟู</v>
      </c>
      <c r="R289" s="26" t="str">
        <f t="shared" si="81"/>
        <v>ภารกิจด้านบริการทุติยภูมิและตติยภูมิ</v>
      </c>
      <c r="S289" s="26" t="str">
        <f t="shared" si="82"/>
        <v>กลุ่มงานเวชกรรมฟื้นฟู</v>
      </c>
      <c r="T289" s="26" t="s">
        <v>4200</v>
      </c>
      <c r="U289" s="26" t="s">
        <v>1302</v>
      </c>
      <c r="V289" s="25">
        <v>17.0</v>
      </c>
      <c r="W289" s="26" t="s">
        <v>4054</v>
      </c>
      <c r="X289" s="25" t="s">
        <v>3978</v>
      </c>
      <c r="Y289" s="31">
        <v>5.0</v>
      </c>
      <c r="Z289" s="31">
        <v>5.0</v>
      </c>
      <c r="AA289" s="31">
        <v>50.0</v>
      </c>
      <c r="AB289" s="31">
        <v>160.0</v>
      </c>
      <c r="AC289" s="32">
        <v>1.0</v>
      </c>
      <c r="AD289" s="26"/>
      <c r="AE289" s="26"/>
      <c r="AF289" s="32">
        <v>47.0</v>
      </c>
      <c r="AG289" s="37">
        <v>1.509901035248E12</v>
      </c>
      <c r="AH289" s="37" t="s">
        <v>3224</v>
      </c>
      <c r="AI289" s="38" t="s">
        <v>4850</v>
      </c>
    </row>
    <row r="290" ht="38.25" hidden="1" customHeight="1">
      <c r="A290" s="25">
        <v>287.0</v>
      </c>
      <c r="B290" s="26" t="s">
        <v>1037</v>
      </c>
      <c r="C290" s="26" t="s">
        <v>4851</v>
      </c>
      <c r="D290" s="26" t="s">
        <v>4852</v>
      </c>
      <c r="E290" s="26" t="s">
        <v>4846</v>
      </c>
      <c r="F290" s="26" t="s">
        <v>4846</v>
      </c>
      <c r="G290" s="27" t="s">
        <v>1110</v>
      </c>
      <c r="H290" s="27" t="s">
        <v>1110</v>
      </c>
      <c r="I290" s="29">
        <v>4389.0</v>
      </c>
      <c r="J290" s="29" t="s">
        <v>1535</v>
      </c>
      <c r="K290" s="27" t="s">
        <v>4214</v>
      </c>
      <c r="L290" s="25">
        <v>2.0</v>
      </c>
      <c r="M290" s="27" t="s">
        <v>1137</v>
      </c>
      <c r="N290" s="30" t="s">
        <v>1174</v>
      </c>
      <c r="O290" s="26" t="str">
        <f t="shared" si="83"/>
        <v>กลุ่มงานเวชกรรมฟื้นฟู</v>
      </c>
      <c r="P290" s="26" t="s">
        <v>4199</v>
      </c>
      <c r="Q290" s="26" t="str">
        <f t="shared" si="84"/>
        <v>กลุ่มงานเวชกรรมฟื้นฟู</v>
      </c>
      <c r="R290" s="26" t="str">
        <f t="shared" si="81"/>
        <v>ภารกิจด้านบริการทุติยภูมิและตติยภูมิ</v>
      </c>
      <c r="S290" s="26" t="str">
        <f t="shared" si="82"/>
        <v>กลุ่มงานเวชกรรมฟื้นฟู</v>
      </c>
      <c r="T290" s="26" t="s">
        <v>4200</v>
      </c>
      <c r="U290" s="26" t="s">
        <v>1302</v>
      </c>
      <c r="V290" s="25">
        <v>17.0</v>
      </c>
      <c r="W290" s="26" t="s">
        <v>4054</v>
      </c>
      <c r="X290" s="25" t="s">
        <v>3978</v>
      </c>
      <c r="Y290" s="31">
        <v>5.0</v>
      </c>
      <c r="Z290" s="31">
        <v>5.0</v>
      </c>
      <c r="AA290" s="31">
        <v>50.0</v>
      </c>
      <c r="AB290" s="31">
        <v>160.0</v>
      </c>
      <c r="AC290" s="32">
        <v>1.0</v>
      </c>
      <c r="AD290" s="26"/>
      <c r="AE290" s="26"/>
      <c r="AF290" s="32">
        <v>47.0</v>
      </c>
      <c r="AG290" s="33">
        <v>1.509900558841E12</v>
      </c>
      <c r="AH290" s="33" t="s">
        <v>3065</v>
      </c>
      <c r="AI290" s="40">
        <v>230297.0</v>
      </c>
    </row>
    <row r="291" ht="38.25" hidden="1" customHeight="1">
      <c r="A291" s="25">
        <v>288.0</v>
      </c>
      <c r="B291" s="26" t="s">
        <v>2692</v>
      </c>
      <c r="C291" s="26" t="s">
        <v>4853</v>
      </c>
      <c r="D291" s="26" t="s">
        <v>4854</v>
      </c>
      <c r="E291" s="26" t="s">
        <v>4855</v>
      </c>
      <c r="F291" s="26" t="s">
        <v>4855</v>
      </c>
      <c r="G291" s="27" t="s">
        <v>1110</v>
      </c>
      <c r="H291" s="27" t="s">
        <v>1110</v>
      </c>
      <c r="I291" s="29">
        <v>4457.0</v>
      </c>
      <c r="J291" s="29" t="s">
        <v>1535</v>
      </c>
      <c r="K291" s="26" t="s">
        <v>4214</v>
      </c>
      <c r="L291" s="25">
        <v>5.0</v>
      </c>
      <c r="M291" s="26" t="s">
        <v>4855</v>
      </c>
      <c r="N291" s="165" t="s">
        <v>3981</v>
      </c>
      <c r="O291" s="26" t="s">
        <v>4856</v>
      </c>
      <c r="P291" s="26" t="s">
        <v>4857</v>
      </c>
      <c r="Q291" s="26" t="s">
        <v>4028</v>
      </c>
      <c r="R291" s="26" t="s">
        <v>3991</v>
      </c>
      <c r="S291" s="26" t="str">
        <f t="shared" si="82"/>
        <v>กลุ่มงานการพยาบาลผู้ป่วยศัลยกรรม</v>
      </c>
      <c r="T291" s="26" t="s">
        <v>4858</v>
      </c>
      <c r="U291" s="26" t="s">
        <v>1302</v>
      </c>
      <c r="V291" s="25">
        <v>15.0</v>
      </c>
      <c r="W291" s="26" t="s">
        <v>3991</v>
      </c>
      <c r="X291" s="98" t="s">
        <v>1312</v>
      </c>
      <c r="Y291" s="31">
        <v>2.0</v>
      </c>
      <c r="Z291" s="31">
        <v>9.0</v>
      </c>
      <c r="AA291" s="31">
        <v>139.0</v>
      </c>
      <c r="AB291" s="31">
        <v>40.0</v>
      </c>
      <c r="AC291" s="32">
        <v>1.0</v>
      </c>
      <c r="AD291" s="26"/>
      <c r="AE291" s="26"/>
      <c r="AF291" s="32">
        <v>22.0</v>
      </c>
      <c r="AG291" s="37">
        <v>1.341300069363E12</v>
      </c>
      <c r="AH291" s="37" t="s">
        <v>2778</v>
      </c>
      <c r="AI291" s="38" t="s">
        <v>4859</v>
      </c>
    </row>
    <row r="292" ht="38.25" hidden="1" customHeight="1">
      <c r="A292" s="32">
        <v>289.0</v>
      </c>
      <c r="B292" s="26" t="s">
        <v>806</v>
      </c>
      <c r="C292" s="26" t="s">
        <v>4860</v>
      </c>
      <c r="D292" s="26" t="s">
        <v>4861</v>
      </c>
      <c r="E292" s="26" t="s">
        <v>4855</v>
      </c>
      <c r="F292" s="26" t="s">
        <v>4855</v>
      </c>
      <c r="G292" s="27" t="s">
        <v>1110</v>
      </c>
      <c r="H292" s="27" t="s">
        <v>1110</v>
      </c>
      <c r="I292" s="29">
        <v>4456.0</v>
      </c>
      <c r="J292" s="29" t="s">
        <v>1535</v>
      </c>
      <c r="K292" s="26" t="s">
        <v>4214</v>
      </c>
      <c r="L292" s="25">
        <v>5.0</v>
      </c>
      <c r="M292" s="26" t="s">
        <v>4855</v>
      </c>
      <c r="N292" s="166" t="s">
        <v>1174</v>
      </c>
      <c r="O292" s="26" t="s">
        <v>4862</v>
      </c>
      <c r="P292" s="26" t="s">
        <v>4863</v>
      </c>
      <c r="Q292" s="26" t="s">
        <v>4858</v>
      </c>
      <c r="R292" s="26" t="s">
        <v>3991</v>
      </c>
      <c r="S292" s="26" t="str">
        <f t="shared" si="82"/>
        <v>กลุ่มงานการพยาบาลผู้ป่วยศัลยกรรม</v>
      </c>
      <c r="T292" s="26" t="s">
        <v>4858</v>
      </c>
      <c r="U292" s="26" t="s">
        <v>1302</v>
      </c>
      <c r="V292" s="25">
        <v>8.0</v>
      </c>
      <c r="W292" s="26" t="s">
        <v>3991</v>
      </c>
      <c r="X292" s="98" t="s">
        <v>1312</v>
      </c>
      <c r="Y292" s="31">
        <v>2.0</v>
      </c>
      <c r="Z292" s="31">
        <v>8.0</v>
      </c>
      <c r="AA292" s="31">
        <v>139.0</v>
      </c>
      <c r="AB292" s="31">
        <v>40.0</v>
      </c>
      <c r="AC292" s="32">
        <v>1.0</v>
      </c>
      <c r="AD292" s="26"/>
      <c r="AE292" s="26"/>
      <c r="AF292" s="32">
        <v>22.0</v>
      </c>
      <c r="AG292" s="33">
        <v>1.500400089428E12</v>
      </c>
      <c r="AH292" s="33" t="s">
        <v>3041</v>
      </c>
      <c r="AI292" s="34" t="s">
        <v>4864</v>
      </c>
    </row>
    <row r="293" ht="38.25" hidden="1" customHeight="1">
      <c r="A293" s="25">
        <v>290.0</v>
      </c>
      <c r="B293" s="26" t="s">
        <v>1037</v>
      </c>
      <c r="C293" s="26" t="s">
        <v>4865</v>
      </c>
      <c r="D293" s="26" t="s">
        <v>4866</v>
      </c>
      <c r="E293" s="26" t="s">
        <v>4855</v>
      </c>
      <c r="F293" s="26" t="s">
        <v>4855</v>
      </c>
      <c r="G293" s="27" t="s">
        <v>1110</v>
      </c>
      <c r="H293" s="27" t="s">
        <v>1110</v>
      </c>
      <c r="I293" s="29">
        <v>4476.0</v>
      </c>
      <c r="J293" s="29" t="s">
        <v>1535</v>
      </c>
      <c r="K293" s="26" t="s">
        <v>4214</v>
      </c>
      <c r="L293" s="25">
        <v>5.0</v>
      </c>
      <c r="M293" s="26" t="s">
        <v>4855</v>
      </c>
      <c r="N293" s="165" t="s">
        <v>3981</v>
      </c>
      <c r="O293" s="26" t="s">
        <v>4867</v>
      </c>
      <c r="P293" s="26" t="s">
        <v>4868</v>
      </c>
      <c r="Q293" s="26" t="s">
        <v>4869</v>
      </c>
      <c r="R293" s="26" t="s">
        <v>3991</v>
      </c>
      <c r="S293" s="26" t="str">
        <f t="shared" si="82"/>
        <v>กลุ่มงานการพยาบาลผู้ป่วยออร์โธปิดิกส์</v>
      </c>
      <c r="T293" s="26" t="s">
        <v>4869</v>
      </c>
      <c r="U293" s="26" t="s">
        <v>1302</v>
      </c>
      <c r="V293" s="25">
        <v>12.0</v>
      </c>
      <c r="W293" s="26" t="s">
        <v>3991</v>
      </c>
      <c r="X293" s="98" t="s">
        <v>1312</v>
      </c>
      <c r="Y293" s="31">
        <v>2.0</v>
      </c>
      <c r="Z293" s="31">
        <v>5.0</v>
      </c>
      <c r="AA293" s="31">
        <v>139.0</v>
      </c>
      <c r="AB293" s="31">
        <v>40.0</v>
      </c>
      <c r="AC293" s="32">
        <v>1.0</v>
      </c>
      <c r="AD293" s="26"/>
      <c r="AE293" s="26"/>
      <c r="AF293" s="32">
        <v>22.0</v>
      </c>
      <c r="AG293" s="33">
        <v>1.500700184019E12</v>
      </c>
      <c r="AH293" s="33" t="s">
        <v>2772</v>
      </c>
      <c r="AI293" s="40">
        <v>233451.0</v>
      </c>
    </row>
    <row r="294" ht="38.25" hidden="1" customHeight="1">
      <c r="A294" s="25">
        <v>291.0</v>
      </c>
      <c r="B294" s="26" t="s">
        <v>2692</v>
      </c>
      <c r="C294" s="26" t="s">
        <v>4870</v>
      </c>
      <c r="D294" s="26" t="s">
        <v>4871</v>
      </c>
      <c r="E294" s="26" t="s">
        <v>4855</v>
      </c>
      <c r="F294" s="26" t="s">
        <v>4855</v>
      </c>
      <c r="G294" s="27" t="s">
        <v>1110</v>
      </c>
      <c r="H294" s="27" t="s">
        <v>1110</v>
      </c>
      <c r="I294" s="29">
        <v>4450.0</v>
      </c>
      <c r="J294" s="29" t="s">
        <v>1535</v>
      </c>
      <c r="K294" s="26" t="s">
        <v>4214</v>
      </c>
      <c r="L294" s="25">
        <v>5.0</v>
      </c>
      <c r="M294" s="26" t="s">
        <v>4855</v>
      </c>
      <c r="N294" s="166" t="s">
        <v>1174</v>
      </c>
      <c r="O294" s="26" t="s">
        <v>4872</v>
      </c>
      <c r="P294" s="26" t="s">
        <v>4873</v>
      </c>
      <c r="Q294" s="26" t="s">
        <v>4874</v>
      </c>
      <c r="R294" s="26" t="s">
        <v>3991</v>
      </c>
      <c r="S294" s="26" t="str">
        <f t="shared" si="82"/>
        <v>กลุ่มงานการพยาบาลผู้ป่วยอายุรกรรม</v>
      </c>
      <c r="T294" s="26" t="s">
        <v>4874</v>
      </c>
      <c r="U294" s="26" t="s">
        <v>1302</v>
      </c>
      <c r="V294" s="25">
        <v>7.0</v>
      </c>
      <c r="W294" s="26" t="s">
        <v>3991</v>
      </c>
      <c r="X294" s="98" t="s">
        <v>1312</v>
      </c>
      <c r="Y294" s="31">
        <v>10.0</v>
      </c>
      <c r="Z294" s="31">
        <v>16.0</v>
      </c>
      <c r="AA294" s="31">
        <v>139.0</v>
      </c>
      <c r="AB294" s="31">
        <v>40.0</v>
      </c>
      <c r="AC294" s="32">
        <v>1.0</v>
      </c>
      <c r="AD294" s="26"/>
      <c r="AE294" s="26"/>
      <c r="AF294" s="32">
        <v>22.0</v>
      </c>
      <c r="AG294" s="33">
        <v>1.500700118083E12</v>
      </c>
      <c r="AH294" s="33" t="s">
        <v>2792</v>
      </c>
      <c r="AI294" s="40">
        <v>231424.0</v>
      </c>
    </row>
    <row r="295" ht="38.25" hidden="1" customHeight="1">
      <c r="A295" s="32">
        <v>292.0</v>
      </c>
      <c r="B295" s="26" t="s">
        <v>1037</v>
      </c>
      <c r="C295" s="26" t="s">
        <v>4875</v>
      </c>
      <c r="D295" s="26" t="s">
        <v>4876</v>
      </c>
      <c r="E295" s="26" t="s">
        <v>4855</v>
      </c>
      <c r="F295" s="26" t="s">
        <v>4855</v>
      </c>
      <c r="G295" s="27" t="s">
        <v>1110</v>
      </c>
      <c r="H295" s="27" t="s">
        <v>1110</v>
      </c>
      <c r="I295" s="29">
        <v>4467.0</v>
      </c>
      <c r="J295" s="29" t="s">
        <v>1535</v>
      </c>
      <c r="K295" s="26" t="s">
        <v>4214</v>
      </c>
      <c r="L295" s="25">
        <v>5.0</v>
      </c>
      <c r="M295" s="26" t="s">
        <v>4855</v>
      </c>
      <c r="N295" s="165" t="s">
        <v>3981</v>
      </c>
      <c r="O295" s="26" t="s">
        <v>4877</v>
      </c>
      <c r="P295" s="26" t="s">
        <v>4878</v>
      </c>
      <c r="Q295" s="26" t="s">
        <v>4874</v>
      </c>
      <c r="R295" s="26" t="s">
        <v>3991</v>
      </c>
      <c r="S295" s="26" t="str">
        <f t="shared" si="82"/>
        <v>กลุ่มงานการพยาบาลผู้ป่วยกุมารเวชกรรม</v>
      </c>
      <c r="T295" s="26" t="s">
        <v>4879</v>
      </c>
      <c r="U295" s="26" t="s">
        <v>1302</v>
      </c>
      <c r="V295" s="25">
        <v>7.0</v>
      </c>
      <c r="W295" s="26" t="s">
        <v>3991</v>
      </c>
      <c r="X295" s="98" t="s">
        <v>1312</v>
      </c>
      <c r="Y295" s="31">
        <v>10.0</v>
      </c>
      <c r="Z295" s="31">
        <v>16.0</v>
      </c>
      <c r="AA295" s="31">
        <v>139.0</v>
      </c>
      <c r="AB295" s="31">
        <v>40.0</v>
      </c>
      <c r="AC295" s="32">
        <v>1.0</v>
      </c>
      <c r="AD295" s="26"/>
      <c r="AE295" s="26"/>
      <c r="AF295" s="32">
        <v>22.0</v>
      </c>
      <c r="AG295" s="33">
        <v>1.500300122725E12</v>
      </c>
      <c r="AH295" s="33" t="s">
        <v>3037</v>
      </c>
      <c r="AI295" s="40">
        <v>232178.0</v>
      </c>
    </row>
    <row r="296" ht="38.25" hidden="1" customHeight="1">
      <c r="A296" s="25">
        <v>293.0</v>
      </c>
      <c r="B296" s="26" t="s">
        <v>1037</v>
      </c>
      <c r="C296" s="26" t="s">
        <v>4880</v>
      </c>
      <c r="D296" s="26" t="s">
        <v>4881</v>
      </c>
      <c r="E296" s="26" t="s">
        <v>4855</v>
      </c>
      <c r="F296" s="26" t="s">
        <v>4855</v>
      </c>
      <c r="G296" s="27" t="s">
        <v>1110</v>
      </c>
      <c r="H296" s="27" t="s">
        <v>1110</v>
      </c>
      <c r="I296" s="29">
        <v>4468.0</v>
      </c>
      <c r="J296" s="29" t="s">
        <v>1535</v>
      </c>
      <c r="K296" s="26" t="s">
        <v>4214</v>
      </c>
      <c r="L296" s="25">
        <v>5.0</v>
      </c>
      <c r="M296" s="26" t="s">
        <v>4855</v>
      </c>
      <c r="N296" s="165" t="s">
        <v>3981</v>
      </c>
      <c r="O296" s="26" t="s">
        <v>4882</v>
      </c>
      <c r="P296" s="26" t="s">
        <v>4883</v>
      </c>
      <c r="Q296" s="26" t="s">
        <v>4874</v>
      </c>
      <c r="R296" s="26" t="s">
        <v>3991</v>
      </c>
      <c r="S296" s="26" t="str">
        <f t="shared" si="82"/>
        <v>กลุ่มงานการพยาบาลผู้ป่วยกุมารเวชกรรม</v>
      </c>
      <c r="T296" s="26" t="s">
        <v>4879</v>
      </c>
      <c r="U296" s="26" t="s">
        <v>1302</v>
      </c>
      <c r="V296" s="25">
        <v>7.0</v>
      </c>
      <c r="W296" s="26" t="s">
        <v>3991</v>
      </c>
      <c r="X296" s="98" t="s">
        <v>1312</v>
      </c>
      <c r="Y296" s="31">
        <v>10.0</v>
      </c>
      <c r="Z296" s="31">
        <v>16.0</v>
      </c>
      <c r="AA296" s="31">
        <v>139.0</v>
      </c>
      <c r="AB296" s="31">
        <v>40.0</v>
      </c>
      <c r="AC296" s="32">
        <v>1.0</v>
      </c>
      <c r="AD296" s="26"/>
      <c r="AE296" s="26"/>
      <c r="AF296" s="32">
        <v>22.0</v>
      </c>
      <c r="AG296" s="33">
        <v>1.539900600031E12</v>
      </c>
      <c r="AH296" s="33" t="s">
        <v>2787</v>
      </c>
      <c r="AI296" s="40">
        <v>233977.0</v>
      </c>
    </row>
    <row r="297" ht="38.25" hidden="1" customHeight="1">
      <c r="A297" s="25">
        <v>294.0</v>
      </c>
      <c r="B297" s="26" t="s">
        <v>1037</v>
      </c>
      <c r="C297" s="26" t="s">
        <v>4884</v>
      </c>
      <c r="D297" s="26" t="s">
        <v>4885</v>
      </c>
      <c r="E297" s="26" t="s">
        <v>4855</v>
      </c>
      <c r="F297" s="26" t="s">
        <v>4855</v>
      </c>
      <c r="G297" s="27" t="s">
        <v>1110</v>
      </c>
      <c r="H297" s="27" t="s">
        <v>1110</v>
      </c>
      <c r="I297" s="29">
        <v>4409.0</v>
      </c>
      <c r="J297" s="29" t="s">
        <v>1535</v>
      </c>
      <c r="K297" s="26" t="s">
        <v>4214</v>
      </c>
      <c r="L297" s="25">
        <v>5.0</v>
      </c>
      <c r="M297" s="26" t="s">
        <v>4855</v>
      </c>
      <c r="N297" s="166" t="s">
        <v>1174</v>
      </c>
      <c r="O297" s="26" t="s">
        <v>4789</v>
      </c>
      <c r="P297" s="26" t="s">
        <v>4886</v>
      </c>
      <c r="Q297" s="26" t="s">
        <v>4887</v>
      </c>
      <c r="R297" s="26" t="s">
        <v>3991</v>
      </c>
      <c r="S297" s="26" t="str">
        <f t="shared" si="82"/>
        <v>กลุ่มงานการพยาบาลผู้ป่วยนอก</v>
      </c>
      <c r="T297" s="26" t="s">
        <v>4887</v>
      </c>
      <c r="U297" s="26" t="s">
        <v>1302</v>
      </c>
      <c r="V297" s="25">
        <v>2.0</v>
      </c>
      <c r="W297" s="26" t="s">
        <v>3991</v>
      </c>
      <c r="X297" s="98" t="s">
        <v>1312</v>
      </c>
      <c r="Y297" s="31">
        <v>5.0</v>
      </c>
      <c r="Z297" s="31">
        <v>17.0</v>
      </c>
      <c r="AA297" s="31">
        <v>139.0</v>
      </c>
      <c r="AB297" s="31">
        <v>40.0</v>
      </c>
      <c r="AC297" s="32">
        <v>1.0</v>
      </c>
      <c r="AD297" s="26"/>
      <c r="AE297" s="26"/>
      <c r="AF297" s="32">
        <v>22.0</v>
      </c>
      <c r="AG297" s="37">
        <v>1.509900749433E12</v>
      </c>
      <c r="AH297" s="37" t="s">
        <v>3228</v>
      </c>
      <c r="AI297" s="38" t="s">
        <v>4888</v>
      </c>
    </row>
    <row r="298" ht="38.25" hidden="1" customHeight="1">
      <c r="A298" s="32">
        <v>295.0</v>
      </c>
      <c r="B298" s="26" t="s">
        <v>1037</v>
      </c>
      <c r="C298" s="26" t="s">
        <v>4889</v>
      </c>
      <c r="D298" s="26" t="s">
        <v>4890</v>
      </c>
      <c r="E298" s="26" t="s">
        <v>4855</v>
      </c>
      <c r="F298" s="26" t="s">
        <v>4855</v>
      </c>
      <c r="G298" s="27" t="s">
        <v>1110</v>
      </c>
      <c r="H298" s="27" t="s">
        <v>1110</v>
      </c>
      <c r="I298" s="29">
        <v>4477.0</v>
      </c>
      <c r="J298" s="29" t="s">
        <v>1535</v>
      </c>
      <c r="K298" s="26" t="s">
        <v>4214</v>
      </c>
      <c r="L298" s="25">
        <v>5.0</v>
      </c>
      <c r="M298" s="26" t="s">
        <v>4855</v>
      </c>
      <c r="N298" s="165" t="s">
        <v>3981</v>
      </c>
      <c r="O298" s="26" t="s">
        <v>4789</v>
      </c>
      <c r="P298" s="26" t="s">
        <v>4886</v>
      </c>
      <c r="Q298" s="26" t="s">
        <v>4887</v>
      </c>
      <c r="R298" s="26" t="s">
        <v>3991</v>
      </c>
      <c r="S298" s="26" t="str">
        <f t="shared" si="82"/>
        <v>กลุ่มงานการพยาบาลผู้ป่วยออร์โธปิดิกส์</v>
      </c>
      <c r="T298" s="26" t="s">
        <v>4869</v>
      </c>
      <c r="U298" s="26" t="s">
        <v>1302</v>
      </c>
      <c r="V298" s="25">
        <v>2.0</v>
      </c>
      <c r="W298" s="26" t="s">
        <v>3991</v>
      </c>
      <c r="X298" s="98" t="s">
        <v>1312</v>
      </c>
      <c r="Y298" s="31">
        <v>5.0</v>
      </c>
      <c r="Z298" s="31">
        <v>17.0</v>
      </c>
      <c r="AA298" s="31">
        <v>139.0</v>
      </c>
      <c r="AB298" s="31">
        <v>40.0</v>
      </c>
      <c r="AC298" s="32">
        <v>1.0</v>
      </c>
      <c r="AD298" s="26"/>
      <c r="AE298" s="26"/>
      <c r="AF298" s="32">
        <v>22.0</v>
      </c>
      <c r="AG298" s="33">
        <v>1.50990061578E12</v>
      </c>
      <c r="AH298" s="33" t="s">
        <v>2783</v>
      </c>
      <c r="AI298" s="34" t="s">
        <v>4891</v>
      </c>
    </row>
    <row r="299" ht="38.25" hidden="1" customHeight="1">
      <c r="A299" s="25">
        <v>296.0</v>
      </c>
      <c r="B299" s="26" t="s">
        <v>1037</v>
      </c>
      <c r="C299" s="26" t="s">
        <v>4892</v>
      </c>
      <c r="D299" s="26" t="s">
        <v>4893</v>
      </c>
      <c r="E299" s="26" t="s">
        <v>4855</v>
      </c>
      <c r="F299" s="26" t="s">
        <v>4855</v>
      </c>
      <c r="G299" s="27" t="s">
        <v>1110</v>
      </c>
      <c r="H299" s="27" t="s">
        <v>1110</v>
      </c>
      <c r="I299" s="29">
        <v>4408.0</v>
      </c>
      <c r="J299" s="29" t="s">
        <v>1535</v>
      </c>
      <c r="K299" s="26" t="s">
        <v>4214</v>
      </c>
      <c r="L299" s="25">
        <v>5.0</v>
      </c>
      <c r="M299" s="26" t="s">
        <v>4855</v>
      </c>
      <c r="N299" s="165" t="s">
        <v>3981</v>
      </c>
      <c r="O299" s="26" t="s">
        <v>4894</v>
      </c>
      <c r="P299" s="26" t="s">
        <v>4895</v>
      </c>
      <c r="Q299" s="26" t="s">
        <v>4028</v>
      </c>
      <c r="R299" s="26" t="s">
        <v>3991</v>
      </c>
      <c r="S299" s="26" t="str">
        <f t="shared" si="82"/>
        <v>กลุ่มงานการพยาบาลผู้ป่วยนอก</v>
      </c>
      <c r="T299" s="26" t="s">
        <v>4887</v>
      </c>
      <c r="U299" s="26" t="s">
        <v>1302</v>
      </c>
      <c r="V299" s="25">
        <v>15.0</v>
      </c>
      <c r="W299" s="26" t="s">
        <v>3991</v>
      </c>
      <c r="X299" s="98" t="s">
        <v>1312</v>
      </c>
      <c r="Y299" s="31">
        <v>2.0</v>
      </c>
      <c r="Z299" s="31">
        <v>9.0</v>
      </c>
      <c r="AA299" s="31">
        <v>139.0</v>
      </c>
      <c r="AB299" s="31">
        <v>40.0</v>
      </c>
      <c r="AC299" s="32">
        <v>1.0</v>
      </c>
      <c r="AD299" s="26"/>
      <c r="AE299" s="26"/>
      <c r="AF299" s="32">
        <v>22.0</v>
      </c>
      <c r="AG299" s="37">
        <v>1.500701222305E12</v>
      </c>
      <c r="AH299" s="37" t="s">
        <v>2378</v>
      </c>
      <c r="AI299" s="38" t="s">
        <v>4896</v>
      </c>
    </row>
    <row r="300" ht="38.25" hidden="1" customHeight="1">
      <c r="A300" s="25">
        <v>297.0</v>
      </c>
      <c r="B300" s="26" t="s">
        <v>2692</v>
      </c>
      <c r="C300" s="26" t="s">
        <v>4897</v>
      </c>
      <c r="D300" s="26" t="s">
        <v>4898</v>
      </c>
      <c r="E300" s="26" t="s">
        <v>4855</v>
      </c>
      <c r="F300" s="26" t="s">
        <v>4855</v>
      </c>
      <c r="G300" s="27" t="s">
        <v>1110</v>
      </c>
      <c r="H300" s="27" t="s">
        <v>1110</v>
      </c>
      <c r="I300" s="29">
        <v>4487.0</v>
      </c>
      <c r="J300" s="29" t="s">
        <v>1535</v>
      </c>
      <c r="K300" s="26" t="s">
        <v>4214</v>
      </c>
      <c r="L300" s="25">
        <v>5.0</v>
      </c>
      <c r="M300" s="26" t="s">
        <v>4855</v>
      </c>
      <c r="N300" s="166" t="s">
        <v>1174</v>
      </c>
      <c r="O300" s="26" t="s">
        <v>4027</v>
      </c>
      <c r="P300" s="26" t="s">
        <v>4027</v>
      </c>
      <c r="Q300" s="26" t="s">
        <v>4028</v>
      </c>
      <c r="R300" s="26" t="s">
        <v>3991</v>
      </c>
      <c r="S300" s="26" t="str">
        <f t="shared" si="82"/>
        <v>กลุ่มงานการพยาบาลตรวจรักษาพิเศษ</v>
      </c>
      <c r="T300" s="26" t="s">
        <v>4028</v>
      </c>
      <c r="U300" s="26" t="s">
        <v>1302</v>
      </c>
      <c r="V300" s="25">
        <v>15.0</v>
      </c>
      <c r="W300" s="26" t="s">
        <v>3991</v>
      </c>
      <c r="X300" s="98" t="s">
        <v>1312</v>
      </c>
      <c r="Y300" s="31">
        <v>2.0</v>
      </c>
      <c r="Z300" s="31">
        <v>9.0</v>
      </c>
      <c r="AA300" s="31">
        <v>139.0</v>
      </c>
      <c r="AB300" s="31">
        <v>40.0</v>
      </c>
      <c r="AC300" s="32">
        <v>1.0</v>
      </c>
      <c r="AD300" s="26"/>
      <c r="AE300" s="26"/>
      <c r="AF300" s="32">
        <v>22.0</v>
      </c>
      <c r="AG300" s="33">
        <v>1.509900436478E12</v>
      </c>
      <c r="AH300" s="33" t="s">
        <v>3032</v>
      </c>
      <c r="AI300" s="34" t="s">
        <v>4899</v>
      </c>
    </row>
    <row r="301" ht="38.25" hidden="1" customHeight="1">
      <c r="A301" s="32">
        <v>298.0</v>
      </c>
      <c r="B301" s="26" t="s">
        <v>1037</v>
      </c>
      <c r="C301" s="26" t="s">
        <v>4307</v>
      </c>
      <c r="D301" s="26" t="s">
        <v>4174</v>
      </c>
      <c r="E301" s="26" t="s">
        <v>4855</v>
      </c>
      <c r="F301" s="26" t="s">
        <v>4855</v>
      </c>
      <c r="G301" s="27" t="s">
        <v>1110</v>
      </c>
      <c r="H301" s="27" t="s">
        <v>1110</v>
      </c>
      <c r="I301" s="29">
        <v>4451.0</v>
      </c>
      <c r="J301" s="29" t="s">
        <v>1535</v>
      </c>
      <c r="K301" s="26" t="s">
        <v>4214</v>
      </c>
      <c r="L301" s="25">
        <v>5.0</v>
      </c>
      <c r="M301" s="26" t="s">
        <v>4855</v>
      </c>
      <c r="N301" s="165" t="s">
        <v>3981</v>
      </c>
      <c r="O301" s="26" t="s">
        <v>4027</v>
      </c>
      <c r="P301" s="26" t="s">
        <v>4027</v>
      </c>
      <c r="Q301" s="26" t="s">
        <v>4028</v>
      </c>
      <c r="R301" s="26" t="s">
        <v>3991</v>
      </c>
      <c r="S301" s="26" t="str">
        <f t="shared" si="82"/>
        <v>กลุ่มงานการพยาบาลผู้ป่วยอายุกรรม</v>
      </c>
      <c r="T301" s="26" t="s">
        <v>4900</v>
      </c>
      <c r="U301" s="26" t="s">
        <v>1302</v>
      </c>
      <c r="V301" s="25">
        <v>15.0</v>
      </c>
      <c r="W301" s="26" t="s">
        <v>3991</v>
      </c>
      <c r="X301" s="98" t="s">
        <v>1312</v>
      </c>
      <c r="Y301" s="31">
        <v>2.0</v>
      </c>
      <c r="Z301" s="31">
        <v>9.0</v>
      </c>
      <c r="AA301" s="31">
        <v>139.0</v>
      </c>
      <c r="AB301" s="31">
        <v>40.0</v>
      </c>
      <c r="AC301" s="32">
        <v>1.0</v>
      </c>
      <c r="AD301" s="26"/>
      <c r="AE301" s="26"/>
      <c r="AF301" s="32">
        <v>22.0</v>
      </c>
      <c r="AG301" s="37">
        <v>1.509900956081E12</v>
      </c>
      <c r="AH301" s="37" t="s">
        <v>3211</v>
      </c>
      <c r="AI301" s="38" t="s">
        <v>4901</v>
      </c>
    </row>
    <row r="302" ht="38.25" hidden="1" customHeight="1">
      <c r="A302" s="25">
        <v>299.0</v>
      </c>
      <c r="B302" s="26" t="s">
        <v>1037</v>
      </c>
      <c r="C302" s="26" t="s">
        <v>4902</v>
      </c>
      <c r="D302" s="26" t="s">
        <v>4898</v>
      </c>
      <c r="E302" s="26" t="s">
        <v>4855</v>
      </c>
      <c r="F302" s="26" t="s">
        <v>4855</v>
      </c>
      <c r="G302" s="27" t="s">
        <v>1110</v>
      </c>
      <c r="H302" s="27" t="s">
        <v>1110</v>
      </c>
      <c r="I302" s="28" t="s">
        <v>4903</v>
      </c>
      <c r="J302" s="29" t="s">
        <v>3949</v>
      </c>
      <c r="K302" s="26" t="s">
        <v>4214</v>
      </c>
      <c r="L302" s="25">
        <v>5.0</v>
      </c>
      <c r="M302" s="26" t="s">
        <v>4855</v>
      </c>
      <c r="N302" s="166" t="s">
        <v>1174</v>
      </c>
      <c r="O302" s="26" t="s">
        <v>4904</v>
      </c>
      <c r="P302" s="26" t="s">
        <v>4905</v>
      </c>
      <c r="Q302" s="26" t="s">
        <v>4874</v>
      </c>
      <c r="R302" s="26" t="s">
        <v>3991</v>
      </c>
      <c r="S302" s="26" t="str">
        <f t="shared" si="82"/>
        <v>กลุ่มงานการพยาบาลผู้ป่วยอายุรกรรม</v>
      </c>
      <c r="T302" s="26" t="s">
        <v>4874</v>
      </c>
      <c r="U302" s="26" t="s">
        <v>1302</v>
      </c>
      <c r="V302" s="25">
        <v>7.0</v>
      </c>
      <c r="W302" s="26" t="s">
        <v>3991</v>
      </c>
      <c r="X302" s="98" t="s">
        <v>1312</v>
      </c>
      <c r="Y302" s="31">
        <v>10.0</v>
      </c>
      <c r="Z302" s="31">
        <v>16.0</v>
      </c>
      <c r="AA302" s="31">
        <v>139.0</v>
      </c>
      <c r="AB302" s="31">
        <v>40.0</v>
      </c>
      <c r="AC302" s="32">
        <v>1.0</v>
      </c>
      <c r="AD302" s="26"/>
      <c r="AE302" s="26"/>
      <c r="AF302" s="32">
        <v>22.0</v>
      </c>
      <c r="AG302" s="37">
        <v>1.589700000773E12</v>
      </c>
      <c r="AH302" s="37" t="s">
        <v>1874</v>
      </c>
      <c r="AI302" s="38" t="s">
        <v>4906</v>
      </c>
    </row>
    <row r="303" ht="38.25" hidden="1" customHeight="1">
      <c r="A303" s="25">
        <v>300.0</v>
      </c>
      <c r="B303" s="26" t="s">
        <v>1037</v>
      </c>
      <c r="C303" s="26" t="s">
        <v>4907</v>
      </c>
      <c r="D303" s="26" t="s">
        <v>4908</v>
      </c>
      <c r="E303" s="26" t="s">
        <v>4855</v>
      </c>
      <c r="F303" s="26" t="s">
        <v>4855</v>
      </c>
      <c r="G303" s="27" t="s">
        <v>1110</v>
      </c>
      <c r="H303" s="27" t="s">
        <v>1110</v>
      </c>
      <c r="I303" s="28" t="s">
        <v>4909</v>
      </c>
      <c r="J303" s="29" t="s">
        <v>3949</v>
      </c>
      <c r="K303" s="26" t="s">
        <v>4214</v>
      </c>
      <c r="L303" s="25">
        <v>5.0</v>
      </c>
      <c r="M303" s="26" t="s">
        <v>4855</v>
      </c>
      <c r="N303" s="166" t="s">
        <v>1174</v>
      </c>
      <c r="O303" s="26" t="s">
        <v>4867</v>
      </c>
      <c r="P303" s="26" t="s">
        <v>4868</v>
      </c>
      <c r="Q303" s="26" t="s">
        <v>4869</v>
      </c>
      <c r="R303" s="26" t="s">
        <v>3991</v>
      </c>
      <c r="S303" s="26" t="str">
        <f t="shared" si="82"/>
        <v>กลุ่มงานการพยาบาลผู้ป่วยศัลยกรรม</v>
      </c>
      <c r="T303" s="26" t="s">
        <v>4858</v>
      </c>
      <c r="U303" s="26" t="s">
        <v>1302</v>
      </c>
      <c r="V303" s="25">
        <v>12.0</v>
      </c>
      <c r="W303" s="26" t="s">
        <v>3991</v>
      </c>
      <c r="X303" s="98" t="s">
        <v>1312</v>
      </c>
      <c r="Y303" s="31">
        <v>2.0</v>
      </c>
      <c r="Z303" s="31">
        <v>5.0</v>
      </c>
      <c r="AA303" s="31">
        <v>139.0</v>
      </c>
      <c r="AB303" s="31">
        <v>40.0</v>
      </c>
      <c r="AC303" s="32">
        <v>1.0</v>
      </c>
      <c r="AD303" s="26"/>
      <c r="AE303" s="26"/>
      <c r="AF303" s="32">
        <v>22.0</v>
      </c>
      <c r="AG303" s="33">
        <v>1.50997013246E12</v>
      </c>
      <c r="AH303" s="33" t="s">
        <v>1630</v>
      </c>
      <c r="AI303" s="40">
        <v>234249.0</v>
      </c>
    </row>
    <row r="304" ht="38.25" hidden="1" customHeight="1">
      <c r="A304" s="32">
        <v>301.0</v>
      </c>
      <c r="B304" s="26" t="s">
        <v>1037</v>
      </c>
      <c r="C304" s="26" t="s">
        <v>4910</v>
      </c>
      <c r="D304" s="26" t="s">
        <v>4911</v>
      </c>
      <c r="E304" s="26" t="s">
        <v>4855</v>
      </c>
      <c r="F304" s="26" t="s">
        <v>4855</v>
      </c>
      <c r="G304" s="27" t="s">
        <v>1110</v>
      </c>
      <c r="H304" s="27" t="s">
        <v>1110</v>
      </c>
      <c r="I304" s="28" t="s">
        <v>4912</v>
      </c>
      <c r="J304" s="29" t="s">
        <v>3949</v>
      </c>
      <c r="K304" s="26" t="s">
        <v>4214</v>
      </c>
      <c r="L304" s="25">
        <v>5.0</v>
      </c>
      <c r="M304" s="26" t="s">
        <v>4855</v>
      </c>
      <c r="N304" s="166" t="s">
        <v>1174</v>
      </c>
      <c r="O304" s="26" t="s">
        <v>4904</v>
      </c>
      <c r="P304" s="26" t="s">
        <v>4905</v>
      </c>
      <c r="Q304" s="26" t="s">
        <v>4874</v>
      </c>
      <c r="R304" s="26" t="s">
        <v>3991</v>
      </c>
      <c r="S304" s="26" t="str">
        <f t="shared" si="82"/>
        <v>กลุ่มงานการพยาบาลผู้ป่วยอายุรกรรม</v>
      </c>
      <c r="T304" s="26" t="s">
        <v>4874</v>
      </c>
      <c r="U304" s="26" t="s">
        <v>1302</v>
      </c>
      <c r="V304" s="25">
        <v>7.0</v>
      </c>
      <c r="W304" s="26" t="s">
        <v>3991</v>
      </c>
      <c r="X304" s="98" t="s">
        <v>1312</v>
      </c>
      <c r="Y304" s="31">
        <v>10.0</v>
      </c>
      <c r="Z304" s="31">
        <v>16.0</v>
      </c>
      <c r="AA304" s="31">
        <v>139.0</v>
      </c>
      <c r="AB304" s="31">
        <v>40.0</v>
      </c>
      <c r="AC304" s="32">
        <v>1.0</v>
      </c>
      <c r="AD304" s="26"/>
      <c r="AE304" s="26"/>
      <c r="AF304" s="32">
        <v>22.0</v>
      </c>
      <c r="AG304" s="33">
        <v>1.500700126264E12</v>
      </c>
      <c r="AH304" s="33" t="s">
        <v>1109</v>
      </c>
      <c r="AI304" s="34" t="s">
        <v>4913</v>
      </c>
    </row>
    <row r="305" ht="38.25" hidden="1" customHeight="1">
      <c r="A305" s="25">
        <v>302.0</v>
      </c>
      <c r="B305" s="26" t="s">
        <v>1037</v>
      </c>
      <c r="C305" s="26" t="s">
        <v>4914</v>
      </c>
      <c r="D305" s="26" t="s">
        <v>4915</v>
      </c>
      <c r="E305" s="26" t="s">
        <v>4855</v>
      </c>
      <c r="F305" s="26" t="s">
        <v>4855</v>
      </c>
      <c r="G305" s="27" t="s">
        <v>1110</v>
      </c>
      <c r="H305" s="27" t="s">
        <v>1110</v>
      </c>
      <c r="I305" s="28" t="s">
        <v>4916</v>
      </c>
      <c r="J305" s="29" t="s">
        <v>3949</v>
      </c>
      <c r="K305" s="26" t="s">
        <v>4214</v>
      </c>
      <c r="L305" s="25">
        <v>5.0</v>
      </c>
      <c r="M305" s="26" t="s">
        <v>4855</v>
      </c>
      <c r="N305" s="166" t="s">
        <v>1174</v>
      </c>
      <c r="O305" s="26" t="s">
        <v>4917</v>
      </c>
      <c r="P305" s="26" t="s">
        <v>4918</v>
      </c>
      <c r="Q305" s="26" t="s">
        <v>4919</v>
      </c>
      <c r="R305" s="26" t="s">
        <v>3991</v>
      </c>
      <c r="S305" s="26" t="str">
        <f t="shared" si="82"/>
        <v>กลุ่มงานการพยาบาลผู้ป่วยสูติ - นรีเวช</v>
      </c>
      <c r="T305" s="26" t="s">
        <v>4920</v>
      </c>
      <c r="U305" s="26" t="s">
        <v>1302</v>
      </c>
      <c r="V305" s="25">
        <v>9.0</v>
      </c>
      <c r="W305" s="26" t="s">
        <v>3991</v>
      </c>
      <c r="X305" s="98" t="s">
        <v>1312</v>
      </c>
      <c r="Y305" s="31">
        <v>3.0</v>
      </c>
      <c r="Z305" s="31">
        <v>9.0</v>
      </c>
      <c r="AA305" s="31">
        <v>139.0</v>
      </c>
      <c r="AB305" s="31">
        <v>40.0</v>
      </c>
      <c r="AC305" s="32">
        <v>1.0</v>
      </c>
      <c r="AD305" s="26"/>
      <c r="AE305" s="26"/>
      <c r="AF305" s="32">
        <v>22.0</v>
      </c>
      <c r="AG305" s="37">
        <v>1.500701326453E12</v>
      </c>
      <c r="AH305" s="37" t="s">
        <v>1064</v>
      </c>
      <c r="AI305" s="44">
        <v>236374.0</v>
      </c>
    </row>
    <row r="306" ht="38.25" hidden="1" customHeight="1">
      <c r="A306" s="25">
        <v>303.0</v>
      </c>
      <c r="B306" s="26" t="s">
        <v>1037</v>
      </c>
      <c r="C306" s="26" t="s">
        <v>4921</v>
      </c>
      <c r="D306" s="26" t="s">
        <v>4922</v>
      </c>
      <c r="E306" s="26" t="s">
        <v>4855</v>
      </c>
      <c r="F306" s="26" t="s">
        <v>4855</v>
      </c>
      <c r="G306" s="27" t="s">
        <v>1110</v>
      </c>
      <c r="H306" s="27" t="s">
        <v>1110</v>
      </c>
      <c r="I306" s="28" t="s">
        <v>4923</v>
      </c>
      <c r="J306" s="29" t="s">
        <v>3949</v>
      </c>
      <c r="K306" s="26" t="s">
        <v>4214</v>
      </c>
      <c r="L306" s="25">
        <v>5.0</v>
      </c>
      <c r="M306" s="26" t="s">
        <v>4855</v>
      </c>
      <c r="N306" s="166" t="s">
        <v>1174</v>
      </c>
      <c r="O306" s="26" t="s">
        <v>4789</v>
      </c>
      <c r="P306" s="26" t="s">
        <v>4886</v>
      </c>
      <c r="Q306" s="26" t="s">
        <v>4887</v>
      </c>
      <c r="R306" s="26" t="s">
        <v>3991</v>
      </c>
      <c r="S306" s="26" t="str">
        <f t="shared" si="82"/>
        <v>กลุ่มงานการพยาบาลผู้ป่วยนอก</v>
      </c>
      <c r="T306" s="26" t="s">
        <v>4887</v>
      </c>
      <c r="U306" s="26" t="s">
        <v>1302</v>
      </c>
      <c r="V306" s="25">
        <v>2.0</v>
      </c>
      <c r="W306" s="26" t="s">
        <v>3991</v>
      </c>
      <c r="X306" s="98" t="s">
        <v>1312</v>
      </c>
      <c r="Y306" s="31">
        <v>5.0</v>
      </c>
      <c r="Z306" s="31">
        <v>17.0</v>
      </c>
      <c r="AA306" s="31">
        <v>139.0</v>
      </c>
      <c r="AB306" s="31">
        <v>40.0</v>
      </c>
      <c r="AC306" s="32">
        <v>1.0</v>
      </c>
      <c r="AD306" s="26"/>
      <c r="AE306" s="26"/>
      <c r="AF306" s="32">
        <v>22.0</v>
      </c>
      <c r="AG306" s="37">
        <v>1.580200045915E12</v>
      </c>
      <c r="AH306" s="37" t="s">
        <v>771</v>
      </c>
      <c r="AI306" s="38" t="s">
        <v>4924</v>
      </c>
    </row>
    <row r="307" ht="38.25" hidden="1" customHeight="1">
      <c r="A307" s="32">
        <v>304.0</v>
      </c>
      <c r="B307" s="26" t="s">
        <v>1037</v>
      </c>
      <c r="C307" s="26" t="s">
        <v>4925</v>
      </c>
      <c r="D307" s="26" t="s">
        <v>4926</v>
      </c>
      <c r="E307" s="26" t="s">
        <v>4855</v>
      </c>
      <c r="F307" s="26" t="s">
        <v>4855</v>
      </c>
      <c r="G307" s="27" t="s">
        <v>1110</v>
      </c>
      <c r="H307" s="27" t="s">
        <v>1110</v>
      </c>
      <c r="I307" s="28" t="s">
        <v>4927</v>
      </c>
      <c r="J307" s="29" t="s">
        <v>3949</v>
      </c>
      <c r="K307" s="26" t="s">
        <v>4214</v>
      </c>
      <c r="L307" s="25">
        <v>5.0</v>
      </c>
      <c r="M307" s="26" t="s">
        <v>4855</v>
      </c>
      <c r="N307" s="165" t="s">
        <v>3981</v>
      </c>
      <c r="O307" s="26" t="s">
        <v>4928</v>
      </c>
      <c r="P307" s="26" t="s">
        <v>4929</v>
      </c>
      <c r="Q307" s="26" t="s">
        <v>4858</v>
      </c>
      <c r="R307" s="26" t="s">
        <v>3991</v>
      </c>
      <c r="S307" s="26" t="str">
        <f t="shared" si="82"/>
        <v>กลุ่มงานการพยาบาลผู้ป่วยกุมารเวชกรรม</v>
      </c>
      <c r="T307" s="26" t="s">
        <v>4879</v>
      </c>
      <c r="U307" s="26" t="s">
        <v>1302</v>
      </c>
      <c r="V307" s="25">
        <v>8.0</v>
      </c>
      <c r="W307" s="26" t="s">
        <v>3991</v>
      </c>
      <c r="X307" s="98" t="s">
        <v>1312</v>
      </c>
      <c r="Y307" s="31">
        <v>2.0</v>
      </c>
      <c r="Z307" s="31">
        <v>8.0</v>
      </c>
      <c r="AA307" s="31">
        <v>139.0</v>
      </c>
      <c r="AB307" s="31">
        <v>40.0</v>
      </c>
      <c r="AC307" s="32">
        <v>1.0</v>
      </c>
      <c r="AD307" s="26"/>
      <c r="AE307" s="26"/>
      <c r="AF307" s="32">
        <v>22.0</v>
      </c>
      <c r="AG307" s="33">
        <v>2.819800011322E12</v>
      </c>
      <c r="AH307" s="33" t="s">
        <v>592</v>
      </c>
      <c r="AI307" s="47"/>
    </row>
    <row r="308" ht="38.25" hidden="1" customHeight="1">
      <c r="A308" s="25">
        <v>305.0</v>
      </c>
      <c r="B308" s="26" t="s">
        <v>2692</v>
      </c>
      <c r="C308" s="26" t="s">
        <v>4930</v>
      </c>
      <c r="D308" s="26" t="s">
        <v>4931</v>
      </c>
      <c r="E308" s="26" t="s">
        <v>4855</v>
      </c>
      <c r="F308" s="26" t="s">
        <v>4855</v>
      </c>
      <c r="G308" s="27" t="s">
        <v>1110</v>
      </c>
      <c r="H308" s="27" t="s">
        <v>1110</v>
      </c>
      <c r="I308" s="28" t="s">
        <v>4932</v>
      </c>
      <c r="J308" s="29" t="s">
        <v>3949</v>
      </c>
      <c r="K308" s="26" t="s">
        <v>4214</v>
      </c>
      <c r="L308" s="25">
        <v>5.0</v>
      </c>
      <c r="M308" s="26" t="s">
        <v>4855</v>
      </c>
      <c r="N308" s="166" t="s">
        <v>1174</v>
      </c>
      <c r="O308" s="26" t="s">
        <v>4877</v>
      </c>
      <c r="P308" s="26" t="s">
        <v>4878</v>
      </c>
      <c r="Q308" s="26" t="s">
        <v>4874</v>
      </c>
      <c r="R308" s="26" t="s">
        <v>3991</v>
      </c>
      <c r="S308" s="26" t="str">
        <f t="shared" si="82"/>
        <v>กลุ่มงานการพยาบาลผู้ป่วยกุมารเวชกรรม</v>
      </c>
      <c r="T308" s="26" t="s">
        <v>4879</v>
      </c>
      <c r="U308" s="26" t="s">
        <v>1302</v>
      </c>
      <c r="V308" s="25">
        <v>7.0</v>
      </c>
      <c r="W308" s="26" t="s">
        <v>3991</v>
      </c>
      <c r="X308" s="98" t="s">
        <v>1312</v>
      </c>
      <c r="Y308" s="31">
        <v>10.0</v>
      </c>
      <c r="Z308" s="31">
        <v>16.0</v>
      </c>
      <c r="AA308" s="31">
        <v>139.0</v>
      </c>
      <c r="AB308" s="31">
        <v>40.0</v>
      </c>
      <c r="AC308" s="32">
        <v>1.0</v>
      </c>
      <c r="AD308" s="26"/>
      <c r="AE308" s="26"/>
      <c r="AF308" s="32">
        <v>22.0</v>
      </c>
      <c r="AG308" s="33">
        <v>1.589700002661E12</v>
      </c>
      <c r="AH308" s="33" t="s">
        <v>1869</v>
      </c>
      <c r="AI308" s="34" t="s">
        <v>4933</v>
      </c>
    </row>
    <row r="309" ht="38.25" hidden="1" customHeight="1">
      <c r="A309" s="32">
        <v>306.0</v>
      </c>
      <c r="B309" s="26" t="s">
        <v>1037</v>
      </c>
      <c r="C309" s="26" t="s">
        <v>4934</v>
      </c>
      <c r="D309" s="26" t="s">
        <v>4935</v>
      </c>
      <c r="E309" s="26" t="s">
        <v>4855</v>
      </c>
      <c r="F309" s="26" t="s">
        <v>4855</v>
      </c>
      <c r="G309" s="27" t="s">
        <v>1110</v>
      </c>
      <c r="H309" s="27" t="s">
        <v>1110</v>
      </c>
      <c r="I309" s="28" t="s">
        <v>4936</v>
      </c>
      <c r="J309" s="29" t="s">
        <v>3949</v>
      </c>
      <c r="K309" s="26" t="s">
        <v>4214</v>
      </c>
      <c r="L309" s="25">
        <v>5.0</v>
      </c>
      <c r="M309" s="26" t="s">
        <v>4855</v>
      </c>
      <c r="N309" s="166" t="s">
        <v>1174</v>
      </c>
      <c r="O309" s="26" t="s">
        <v>4937</v>
      </c>
      <c r="P309" s="26" t="s">
        <v>4938</v>
      </c>
      <c r="Q309" s="26" t="s">
        <v>4939</v>
      </c>
      <c r="R309" s="26" t="s">
        <v>3991</v>
      </c>
      <c r="S309" s="26" t="str">
        <f t="shared" si="82"/>
        <v>กลุ่มงานการพยาบาลผู้ป่วยโสต ศอ นาสิก จักษุ</v>
      </c>
      <c r="T309" s="26" t="s">
        <v>4939</v>
      </c>
      <c r="U309" s="26" t="s">
        <v>1302</v>
      </c>
      <c r="V309" s="25">
        <v>13.0</v>
      </c>
      <c r="W309" s="26" t="s">
        <v>3991</v>
      </c>
      <c r="X309" s="98" t="s">
        <v>1312</v>
      </c>
      <c r="Y309" s="31">
        <v>3.0</v>
      </c>
      <c r="Z309" s="31">
        <v>8.0</v>
      </c>
      <c r="AA309" s="31">
        <v>139.0</v>
      </c>
      <c r="AB309" s="31">
        <v>40.0</v>
      </c>
      <c r="AC309" s="32">
        <v>1.0</v>
      </c>
      <c r="AD309" s="26"/>
      <c r="AE309" s="26"/>
      <c r="AF309" s="32">
        <v>22.0</v>
      </c>
      <c r="AG309" s="33">
        <v>1.500701278939E12</v>
      </c>
      <c r="AH309" s="33" t="s">
        <v>1703</v>
      </c>
      <c r="AI309" s="34" t="s">
        <v>4940</v>
      </c>
    </row>
    <row r="310" ht="38.25" hidden="1" customHeight="1">
      <c r="A310" s="25">
        <v>307.0</v>
      </c>
      <c r="B310" s="26" t="s">
        <v>1037</v>
      </c>
      <c r="C310" s="26" t="s">
        <v>4941</v>
      </c>
      <c r="D310" s="26" t="s">
        <v>4942</v>
      </c>
      <c r="E310" s="26" t="s">
        <v>4855</v>
      </c>
      <c r="F310" s="26" t="s">
        <v>4855</v>
      </c>
      <c r="G310" s="27" t="s">
        <v>1110</v>
      </c>
      <c r="H310" s="27" t="s">
        <v>1110</v>
      </c>
      <c r="I310" s="28" t="s">
        <v>4943</v>
      </c>
      <c r="J310" s="29" t="s">
        <v>3949</v>
      </c>
      <c r="K310" s="26" t="s">
        <v>4214</v>
      </c>
      <c r="L310" s="25">
        <v>5.0</v>
      </c>
      <c r="M310" s="26" t="s">
        <v>4855</v>
      </c>
      <c r="N310" s="165" t="s">
        <v>3981</v>
      </c>
      <c r="O310" s="26" t="s">
        <v>4944</v>
      </c>
      <c r="P310" s="26" t="s">
        <v>4945</v>
      </c>
      <c r="Q310" s="26" t="s">
        <v>4869</v>
      </c>
      <c r="R310" s="26" t="s">
        <v>3991</v>
      </c>
      <c r="S310" s="26" t="str">
        <f t="shared" si="82"/>
        <v>กลุ่มงานการพยาบาลผู้ป่วยกุมารเวชกรรม</v>
      </c>
      <c r="T310" s="26" t="s">
        <v>4879</v>
      </c>
      <c r="U310" s="26" t="s">
        <v>1302</v>
      </c>
      <c r="V310" s="25">
        <v>12.0</v>
      </c>
      <c r="W310" s="26" t="s">
        <v>3991</v>
      </c>
      <c r="X310" s="98" t="s">
        <v>1312</v>
      </c>
      <c r="Y310" s="31">
        <v>2.0</v>
      </c>
      <c r="Z310" s="31">
        <v>5.0</v>
      </c>
      <c r="AA310" s="31">
        <v>139.0</v>
      </c>
      <c r="AB310" s="31">
        <v>40.0</v>
      </c>
      <c r="AC310" s="32">
        <v>1.0</v>
      </c>
      <c r="AD310" s="26"/>
      <c r="AE310" s="26"/>
      <c r="AF310" s="32">
        <v>22.0</v>
      </c>
      <c r="AG310" s="37">
        <v>1.509960006437E12</v>
      </c>
      <c r="AH310" s="37" t="s">
        <v>2500</v>
      </c>
      <c r="AI310" s="38" t="s">
        <v>4946</v>
      </c>
    </row>
    <row r="311" ht="38.25" hidden="1" customHeight="1">
      <c r="A311" s="25">
        <v>308.0</v>
      </c>
      <c r="B311" s="26" t="s">
        <v>1037</v>
      </c>
      <c r="C311" s="26" t="s">
        <v>4947</v>
      </c>
      <c r="D311" s="26" t="s">
        <v>4948</v>
      </c>
      <c r="E311" s="26" t="s">
        <v>4855</v>
      </c>
      <c r="F311" s="26" t="s">
        <v>4855</v>
      </c>
      <c r="G311" s="27" t="s">
        <v>1110</v>
      </c>
      <c r="H311" s="27" t="s">
        <v>1110</v>
      </c>
      <c r="I311" s="28" t="s">
        <v>4949</v>
      </c>
      <c r="J311" s="29" t="s">
        <v>3949</v>
      </c>
      <c r="K311" s="26" t="s">
        <v>4214</v>
      </c>
      <c r="L311" s="25">
        <v>5.0</v>
      </c>
      <c r="M311" s="26" t="s">
        <v>4855</v>
      </c>
      <c r="N311" s="166" t="s">
        <v>1174</v>
      </c>
      <c r="O311" s="26" t="s">
        <v>4789</v>
      </c>
      <c r="P311" s="26" t="s">
        <v>4886</v>
      </c>
      <c r="Q311" s="26" t="s">
        <v>4887</v>
      </c>
      <c r="R311" s="26" t="s">
        <v>3991</v>
      </c>
      <c r="S311" s="26" t="str">
        <f t="shared" si="82"/>
        <v>กลุ่มงานการพยาบาลผู้ป่วยนอก</v>
      </c>
      <c r="T311" s="26" t="s">
        <v>4887</v>
      </c>
      <c r="U311" s="26" t="s">
        <v>1302</v>
      </c>
      <c r="V311" s="25">
        <v>2.0</v>
      </c>
      <c r="W311" s="26" t="s">
        <v>3991</v>
      </c>
      <c r="X311" s="98" t="s">
        <v>1312</v>
      </c>
      <c r="Y311" s="31">
        <v>5.0</v>
      </c>
      <c r="Z311" s="31">
        <v>17.0</v>
      </c>
      <c r="AA311" s="31">
        <v>139.0</v>
      </c>
      <c r="AB311" s="31">
        <v>40.0</v>
      </c>
      <c r="AC311" s="32">
        <v>1.0</v>
      </c>
      <c r="AD311" s="26"/>
      <c r="AE311" s="26"/>
      <c r="AF311" s="32">
        <v>22.0</v>
      </c>
      <c r="AG311" s="37">
        <v>1.469900115818E12</v>
      </c>
      <c r="AH311" s="37" t="s">
        <v>1148</v>
      </c>
      <c r="AI311" s="38" t="s">
        <v>4950</v>
      </c>
    </row>
    <row r="312" ht="38.25" hidden="1" customHeight="1">
      <c r="A312" s="32">
        <v>309.0</v>
      </c>
      <c r="B312" s="26" t="s">
        <v>1037</v>
      </c>
      <c r="C312" s="26" t="s">
        <v>4951</v>
      </c>
      <c r="D312" s="26" t="s">
        <v>4952</v>
      </c>
      <c r="E312" s="26" t="s">
        <v>4855</v>
      </c>
      <c r="F312" s="26" t="s">
        <v>4855</v>
      </c>
      <c r="G312" s="27" t="s">
        <v>1110</v>
      </c>
      <c r="H312" s="27" t="s">
        <v>1110</v>
      </c>
      <c r="I312" s="28" t="s">
        <v>4953</v>
      </c>
      <c r="J312" s="29" t="s">
        <v>3949</v>
      </c>
      <c r="K312" s="26" t="s">
        <v>4214</v>
      </c>
      <c r="L312" s="25">
        <v>5.0</v>
      </c>
      <c r="M312" s="26" t="s">
        <v>4855</v>
      </c>
      <c r="N312" s="166" t="s">
        <v>1174</v>
      </c>
      <c r="O312" s="26" t="s">
        <v>4917</v>
      </c>
      <c r="P312" s="26" t="s">
        <v>4918</v>
      </c>
      <c r="Q312" s="26" t="s">
        <v>4919</v>
      </c>
      <c r="R312" s="26" t="s">
        <v>3991</v>
      </c>
      <c r="S312" s="26" t="str">
        <f t="shared" si="82"/>
        <v>กลุ่มงานการพยาบาลผู้ป่วยสูติ - นรีเวช</v>
      </c>
      <c r="T312" s="26" t="s">
        <v>4920</v>
      </c>
      <c r="U312" s="26" t="s">
        <v>1302</v>
      </c>
      <c r="V312" s="25">
        <v>9.0</v>
      </c>
      <c r="W312" s="26" t="s">
        <v>3991</v>
      </c>
      <c r="X312" s="98" t="s">
        <v>1312</v>
      </c>
      <c r="Y312" s="31">
        <v>3.0</v>
      </c>
      <c r="Z312" s="31">
        <v>9.0</v>
      </c>
      <c r="AA312" s="31">
        <v>139.0</v>
      </c>
      <c r="AB312" s="31">
        <v>40.0</v>
      </c>
      <c r="AC312" s="32">
        <v>1.0</v>
      </c>
      <c r="AD312" s="26"/>
      <c r="AE312" s="26"/>
      <c r="AF312" s="32">
        <v>22.0</v>
      </c>
      <c r="AG312" s="33">
        <v>1.571100135166E12</v>
      </c>
      <c r="AH312" s="33" t="s">
        <v>813</v>
      </c>
      <c r="AI312" s="40">
        <v>233878.0</v>
      </c>
    </row>
    <row r="313" ht="38.25" hidden="1" customHeight="1">
      <c r="A313" s="25">
        <v>310.0</v>
      </c>
      <c r="B313" s="26" t="s">
        <v>1037</v>
      </c>
      <c r="C313" s="26" t="s">
        <v>4954</v>
      </c>
      <c r="D313" s="26" t="s">
        <v>4955</v>
      </c>
      <c r="E313" s="26" t="s">
        <v>4855</v>
      </c>
      <c r="F313" s="26" t="s">
        <v>4855</v>
      </c>
      <c r="G313" s="27" t="s">
        <v>1110</v>
      </c>
      <c r="H313" s="27" t="s">
        <v>1110</v>
      </c>
      <c r="I313" s="28" t="s">
        <v>4956</v>
      </c>
      <c r="J313" s="29" t="s">
        <v>3949</v>
      </c>
      <c r="K313" s="26" t="s">
        <v>4214</v>
      </c>
      <c r="L313" s="25">
        <v>5.0</v>
      </c>
      <c r="M313" s="26" t="s">
        <v>4855</v>
      </c>
      <c r="N313" s="165" t="s">
        <v>3981</v>
      </c>
      <c r="O313" s="26" t="s">
        <v>4957</v>
      </c>
      <c r="P313" s="26" t="s">
        <v>4958</v>
      </c>
      <c r="Q313" s="26" t="s">
        <v>4959</v>
      </c>
      <c r="R313" s="26" t="s">
        <v>3991</v>
      </c>
      <c r="S313" s="26" t="str">
        <f t="shared" si="82"/>
        <v>กลุ่มงานการพยาบาลผู้ป่วยกุมารเวชกรรม</v>
      </c>
      <c r="T313" s="26" t="s">
        <v>4879</v>
      </c>
      <c r="U313" s="26" t="s">
        <v>1302</v>
      </c>
      <c r="V313" s="25">
        <v>11.0</v>
      </c>
      <c r="W313" s="26" t="s">
        <v>3991</v>
      </c>
      <c r="X313" s="98" t="s">
        <v>1312</v>
      </c>
      <c r="Y313" s="31">
        <v>2.0</v>
      </c>
      <c r="Z313" s="31">
        <v>12.0</v>
      </c>
      <c r="AA313" s="31">
        <v>139.0</v>
      </c>
      <c r="AB313" s="31">
        <v>40.0</v>
      </c>
      <c r="AC313" s="32">
        <v>1.0</v>
      </c>
      <c r="AD313" s="26"/>
      <c r="AE313" s="26"/>
      <c r="AF313" s="32">
        <v>22.0</v>
      </c>
      <c r="AG313" s="37">
        <v>1.580700015446E12</v>
      </c>
      <c r="AH313" s="37" t="s">
        <v>1466</v>
      </c>
      <c r="AI313" s="38" t="s">
        <v>4960</v>
      </c>
    </row>
    <row r="314" ht="38.25" hidden="1" customHeight="1">
      <c r="A314" s="25">
        <v>311.0</v>
      </c>
      <c r="B314" s="26" t="s">
        <v>1037</v>
      </c>
      <c r="C314" s="26" t="s">
        <v>4961</v>
      </c>
      <c r="D314" s="26" t="s">
        <v>4962</v>
      </c>
      <c r="E314" s="26" t="s">
        <v>4855</v>
      </c>
      <c r="F314" s="26" t="s">
        <v>4855</v>
      </c>
      <c r="G314" s="27" t="s">
        <v>1110</v>
      </c>
      <c r="H314" s="27" t="s">
        <v>1110</v>
      </c>
      <c r="I314" s="28" t="s">
        <v>4963</v>
      </c>
      <c r="J314" s="29" t="s">
        <v>3949</v>
      </c>
      <c r="K314" s="26" t="s">
        <v>4214</v>
      </c>
      <c r="L314" s="25">
        <v>5.0</v>
      </c>
      <c r="M314" s="26" t="s">
        <v>4855</v>
      </c>
      <c r="N314" s="166" t="s">
        <v>1174</v>
      </c>
      <c r="O314" s="26" t="s">
        <v>4789</v>
      </c>
      <c r="P314" s="26" t="s">
        <v>4886</v>
      </c>
      <c r="Q314" s="26" t="s">
        <v>4887</v>
      </c>
      <c r="R314" s="26" t="s">
        <v>3991</v>
      </c>
      <c r="S314" s="26" t="str">
        <f t="shared" si="82"/>
        <v>กลุ่มงานการพยาบาลผู้ป่วยนอก</v>
      </c>
      <c r="T314" s="26" t="s">
        <v>4887</v>
      </c>
      <c r="U314" s="26" t="s">
        <v>1302</v>
      </c>
      <c r="V314" s="25">
        <v>2.0</v>
      </c>
      <c r="W314" s="26" t="s">
        <v>3991</v>
      </c>
      <c r="X314" s="98" t="s">
        <v>1312</v>
      </c>
      <c r="Y314" s="31">
        <v>5.0</v>
      </c>
      <c r="Z314" s="31">
        <v>17.0</v>
      </c>
      <c r="AA314" s="31">
        <v>139.0</v>
      </c>
      <c r="AB314" s="31">
        <v>40.0</v>
      </c>
      <c r="AC314" s="32">
        <v>1.0</v>
      </c>
      <c r="AD314" s="26"/>
      <c r="AE314" s="26"/>
      <c r="AF314" s="32">
        <v>22.0</v>
      </c>
      <c r="AG314" s="33">
        <v>1.580500053166E12</v>
      </c>
      <c r="AH314" s="33" t="s">
        <v>1289</v>
      </c>
      <c r="AI314" s="40">
        <v>231235.0</v>
      </c>
    </row>
    <row r="315" ht="38.25" hidden="1" customHeight="1">
      <c r="A315" s="32">
        <v>312.0</v>
      </c>
      <c r="B315" s="26" t="s">
        <v>1037</v>
      </c>
      <c r="C315" s="26" t="s">
        <v>1254</v>
      </c>
      <c r="D315" s="26" t="s">
        <v>4964</v>
      </c>
      <c r="E315" s="26" t="s">
        <v>4855</v>
      </c>
      <c r="F315" s="26" t="s">
        <v>4855</v>
      </c>
      <c r="G315" s="27" t="s">
        <v>1110</v>
      </c>
      <c r="H315" s="27" t="s">
        <v>1110</v>
      </c>
      <c r="I315" s="28" t="s">
        <v>4965</v>
      </c>
      <c r="J315" s="29" t="s">
        <v>3949</v>
      </c>
      <c r="K315" s="26" t="s">
        <v>4214</v>
      </c>
      <c r="L315" s="25">
        <v>5.0</v>
      </c>
      <c r="M315" s="26" t="s">
        <v>4855</v>
      </c>
      <c r="N315" s="166" t="s">
        <v>1174</v>
      </c>
      <c r="O315" s="26" t="s">
        <v>4862</v>
      </c>
      <c r="P315" s="26" t="s">
        <v>4863</v>
      </c>
      <c r="Q315" s="26" t="s">
        <v>4858</v>
      </c>
      <c r="R315" s="26" t="s">
        <v>3991</v>
      </c>
      <c r="S315" s="26" t="str">
        <f t="shared" si="82"/>
        <v>กลุ่มงานการพยาบาลผู้ป่วยศัลยกรรม</v>
      </c>
      <c r="T315" s="26" t="s">
        <v>4858</v>
      </c>
      <c r="U315" s="26" t="s">
        <v>1302</v>
      </c>
      <c r="V315" s="25">
        <v>8.0</v>
      </c>
      <c r="W315" s="26" t="s">
        <v>3991</v>
      </c>
      <c r="X315" s="98" t="s">
        <v>1312</v>
      </c>
      <c r="Y315" s="31">
        <v>2.0</v>
      </c>
      <c r="Z315" s="31">
        <v>8.0</v>
      </c>
      <c r="AA315" s="31">
        <v>139.0</v>
      </c>
      <c r="AB315" s="31">
        <v>40.0</v>
      </c>
      <c r="AC315" s="32">
        <v>1.0</v>
      </c>
      <c r="AD315" s="26"/>
      <c r="AE315" s="26"/>
      <c r="AF315" s="32">
        <v>22.0</v>
      </c>
      <c r="AG315" s="37">
        <v>1.309900397024E12</v>
      </c>
      <c r="AH315" s="37" t="s">
        <v>1258</v>
      </c>
      <c r="AI315" s="38" t="s">
        <v>4966</v>
      </c>
    </row>
    <row r="316" ht="38.25" hidden="1" customHeight="1">
      <c r="A316" s="25">
        <v>313.0</v>
      </c>
      <c r="B316" s="26" t="s">
        <v>1037</v>
      </c>
      <c r="C316" s="26" t="s">
        <v>4967</v>
      </c>
      <c r="D316" s="26" t="s">
        <v>4968</v>
      </c>
      <c r="E316" s="26" t="s">
        <v>4855</v>
      </c>
      <c r="F316" s="26" t="s">
        <v>4855</v>
      </c>
      <c r="G316" s="27" t="s">
        <v>1110</v>
      </c>
      <c r="H316" s="27" t="s">
        <v>1110</v>
      </c>
      <c r="I316" s="28" t="s">
        <v>4969</v>
      </c>
      <c r="J316" s="29" t="s">
        <v>3949</v>
      </c>
      <c r="K316" s="26" t="s">
        <v>4214</v>
      </c>
      <c r="L316" s="25">
        <v>5.0</v>
      </c>
      <c r="M316" s="26" t="s">
        <v>4855</v>
      </c>
      <c r="N316" s="166" t="s">
        <v>1174</v>
      </c>
      <c r="O316" s="26" t="s">
        <v>4872</v>
      </c>
      <c r="P316" s="26" t="s">
        <v>4873</v>
      </c>
      <c r="Q316" s="26" t="s">
        <v>4874</v>
      </c>
      <c r="R316" s="26" t="s">
        <v>3991</v>
      </c>
      <c r="S316" s="26" t="str">
        <f t="shared" si="82"/>
        <v>กลุ่มงานการพยาบาลผู้ป่วยอายุรกรรม</v>
      </c>
      <c r="T316" s="26" t="s">
        <v>4874</v>
      </c>
      <c r="U316" s="26" t="s">
        <v>1302</v>
      </c>
      <c r="V316" s="25">
        <v>7.0</v>
      </c>
      <c r="W316" s="26" t="s">
        <v>3991</v>
      </c>
      <c r="X316" s="98" t="s">
        <v>1312</v>
      </c>
      <c r="Y316" s="31">
        <v>10.0</v>
      </c>
      <c r="Z316" s="31">
        <v>16.0</v>
      </c>
      <c r="AA316" s="31">
        <v>139.0</v>
      </c>
      <c r="AB316" s="31">
        <v>40.0</v>
      </c>
      <c r="AC316" s="32">
        <v>1.0</v>
      </c>
      <c r="AD316" s="26"/>
      <c r="AE316" s="26"/>
      <c r="AF316" s="32">
        <v>22.0</v>
      </c>
      <c r="AG316" s="37">
        <v>1.500701258776E12</v>
      </c>
      <c r="AH316" s="37" t="s">
        <v>1143</v>
      </c>
      <c r="AI316" s="44">
        <v>234646.0</v>
      </c>
    </row>
    <row r="317" ht="38.25" hidden="1" customHeight="1">
      <c r="A317" s="25">
        <v>314.0</v>
      </c>
      <c r="B317" s="26" t="s">
        <v>1037</v>
      </c>
      <c r="C317" s="26" t="s">
        <v>4970</v>
      </c>
      <c r="D317" s="26" t="s">
        <v>4971</v>
      </c>
      <c r="E317" s="26" t="s">
        <v>4855</v>
      </c>
      <c r="F317" s="26" t="s">
        <v>4855</v>
      </c>
      <c r="G317" s="27" t="s">
        <v>1110</v>
      </c>
      <c r="H317" s="27" t="s">
        <v>1110</v>
      </c>
      <c r="I317" s="28" t="s">
        <v>4972</v>
      </c>
      <c r="J317" s="29" t="s">
        <v>3949</v>
      </c>
      <c r="K317" s="26" t="s">
        <v>4214</v>
      </c>
      <c r="L317" s="25">
        <v>5.0</v>
      </c>
      <c r="M317" s="26" t="s">
        <v>4855</v>
      </c>
      <c r="N317" s="165" t="s">
        <v>3981</v>
      </c>
      <c r="O317" s="26" t="s">
        <v>4944</v>
      </c>
      <c r="P317" s="26" t="s">
        <v>4945</v>
      </c>
      <c r="Q317" s="26" t="s">
        <v>4869</v>
      </c>
      <c r="R317" s="26" t="s">
        <v>3991</v>
      </c>
      <c r="S317" s="26" t="str">
        <f t="shared" si="82"/>
        <v>กลุ่มงานการพยาบาลผู้ป่วยกุมารเวชกรรม</v>
      </c>
      <c r="T317" s="26" t="s">
        <v>4879</v>
      </c>
      <c r="U317" s="26" t="s">
        <v>1302</v>
      </c>
      <c r="V317" s="25">
        <v>12.0</v>
      </c>
      <c r="W317" s="26" t="s">
        <v>3991</v>
      </c>
      <c r="X317" s="98" t="s">
        <v>1312</v>
      </c>
      <c r="Y317" s="31">
        <v>2.0</v>
      </c>
      <c r="Z317" s="31">
        <v>5.0</v>
      </c>
      <c r="AA317" s="31">
        <v>139.0</v>
      </c>
      <c r="AB317" s="31">
        <v>40.0</v>
      </c>
      <c r="AC317" s="32">
        <v>1.0</v>
      </c>
      <c r="AD317" s="26"/>
      <c r="AE317" s="26"/>
      <c r="AF317" s="32">
        <v>22.0</v>
      </c>
      <c r="AG317" s="37">
        <v>1.501601148384E12</v>
      </c>
      <c r="AH317" s="37" t="s">
        <v>1940</v>
      </c>
      <c r="AI317" s="38" t="s">
        <v>4973</v>
      </c>
    </row>
    <row r="318" ht="38.25" hidden="1" customHeight="1">
      <c r="A318" s="25">
        <v>315.0</v>
      </c>
      <c r="B318" s="26" t="s">
        <v>1037</v>
      </c>
      <c r="C318" s="26" t="s">
        <v>4300</v>
      </c>
      <c r="D318" s="26" t="s">
        <v>4974</v>
      </c>
      <c r="E318" s="26" t="s">
        <v>4855</v>
      </c>
      <c r="F318" s="26" t="s">
        <v>4855</v>
      </c>
      <c r="G318" s="27" t="s">
        <v>1110</v>
      </c>
      <c r="H318" s="27" t="s">
        <v>1110</v>
      </c>
      <c r="I318" s="28" t="s">
        <v>4975</v>
      </c>
      <c r="J318" s="29" t="s">
        <v>3949</v>
      </c>
      <c r="K318" s="26" t="s">
        <v>4214</v>
      </c>
      <c r="L318" s="25">
        <v>5.0</v>
      </c>
      <c r="M318" s="26" t="s">
        <v>4855</v>
      </c>
      <c r="N318" s="166" t="s">
        <v>1174</v>
      </c>
      <c r="O318" s="26" t="s">
        <v>4027</v>
      </c>
      <c r="P318" s="26" t="s">
        <v>4027</v>
      </c>
      <c r="Q318" s="26" t="s">
        <v>4028</v>
      </c>
      <c r="R318" s="26" t="s">
        <v>3991</v>
      </c>
      <c r="S318" s="26" t="str">
        <f t="shared" si="82"/>
        <v>กลุ่มงานการพยาบาลตรวจรักษาพิเศษ</v>
      </c>
      <c r="T318" s="26" t="s">
        <v>4028</v>
      </c>
      <c r="U318" s="26" t="s">
        <v>1302</v>
      </c>
      <c r="V318" s="25">
        <v>15.0</v>
      </c>
      <c r="W318" s="26" t="s">
        <v>3991</v>
      </c>
      <c r="X318" s="98" t="s">
        <v>1312</v>
      </c>
      <c r="Y318" s="31">
        <v>2.0</v>
      </c>
      <c r="Z318" s="31">
        <v>9.0</v>
      </c>
      <c r="AA318" s="31">
        <v>139.0</v>
      </c>
      <c r="AB318" s="31">
        <v>40.0</v>
      </c>
      <c r="AC318" s="32">
        <v>1.0</v>
      </c>
      <c r="AD318" s="26"/>
      <c r="AE318" s="26"/>
      <c r="AF318" s="32">
        <v>22.0</v>
      </c>
      <c r="AG318" s="37">
        <v>1.50070124788E12</v>
      </c>
      <c r="AH318" s="37" t="s">
        <v>2335</v>
      </c>
      <c r="AI318" s="44">
        <v>234223.0</v>
      </c>
    </row>
    <row r="319" ht="38.25" hidden="1" customHeight="1">
      <c r="A319" s="32">
        <v>316.0</v>
      </c>
      <c r="B319" s="26" t="s">
        <v>1037</v>
      </c>
      <c r="C319" s="26" t="s">
        <v>4976</v>
      </c>
      <c r="D319" s="26" t="s">
        <v>4977</v>
      </c>
      <c r="E319" s="26" t="s">
        <v>4855</v>
      </c>
      <c r="F319" s="26" t="s">
        <v>4855</v>
      </c>
      <c r="G319" s="27" t="s">
        <v>1110</v>
      </c>
      <c r="H319" s="27" t="s">
        <v>1110</v>
      </c>
      <c r="I319" s="28" t="s">
        <v>4978</v>
      </c>
      <c r="J319" s="29" t="s">
        <v>3949</v>
      </c>
      <c r="K319" s="26" t="s">
        <v>4214</v>
      </c>
      <c r="L319" s="25">
        <v>5.0</v>
      </c>
      <c r="M319" s="26" t="s">
        <v>4855</v>
      </c>
      <c r="N319" s="166" t="s">
        <v>1174</v>
      </c>
      <c r="O319" s="26" t="s">
        <v>4789</v>
      </c>
      <c r="P319" s="26" t="s">
        <v>4886</v>
      </c>
      <c r="Q319" s="26" t="s">
        <v>4887</v>
      </c>
      <c r="R319" s="26" t="s">
        <v>3991</v>
      </c>
      <c r="S319" s="26" t="str">
        <f t="shared" si="82"/>
        <v>กลุ่มงานการพยาบาลผู้ป่วยนอก</v>
      </c>
      <c r="T319" s="26" t="s">
        <v>4887</v>
      </c>
      <c r="U319" s="26" t="s">
        <v>1302</v>
      </c>
      <c r="V319" s="25">
        <v>2.0</v>
      </c>
      <c r="W319" s="26" t="s">
        <v>3991</v>
      </c>
      <c r="X319" s="98" t="s">
        <v>1312</v>
      </c>
      <c r="Y319" s="31">
        <v>5.0</v>
      </c>
      <c r="Z319" s="31">
        <v>17.0</v>
      </c>
      <c r="AA319" s="31">
        <v>139.0</v>
      </c>
      <c r="AB319" s="31">
        <v>40.0</v>
      </c>
      <c r="AC319" s="32">
        <v>1.0</v>
      </c>
      <c r="AD319" s="26"/>
      <c r="AE319" s="26"/>
      <c r="AF319" s="32">
        <v>22.0</v>
      </c>
      <c r="AG319" s="33">
        <v>1.500700124873E12</v>
      </c>
      <c r="AH319" s="33" t="s">
        <v>2942</v>
      </c>
      <c r="AI319" s="40">
        <v>231814.0</v>
      </c>
    </row>
    <row r="320" ht="38.25" hidden="1" customHeight="1">
      <c r="A320" s="25">
        <v>317.0</v>
      </c>
      <c r="B320" s="26" t="s">
        <v>1037</v>
      </c>
      <c r="C320" s="26" t="s">
        <v>4979</v>
      </c>
      <c r="D320" s="26" t="s">
        <v>4980</v>
      </c>
      <c r="E320" s="26" t="s">
        <v>4855</v>
      </c>
      <c r="F320" s="26" t="s">
        <v>4855</v>
      </c>
      <c r="G320" s="27" t="s">
        <v>1110</v>
      </c>
      <c r="H320" s="27" t="s">
        <v>1110</v>
      </c>
      <c r="I320" s="28" t="s">
        <v>4981</v>
      </c>
      <c r="J320" s="29" t="s">
        <v>3949</v>
      </c>
      <c r="K320" s="26" t="s">
        <v>4214</v>
      </c>
      <c r="L320" s="25">
        <v>5.0</v>
      </c>
      <c r="M320" s="26" t="s">
        <v>4855</v>
      </c>
      <c r="N320" s="166" t="s">
        <v>1174</v>
      </c>
      <c r="O320" s="26" t="s">
        <v>4937</v>
      </c>
      <c r="P320" s="26" t="s">
        <v>4938</v>
      </c>
      <c r="Q320" s="26" t="s">
        <v>4939</v>
      </c>
      <c r="R320" s="26" t="s">
        <v>3991</v>
      </c>
      <c r="S320" s="26" t="str">
        <f t="shared" si="82"/>
        <v>กลุ่มงานการพยาบาลผู้ป่วยโสต ศอ นาสิก จักษุ</v>
      </c>
      <c r="T320" s="26" t="s">
        <v>4939</v>
      </c>
      <c r="U320" s="26" t="s">
        <v>1302</v>
      </c>
      <c r="V320" s="25">
        <v>13.0</v>
      </c>
      <c r="W320" s="26" t="s">
        <v>3991</v>
      </c>
      <c r="X320" s="98" t="s">
        <v>1312</v>
      </c>
      <c r="Y320" s="31">
        <v>3.0</v>
      </c>
      <c r="Z320" s="31">
        <v>8.0</v>
      </c>
      <c r="AA320" s="31">
        <v>139.0</v>
      </c>
      <c r="AB320" s="31">
        <v>40.0</v>
      </c>
      <c r="AC320" s="32">
        <v>1.0</v>
      </c>
      <c r="AD320" s="26"/>
      <c r="AE320" s="26"/>
      <c r="AF320" s="32">
        <v>22.0</v>
      </c>
      <c r="AG320" s="33">
        <v>1.509900967023E12</v>
      </c>
      <c r="AH320" s="33" t="s">
        <v>1699</v>
      </c>
      <c r="AI320" s="40">
        <v>231599.0</v>
      </c>
    </row>
    <row r="321" ht="38.25" hidden="1" customHeight="1">
      <c r="A321" s="25">
        <v>318.0</v>
      </c>
      <c r="B321" s="26" t="s">
        <v>1037</v>
      </c>
      <c r="C321" s="26" t="s">
        <v>4982</v>
      </c>
      <c r="D321" s="26" t="s">
        <v>4983</v>
      </c>
      <c r="E321" s="26" t="s">
        <v>4855</v>
      </c>
      <c r="F321" s="26" t="s">
        <v>4855</v>
      </c>
      <c r="G321" s="27" t="s">
        <v>1110</v>
      </c>
      <c r="H321" s="27" t="s">
        <v>1110</v>
      </c>
      <c r="I321" s="28" t="s">
        <v>4984</v>
      </c>
      <c r="J321" s="29" t="s">
        <v>3949</v>
      </c>
      <c r="K321" s="26" t="s">
        <v>4214</v>
      </c>
      <c r="L321" s="25">
        <v>5.0</v>
      </c>
      <c r="M321" s="26" t="s">
        <v>4855</v>
      </c>
      <c r="N321" s="166" t="s">
        <v>1174</v>
      </c>
      <c r="O321" s="26" t="s">
        <v>4937</v>
      </c>
      <c r="P321" s="26" t="s">
        <v>4938</v>
      </c>
      <c r="Q321" s="26" t="s">
        <v>4939</v>
      </c>
      <c r="R321" s="26" t="s">
        <v>3991</v>
      </c>
      <c r="S321" s="26" t="str">
        <f t="shared" si="82"/>
        <v>กลุ่มงานการพยาบาลผู้ป่วยโสต ศอ นาสิก จักษุ</v>
      </c>
      <c r="T321" s="26" t="s">
        <v>4939</v>
      </c>
      <c r="U321" s="26" t="s">
        <v>1302</v>
      </c>
      <c r="V321" s="25">
        <v>13.0</v>
      </c>
      <c r="W321" s="26" t="s">
        <v>3991</v>
      </c>
      <c r="X321" s="98" t="s">
        <v>1312</v>
      </c>
      <c r="Y321" s="31">
        <v>3.0</v>
      </c>
      <c r="Z321" s="31">
        <v>8.0</v>
      </c>
      <c r="AA321" s="31">
        <v>139.0</v>
      </c>
      <c r="AB321" s="31">
        <v>40.0</v>
      </c>
      <c r="AC321" s="32">
        <v>1.0</v>
      </c>
      <c r="AD321" s="26"/>
      <c r="AE321" s="26"/>
      <c r="AF321" s="32">
        <v>22.0</v>
      </c>
      <c r="AG321" s="37">
        <v>1.340400149864E12</v>
      </c>
      <c r="AH321" s="37" t="s">
        <v>1470</v>
      </c>
      <c r="AI321" s="44">
        <v>231632.0</v>
      </c>
    </row>
    <row r="322" ht="38.25" hidden="1" customHeight="1">
      <c r="A322" s="32">
        <v>319.0</v>
      </c>
      <c r="B322" s="26" t="s">
        <v>806</v>
      </c>
      <c r="C322" s="26" t="s">
        <v>4985</v>
      </c>
      <c r="D322" s="26" t="s">
        <v>4986</v>
      </c>
      <c r="E322" s="26" t="s">
        <v>4855</v>
      </c>
      <c r="F322" s="26" t="s">
        <v>4855</v>
      </c>
      <c r="G322" s="27" t="s">
        <v>1110</v>
      </c>
      <c r="H322" s="27" t="s">
        <v>1110</v>
      </c>
      <c r="I322" s="28" t="s">
        <v>4987</v>
      </c>
      <c r="J322" s="29" t="s">
        <v>3949</v>
      </c>
      <c r="K322" s="26" t="s">
        <v>4214</v>
      </c>
      <c r="L322" s="25">
        <v>5.0</v>
      </c>
      <c r="M322" s="26" t="s">
        <v>4855</v>
      </c>
      <c r="N322" s="165" t="s">
        <v>3981</v>
      </c>
      <c r="O322" s="26" t="s">
        <v>4882</v>
      </c>
      <c r="P322" s="26" t="s">
        <v>4883</v>
      </c>
      <c r="Q322" s="26" t="s">
        <v>4874</v>
      </c>
      <c r="R322" s="26" t="s">
        <v>3991</v>
      </c>
      <c r="S322" s="26" t="str">
        <f t="shared" si="82"/>
        <v>กลุ่มงานการพยาบาลผู้ป่วยกุมารเวชกรรม</v>
      </c>
      <c r="T322" s="26" t="s">
        <v>4879</v>
      </c>
      <c r="U322" s="26" t="s">
        <v>1302</v>
      </c>
      <c r="V322" s="25">
        <v>7.0</v>
      </c>
      <c r="W322" s="26" t="s">
        <v>3991</v>
      </c>
      <c r="X322" s="98" t="s">
        <v>1312</v>
      </c>
      <c r="Y322" s="31">
        <v>10.0</v>
      </c>
      <c r="Z322" s="31">
        <v>16.0</v>
      </c>
      <c r="AA322" s="31">
        <v>139.0</v>
      </c>
      <c r="AB322" s="31">
        <v>40.0</v>
      </c>
      <c r="AC322" s="32">
        <v>1.0</v>
      </c>
      <c r="AD322" s="26"/>
      <c r="AE322" s="26"/>
      <c r="AF322" s="32">
        <v>22.0</v>
      </c>
      <c r="AG322" s="33">
        <v>1.659900451352E12</v>
      </c>
      <c r="AH322" s="33" t="s">
        <v>2402</v>
      </c>
      <c r="AI322" s="34" t="s">
        <v>4988</v>
      </c>
    </row>
    <row r="323" ht="38.25" hidden="1" customHeight="1">
      <c r="A323" s="25">
        <v>320.0</v>
      </c>
      <c r="B323" s="26" t="s">
        <v>1037</v>
      </c>
      <c r="C323" s="26" t="s">
        <v>4989</v>
      </c>
      <c r="D323" s="26" t="s">
        <v>4990</v>
      </c>
      <c r="E323" s="26" t="s">
        <v>4855</v>
      </c>
      <c r="F323" s="26" t="s">
        <v>4855</v>
      </c>
      <c r="G323" s="27" t="s">
        <v>1110</v>
      </c>
      <c r="H323" s="27" t="s">
        <v>1110</v>
      </c>
      <c r="I323" s="28" t="s">
        <v>4991</v>
      </c>
      <c r="J323" s="29" t="s">
        <v>3949</v>
      </c>
      <c r="K323" s="26" t="s">
        <v>4214</v>
      </c>
      <c r="L323" s="25">
        <v>5.0</v>
      </c>
      <c r="M323" s="26" t="s">
        <v>4855</v>
      </c>
      <c r="N323" s="166" t="s">
        <v>1174</v>
      </c>
      <c r="O323" s="26" t="s">
        <v>4904</v>
      </c>
      <c r="P323" s="26" t="s">
        <v>4905</v>
      </c>
      <c r="Q323" s="26" t="s">
        <v>4874</v>
      </c>
      <c r="R323" s="26" t="s">
        <v>3991</v>
      </c>
      <c r="S323" s="26" t="str">
        <f t="shared" si="82"/>
        <v>กลุ่มงานการพยาบาลผู้ป่วยอายุรกรรม</v>
      </c>
      <c r="T323" s="26" t="s">
        <v>4874</v>
      </c>
      <c r="U323" s="26" t="s">
        <v>1302</v>
      </c>
      <c r="V323" s="25">
        <v>7.0</v>
      </c>
      <c r="W323" s="26" t="s">
        <v>3991</v>
      </c>
      <c r="X323" s="98" t="s">
        <v>1312</v>
      </c>
      <c r="Y323" s="31">
        <v>10.0</v>
      </c>
      <c r="Z323" s="31">
        <v>16.0</v>
      </c>
      <c r="AA323" s="31">
        <v>139.0</v>
      </c>
      <c r="AB323" s="31">
        <v>40.0</v>
      </c>
      <c r="AC323" s="32">
        <v>1.0</v>
      </c>
      <c r="AD323" s="26"/>
      <c r="AE323" s="26"/>
      <c r="AF323" s="32">
        <v>22.0</v>
      </c>
      <c r="AG323" s="33">
        <v>1.749900783311E12</v>
      </c>
      <c r="AH323" s="33" t="s">
        <v>1284</v>
      </c>
      <c r="AI323" s="34" t="s">
        <v>4992</v>
      </c>
    </row>
    <row r="324" ht="38.25" hidden="1" customHeight="1">
      <c r="A324" s="25">
        <v>321.0</v>
      </c>
      <c r="B324" s="26"/>
      <c r="C324" s="26"/>
      <c r="D324" s="26"/>
      <c r="E324" s="26" t="s">
        <v>4855</v>
      </c>
      <c r="F324" s="26" t="s">
        <v>4855</v>
      </c>
      <c r="G324" s="27" t="s">
        <v>1110</v>
      </c>
      <c r="H324" s="27" t="s">
        <v>1110</v>
      </c>
      <c r="I324" s="28" t="s">
        <v>4993</v>
      </c>
      <c r="J324" s="29" t="s">
        <v>3949</v>
      </c>
      <c r="K324" s="26" t="s">
        <v>4214</v>
      </c>
      <c r="L324" s="25">
        <v>5.0</v>
      </c>
      <c r="M324" s="26" t="s">
        <v>4855</v>
      </c>
      <c r="N324" s="165" t="s">
        <v>3981</v>
      </c>
      <c r="O324" s="26" t="s">
        <v>4867</v>
      </c>
      <c r="P324" s="26" t="s">
        <v>4868</v>
      </c>
      <c r="Q324" s="26" t="s">
        <v>4869</v>
      </c>
      <c r="R324" s="26" t="s">
        <v>3991</v>
      </c>
      <c r="S324" s="26" t="str">
        <f t="shared" si="82"/>
        <v>กลุ่มงานการพยาบาลผู้ป่วยออร์โธปิดิกส์</v>
      </c>
      <c r="T324" s="26" t="s">
        <v>4869</v>
      </c>
      <c r="U324" s="26" t="s">
        <v>1302</v>
      </c>
      <c r="V324" s="25">
        <v>12.0</v>
      </c>
      <c r="W324" s="26" t="s">
        <v>3991</v>
      </c>
      <c r="X324" s="98" t="s">
        <v>1312</v>
      </c>
      <c r="Y324" s="31">
        <v>2.0</v>
      </c>
      <c r="Z324" s="31">
        <v>5.0</v>
      </c>
      <c r="AA324" s="31">
        <v>139.0</v>
      </c>
      <c r="AB324" s="31">
        <v>40.0</v>
      </c>
      <c r="AC324" s="32">
        <v>0.0</v>
      </c>
      <c r="AD324" s="26" t="s">
        <v>4155</v>
      </c>
      <c r="AE324" s="26"/>
      <c r="AF324" s="32">
        <v>22.0</v>
      </c>
      <c r="AG324" s="65"/>
      <c r="AH324" s="65"/>
      <c r="AI324" s="66"/>
    </row>
    <row r="325" ht="38.25" hidden="1" customHeight="1">
      <c r="A325" s="32">
        <v>322.0</v>
      </c>
      <c r="B325" s="26"/>
      <c r="C325" s="26"/>
      <c r="D325" s="26"/>
      <c r="E325" s="26" t="s">
        <v>4855</v>
      </c>
      <c r="F325" s="26" t="s">
        <v>4855</v>
      </c>
      <c r="G325" s="77" t="s">
        <v>1110</v>
      </c>
      <c r="H325" s="77" t="s">
        <v>1110</v>
      </c>
      <c r="I325" s="28" t="s">
        <v>4994</v>
      </c>
      <c r="J325" s="29" t="s">
        <v>3949</v>
      </c>
      <c r="K325" s="26" t="s">
        <v>4214</v>
      </c>
      <c r="L325" s="25">
        <v>5.0</v>
      </c>
      <c r="M325" s="26" t="s">
        <v>4855</v>
      </c>
      <c r="N325" s="167" t="s">
        <v>1174</v>
      </c>
      <c r="O325" s="76" t="s">
        <v>4789</v>
      </c>
      <c r="P325" s="76" t="s">
        <v>4886</v>
      </c>
      <c r="Q325" s="76" t="s">
        <v>4887</v>
      </c>
      <c r="R325" s="76" t="s">
        <v>3991</v>
      </c>
      <c r="S325" s="26" t="str">
        <f t="shared" si="82"/>
        <v>กลุ่มงานการพยาบาลผู้ป่วยนอก</v>
      </c>
      <c r="T325" s="26" t="s">
        <v>4887</v>
      </c>
      <c r="U325" s="26" t="s">
        <v>1302</v>
      </c>
      <c r="V325" s="25">
        <v>2.0</v>
      </c>
      <c r="W325" s="26" t="s">
        <v>3991</v>
      </c>
      <c r="X325" s="98" t="s">
        <v>1312</v>
      </c>
      <c r="Y325" s="31">
        <v>5.0</v>
      </c>
      <c r="Z325" s="31">
        <v>17.0</v>
      </c>
      <c r="AA325" s="31">
        <v>139.0</v>
      </c>
      <c r="AB325" s="31">
        <v>40.0</v>
      </c>
      <c r="AC325" s="32">
        <v>0.0</v>
      </c>
      <c r="AD325" s="26" t="s">
        <v>4155</v>
      </c>
      <c r="AE325" s="26"/>
      <c r="AF325" s="32">
        <v>22.0</v>
      </c>
      <c r="AG325" s="65"/>
      <c r="AH325" s="65"/>
      <c r="AI325" s="66"/>
    </row>
    <row r="326" ht="38.25" hidden="1" customHeight="1">
      <c r="A326" s="25">
        <v>323.0</v>
      </c>
      <c r="B326" s="26"/>
      <c r="C326" s="26"/>
      <c r="D326" s="26"/>
      <c r="E326" s="26" t="s">
        <v>4855</v>
      </c>
      <c r="F326" s="26" t="s">
        <v>4855</v>
      </c>
      <c r="G326" s="77" t="s">
        <v>1110</v>
      </c>
      <c r="H326" s="77" t="s">
        <v>1110</v>
      </c>
      <c r="I326" s="28" t="s">
        <v>4995</v>
      </c>
      <c r="J326" s="29" t="s">
        <v>3949</v>
      </c>
      <c r="K326" s="26" t="s">
        <v>4214</v>
      </c>
      <c r="L326" s="25">
        <v>5.0</v>
      </c>
      <c r="M326" s="26" t="s">
        <v>4855</v>
      </c>
      <c r="N326" s="167" t="s">
        <v>1174</v>
      </c>
      <c r="O326" s="76" t="s">
        <v>4872</v>
      </c>
      <c r="P326" s="76" t="s">
        <v>4873</v>
      </c>
      <c r="Q326" s="76" t="s">
        <v>4874</v>
      </c>
      <c r="R326" s="76" t="s">
        <v>3991</v>
      </c>
      <c r="S326" s="26" t="str">
        <f t="shared" si="82"/>
        <v>กลุ่มงานการพยาบาลผู้ป่วยอายุรกรรม</v>
      </c>
      <c r="T326" s="26" t="s">
        <v>4874</v>
      </c>
      <c r="U326" s="26" t="s">
        <v>1302</v>
      </c>
      <c r="V326" s="25">
        <v>7.0</v>
      </c>
      <c r="W326" s="26" t="s">
        <v>3991</v>
      </c>
      <c r="X326" s="98" t="s">
        <v>1312</v>
      </c>
      <c r="Y326" s="31">
        <v>10.0</v>
      </c>
      <c r="Z326" s="31">
        <v>16.0</v>
      </c>
      <c r="AA326" s="31">
        <v>139.0</v>
      </c>
      <c r="AB326" s="31">
        <v>40.0</v>
      </c>
      <c r="AC326" s="32">
        <v>0.0</v>
      </c>
      <c r="AD326" s="26" t="s">
        <v>4155</v>
      </c>
      <c r="AE326" s="26"/>
      <c r="AF326" s="32">
        <v>22.0</v>
      </c>
      <c r="AG326" s="65"/>
      <c r="AH326" s="65"/>
      <c r="AI326" s="66"/>
    </row>
    <row r="327" ht="38.25" hidden="1" customHeight="1">
      <c r="A327" s="25">
        <v>324.0</v>
      </c>
      <c r="B327" s="26" t="s">
        <v>1037</v>
      </c>
      <c r="C327" s="26" t="s">
        <v>4996</v>
      </c>
      <c r="D327" s="26" t="s">
        <v>4997</v>
      </c>
      <c r="E327" s="26" t="s">
        <v>4855</v>
      </c>
      <c r="F327" s="26" t="s">
        <v>4855</v>
      </c>
      <c r="G327" s="77" t="s">
        <v>1110</v>
      </c>
      <c r="H327" s="77" t="s">
        <v>1110</v>
      </c>
      <c r="I327" s="29" t="s">
        <v>4998</v>
      </c>
      <c r="J327" s="29" t="s">
        <v>3963</v>
      </c>
      <c r="K327" s="26" t="s">
        <v>4214</v>
      </c>
      <c r="L327" s="25">
        <v>5.0</v>
      </c>
      <c r="M327" s="26" t="s">
        <v>4855</v>
      </c>
      <c r="N327" s="167" t="s">
        <v>1174</v>
      </c>
      <c r="O327" s="76" t="s">
        <v>4894</v>
      </c>
      <c r="P327" s="76" t="s">
        <v>4895</v>
      </c>
      <c r="Q327" s="76" t="s">
        <v>4028</v>
      </c>
      <c r="R327" s="76" t="s">
        <v>3991</v>
      </c>
      <c r="S327" s="26" t="str">
        <f t="shared" si="82"/>
        <v>กลุ่มงานการพยาบาลตรวจรักษาพิเศษ</v>
      </c>
      <c r="T327" s="26" t="s">
        <v>4028</v>
      </c>
      <c r="U327" s="26" t="s">
        <v>1302</v>
      </c>
      <c r="V327" s="25">
        <v>15.0</v>
      </c>
      <c r="W327" s="26" t="s">
        <v>3991</v>
      </c>
      <c r="X327" s="98" t="s">
        <v>1312</v>
      </c>
      <c r="Y327" s="31">
        <v>2.0</v>
      </c>
      <c r="Z327" s="31">
        <v>9.0</v>
      </c>
      <c r="AA327" s="31">
        <v>139.0</v>
      </c>
      <c r="AB327" s="31">
        <v>40.0</v>
      </c>
      <c r="AC327" s="32">
        <v>1.0</v>
      </c>
      <c r="AD327" s="26"/>
      <c r="AE327" s="26"/>
      <c r="AF327" s="32">
        <v>22.0</v>
      </c>
      <c r="AG327" s="37">
        <v>1.50110112429E12</v>
      </c>
      <c r="AH327" s="37" t="s">
        <v>2073</v>
      </c>
      <c r="AI327" s="38" t="s">
        <v>4999</v>
      </c>
    </row>
    <row r="328" ht="38.25" hidden="1" customHeight="1">
      <c r="A328" s="25">
        <v>325.0</v>
      </c>
      <c r="B328" s="26" t="s">
        <v>1037</v>
      </c>
      <c r="C328" s="26" t="s">
        <v>5000</v>
      </c>
      <c r="D328" s="26" t="s">
        <v>5001</v>
      </c>
      <c r="E328" s="26" t="s">
        <v>4855</v>
      </c>
      <c r="F328" s="26" t="s">
        <v>4855</v>
      </c>
      <c r="G328" s="77" t="s">
        <v>1110</v>
      </c>
      <c r="H328" s="77" t="s">
        <v>1110</v>
      </c>
      <c r="I328" s="29" t="s">
        <v>5002</v>
      </c>
      <c r="J328" s="29" t="s">
        <v>3963</v>
      </c>
      <c r="K328" s="26" t="s">
        <v>4214</v>
      </c>
      <c r="L328" s="25">
        <v>5.0</v>
      </c>
      <c r="M328" s="26" t="s">
        <v>4855</v>
      </c>
      <c r="N328" s="167" t="s">
        <v>1174</v>
      </c>
      <c r="O328" s="76" t="s">
        <v>4957</v>
      </c>
      <c r="P328" s="76" t="s">
        <v>4958</v>
      </c>
      <c r="Q328" s="76" t="s">
        <v>4959</v>
      </c>
      <c r="R328" s="76" t="s">
        <v>3991</v>
      </c>
      <c r="S328" s="26" t="str">
        <f t="shared" si="82"/>
        <v>กลุ่มงานการพยาบาลผู้ป่วยหนัก</v>
      </c>
      <c r="T328" s="26" t="s">
        <v>4959</v>
      </c>
      <c r="U328" s="26" t="s">
        <v>1302</v>
      </c>
      <c r="V328" s="25">
        <v>3.0</v>
      </c>
      <c r="W328" s="26" t="s">
        <v>3991</v>
      </c>
      <c r="X328" s="98" t="s">
        <v>1312</v>
      </c>
      <c r="Y328" s="31">
        <v>2.0</v>
      </c>
      <c r="Z328" s="31">
        <v>12.0</v>
      </c>
      <c r="AA328" s="31">
        <v>139.0</v>
      </c>
      <c r="AB328" s="31">
        <v>40.0</v>
      </c>
      <c r="AC328" s="32">
        <v>1.0</v>
      </c>
      <c r="AD328" s="26"/>
      <c r="AE328" s="26"/>
      <c r="AF328" s="32">
        <v>22.0</v>
      </c>
      <c r="AG328" s="37">
        <v>1.630500162754E12</v>
      </c>
      <c r="AH328" s="37" t="s">
        <v>566</v>
      </c>
      <c r="AI328" s="44">
        <v>236199.0</v>
      </c>
    </row>
    <row r="329" ht="38.25" hidden="1" customHeight="1">
      <c r="A329" s="32">
        <v>326.0</v>
      </c>
      <c r="B329" s="26" t="s">
        <v>1037</v>
      </c>
      <c r="C329" s="26" t="s">
        <v>4185</v>
      </c>
      <c r="D329" s="26" t="s">
        <v>5003</v>
      </c>
      <c r="E329" s="26" t="s">
        <v>4855</v>
      </c>
      <c r="F329" s="26" t="s">
        <v>4855</v>
      </c>
      <c r="G329" s="27" t="s">
        <v>1110</v>
      </c>
      <c r="H329" s="27" t="s">
        <v>1110</v>
      </c>
      <c r="I329" s="29" t="s">
        <v>5004</v>
      </c>
      <c r="J329" s="29" t="s">
        <v>3963</v>
      </c>
      <c r="K329" s="26" t="s">
        <v>4214</v>
      </c>
      <c r="L329" s="25">
        <v>5.0</v>
      </c>
      <c r="M329" s="26" t="s">
        <v>4855</v>
      </c>
      <c r="N329" s="166" t="s">
        <v>1174</v>
      </c>
      <c r="O329" s="26" t="s">
        <v>4789</v>
      </c>
      <c r="P329" s="26" t="s">
        <v>4886</v>
      </c>
      <c r="Q329" s="26" t="s">
        <v>4887</v>
      </c>
      <c r="R329" s="26" t="s">
        <v>3991</v>
      </c>
      <c r="S329" s="26" t="str">
        <f t="shared" si="82"/>
        <v>กลุ่มงานการพยาบาลผู้ป่วยนอก</v>
      </c>
      <c r="T329" s="26" t="s">
        <v>4887</v>
      </c>
      <c r="U329" s="26" t="s">
        <v>1302</v>
      </c>
      <c r="V329" s="25">
        <v>2.0</v>
      </c>
      <c r="W329" s="26" t="s">
        <v>3991</v>
      </c>
      <c r="X329" s="98" t="s">
        <v>1312</v>
      </c>
      <c r="Y329" s="31">
        <v>5.0</v>
      </c>
      <c r="Z329" s="31">
        <v>17.0</v>
      </c>
      <c r="AA329" s="31">
        <v>139.0</v>
      </c>
      <c r="AB329" s="31">
        <v>40.0</v>
      </c>
      <c r="AC329" s="32">
        <v>1.0</v>
      </c>
      <c r="AD329" s="26"/>
      <c r="AE329" s="26"/>
      <c r="AF329" s="32">
        <v>22.0</v>
      </c>
      <c r="AG329" s="37">
        <v>1.58970000017E12</v>
      </c>
      <c r="AH329" s="37" t="s">
        <v>459</v>
      </c>
      <c r="AI329" s="38" t="s">
        <v>5005</v>
      </c>
    </row>
    <row r="330" ht="38.25" hidden="1" customHeight="1">
      <c r="A330" s="25">
        <v>327.0</v>
      </c>
      <c r="B330" s="26" t="s">
        <v>1037</v>
      </c>
      <c r="C330" s="26" t="s">
        <v>5006</v>
      </c>
      <c r="D330" s="26" t="s">
        <v>5007</v>
      </c>
      <c r="E330" s="26" t="s">
        <v>4855</v>
      </c>
      <c r="F330" s="26" t="s">
        <v>4855</v>
      </c>
      <c r="G330" s="27" t="s">
        <v>1110</v>
      </c>
      <c r="H330" s="27" t="s">
        <v>1110</v>
      </c>
      <c r="I330" s="29" t="s">
        <v>5008</v>
      </c>
      <c r="J330" s="29" t="s">
        <v>3963</v>
      </c>
      <c r="K330" s="26" t="s">
        <v>4214</v>
      </c>
      <c r="L330" s="25">
        <v>5.0</v>
      </c>
      <c r="M330" s="26" t="s">
        <v>4855</v>
      </c>
      <c r="N330" s="165" t="s">
        <v>3981</v>
      </c>
      <c r="O330" s="26" t="s">
        <v>4867</v>
      </c>
      <c r="P330" s="26" t="s">
        <v>4868</v>
      </c>
      <c r="Q330" s="26" t="s">
        <v>4869</v>
      </c>
      <c r="R330" s="26" t="s">
        <v>3991</v>
      </c>
      <c r="S330" s="26" t="str">
        <f t="shared" si="82"/>
        <v>กลุ่มงานการพยาบาลผู้ป่วยอายุกรรม</v>
      </c>
      <c r="T330" s="26" t="s">
        <v>4900</v>
      </c>
      <c r="U330" s="26" t="s">
        <v>1302</v>
      </c>
      <c r="V330" s="25">
        <v>12.0</v>
      </c>
      <c r="W330" s="26" t="s">
        <v>3991</v>
      </c>
      <c r="X330" s="98" t="s">
        <v>1312</v>
      </c>
      <c r="Y330" s="31">
        <v>2.0</v>
      </c>
      <c r="Z330" s="31">
        <v>5.0</v>
      </c>
      <c r="AA330" s="31">
        <v>139.0</v>
      </c>
      <c r="AB330" s="31">
        <v>40.0</v>
      </c>
      <c r="AC330" s="32">
        <v>1.0</v>
      </c>
      <c r="AD330" s="26"/>
      <c r="AE330" s="26"/>
      <c r="AF330" s="32">
        <v>22.0</v>
      </c>
      <c r="AG330" s="37">
        <v>8.571176007824E12</v>
      </c>
      <c r="AH330" s="37" t="s">
        <v>660</v>
      </c>
      <c r="AI330" s="44">
        <v>236932.0</v>
      </c>
    </row>
    <row r="331" ht="38.25" hidden="1" customHeight="1">
      <c r="A331" s="25">
        <v>328.0</v>
      </c>
      <c r="B331" s="26" t="s">
        <v>1037</v>
      </c>
      <c r="C331" s="26" t="s">
        <v>5009</v>
      </c>
      <c r="D331" s="26" t="s">
        <v>5010</v>
      </c>
      <c r="E331" s="26" t="s">
        <v>4855</v>
      </c>
      <c r="F331" s="26" t="s">
        <v>4855</v>
      </c>
      <c r="G331" s="27" t="s">
        <v>1110</v>
      </c>
      <c r="H331" s="27" t="s">
        <v>1110</v>
      </c>
      <c r="I331" s="29" t="s">
        <v>5011</v>
      </c>
      <c r="J331" s="29" t="s">
        <v>3963</v>
      </c>
      <c r="K331" s="26" t="s">
        <v>4214</v>
      </c>
      <c r="L331" s="25">
        <v>5.0</v>
      </c>
      <c r="M331" s="26" t="s">
        <v>4855</v>
      </c>
      <c r="N331" s="166" t="s">
        <v>1174</v>
      </c>
      <c r="O331" s="26" t="s">
        <v>4917</v>
      </c>
      <c r="P331" s="26" t="s">
        <v>4918</v>
      </c>
      <c r="Q331" s="26" t="s">
        <v>4919</v>
      </c>
      <c r="R331" s="26" t="s">
        <v>3991</v>
      </c>
      <c r="S331" s="26" t="str">
        <f t="shared" si="82"/>
        <v>กลุ่มงานการพยาบาลผู้ป่วยสูติ - นรีเวช</v>
      </c>
      <c r="T331" s="26" t="s">
        <v>4920</v>
      </c>
      <c r="U331" s="26" t="s">
        <v>1302</v>
      </c>
      <c r="V331" s="25">
        <v>9.0</v>
      </c>
      <c r="W331" s="26" t="s">
        <v>3991</v>
      </c>
      <c r="X331" s="98" t="s">
        <v>1312</v>
      </c>
      <c r="Y331" s="31">
        <v>3.0</v>
      </c>
      <c r="Z331" s="31">
        <v>9.0</v>
      </c>
      <c r="AA331" s="31">
        <v>139.0</v>
      </c>
      <c r="AB331" s="31">
        <v>40.0</v>
      </c>
      <c r="AC331" s="32">
        <v>1.0</v>
      </c>
      <c r="AD331" s="26"/>
      <c r="AE331" s="26"/>
      <c r="AF331" s="32">
        <v>22.0</v>
      </c>
      <c r="AG331" s="37">
        <v>1.580500114688E12</v>
      </c>
      <c r="AH331" s="37" t="s">
        <v>722</v>
      </c>
      <c r="AI331" s="38" t="s">
        <v>5012</v>
      </c>
    </row>
    <row r="332" ht="38.25" hidden="1" customHeight="1">
      <c r="A332" s="32">
        <v>329.0</v>
      </c>
      <c r="B332" s="26" t="s">
        <v>1037</v>
      </c>
      <c r="C332" s="26" t="s">
        <v>5013</v>
      </c>
      <c r="D332" s="26" t="s">
        <v>5014</v>
      </c>
      <c r="E332" s="26" t="s">
        <v>4855</v>
      </c>
      <c r="F332" s="26" t="s">
        <v>4855</v>
      </c>
      <c r="G332" s="27" t="s">
        <v>1110</v>
      </c>
      <c r="H332" s="27" t="s">
        <v>1110</v>
      </c>
      <c r="I332" s="29" t="s">
        <v>5015</v>
      </c>
      <c r="J332" s="29" t="s">
        <v>3963</v>
      </c>
      <c r="K332" s="26" t="s">
        <v>4214</v>
      </c>
      <c r="L332" s="25">
        <v>5.0</v>
      </c>
      <c r="M332" s="26" t="s">
        <v>4855</v>
      </c>
      <c r="N332" s="166" t="s">
        <v>1174</v>
      </c>
      <c r="O332" s="26" t="s">
        <v>5016</v>
      </c>
      <c r="P332" s="26" t="s">
        <v>4863</v>
      </c>
      <c r="Q332" s="26" t="s">
        <v>4887</v>
      </c>
      <c r="R332" s="26" t="s">
        <v>3991</v>
      </c>
      <c r="S332" s="26" t="str">
        <f t="shared" si="82"/>
        <v>กลุ่มงานการพยาบาลผู้ป่วยนอก</v>
      </c>
      <c r="T332" s="26" t="s">
        <v>4887</v>
      </c>
      <c r="U332" s="26" t="s">
        <v>1302</v>
      </c>
      <c r="V332" s="25">
        <v>2.0</v>
      </c>
      <c r="W332" s="26" t="s">
        <v>3991</v>
      </c>
      <c r="X332" s="98" t="s">
        <v>1312</v>
      </c>
      <c r="Y332" s="31">
        <v>5.0</v>
      </c>
      <c r="Z332" s="31">
        <v>17.0</v>
      </c>
      <c r="AA332" s="31">
        <v>139.0</v>
      </c>
      <c r="AB332" s="31">
        <v>40.0</v>
      </c>
      <c r="AC332" s="32">
        <v>0.0</v>
      </c>
      <c r="AD332" s="26" t="s">
        <v>4155</v>
      </c>
      <c r="AE332" s="26"/>
      <c r="AF332" s="32">
        <v>22.0</v>
      </c>
      <c r="AG332" s="67">
        <v>1.502201065504E12</v>
      </c>
      <c r="AH332" s="67" t="s">
        <v>188</v>
      </c>
      <c r="AI332" s="168" t="s">
        <v>5017</v>
      </c>
    </row>
    <row r="333" ht="38.25" hidden="1" customHeight="1">
      <c r="A333" s="25">
        <v>330.0</v>
      </c>
      <c r="B333" s="26" t="s">
        <v>1037</v>
      </c>
      <c r="C333" s="26" t="s">
        <v>5018</v>
      </c>
      <c r="D333" s="26" t="s">
        <v>5019</v>
      </c>
      <c r="E333" s="26" t="s">
        <v>4855</v>
      </c>
      <c r="F333" s="26" t="s">
        <v>4855</v>
      </c>
      <c r="G333" s="27" t="s">
        <v>1110</v>
      </c>
      <c r="H333" s="27" t="s">
        <v>1110</v>
      </c>
      <c r="I333" s="29" t="s">
        <v>5020</v>
      </c>
      <c r="J333" s="29" t="s">
        <v>3963</v>
      </c>
      <c r="K333" s="26" t="s">
        <v>4214</v>
      </c>
      <c r="L333" s="25">
        <v>5.0</v>
      </c>
      <c r="M333" s="26" t="s">
        <v>4855</v>
      </c>
      <c r="N333" s="166" t="s">
        <v>1174</v>
      </c>
      <c r="O333" s="26" t="s">
        <v>4928</v>
      </c>
      <c r="P333" s="26" t="s">
        <v>4929</v>
      </c>
      <c r="Q333" s="26" t="s">
        <v>4858</v>
      </c>
      <c r="R333" s="26" t="s">
        <v>3991</v>
      </c>
      <c r="S333" s="26" t="str">
        <f t="shared" si="82"/>
        <v>กลุ่มงานการพยาบาลผู้ป่วยศัลยกรรม</v>
      </c>
      <c r="T333" s="26" t="s">
        <v>4858</v>
      </c>
      <c r="U333" s="26" t="s">
        <v>1302</v>
      </c>
      <c r="V333" s="25">
        <v>8.0</v>
      </c>
      <c r="W333" s="26" t="s">
        <v>3991</v>
      </c>
      <c r="X333" s="98" t="s">
        <v>1312</v>
      </c>
      <c r="Y333" s="169">
        <v>2.0</v>
      </c>
      <c r="Z333" s="169">
        <v>8.0</v>
      </c>
      <c r="AA333" s="169">
        <v>139.0</v>
      </c>
      <c r="AB333" s="169">
        <v>40.0</v>
      </c>
      <c r="AC333" s="32">
        <v>1.0</v>
      </c>
      <c r="AD333" s="26"/>
      <c r="AE333" s="26"/>
      <c r="AF333" s="32">
        <v>22.0</v>
      </c>
      <c r="AG333" s="33">
        <v>1.580400134547E12</v>
      </c>
      <c r="AH333" s="33" t="s">
        <v>411</v>
      </c>
      <c r="AI333" s="40">
        <v>231724.0</v>
      </c>
    </row>
    <row r="334" ht="38.25" hidden="1" customHeight="1">
      <c r="A334" s="25">
        <v>331.0</v>
      </c>
      <c r="B334" s="26" t="s">
        <v>1037</v>
      </c>
      <c r="C334" s="26" t="s">
        <v>5021</v>
      </c>
      <c r="D334" s="26" t="s">
        <v>5022</v>
      </c>
      <c r="E334" s="26" t="s">
        <v>4855</v>
      </c>
      <c r="F334" s="26" t="s">
        <v>4855</v>
      </c>
      <c r="G334" s="27" t="s">
        <v>1110</v>
      </c>
      <c r="H334" s="27" t="s">
        <v>1110</v>
      </c>
      <c r="I334" s="29" t="s">
        <v>5023</v>
      </c>
      <c r="J334" s="29" t="s">
        <v>3963</v>
      </c>
      <c r="K334" s="26" t="s">
        <v>4214</v>
      </c>
      <c r="L334" s="25">
        <v>5.0</v>
      </c>
      <c r="M334" s="26" t="s">
        <v>4855</v>
      </c>
      <c r="N334" s="166" t="s">
        <v>1174</v>
      </c>
      <c r="O334" s="26" t="s">
        <v>4027</v>
      </c>
      <c r="P334" s="26" t="s">
        <v>4027</v>
      </c>
      <c r="Q334" s="26" t="s">
        <v>4028</v>
      </c>
      <c r="R334" s="26" t="s">
        <v>3991</v>
      </c>
      <c r="S334" s="26" t="str">
        <f t="shared" si="82"/>
        <v>กลุ่มงานการพยาบาลตรวจรักษาพิเศษ</v>
      </c>
      <c r="T334" s="26" t="s">
        <v>4028</v>
      </c>
      <c r="U334" s="26" t="s">
        <v>1302</v>
      </c>
      <c r="V334" s="25">
        <v>15.0</v>
      </c>
      <c r="W334" s="26" t="s">
        <v>3991</v>
      </c>
      <c r="X334" s="98" t="s">
        <v>1312</v>
      </c>
      <c r="Y334" s="31">
        <v>2.0</v>
      </c>
      <c r="Z334" s="31">
        <v>9.0</v>
      </c>
      <c r="AA334" s="31">
        <v>139.0</v>
      </c>
      <c r="AB334" s="31">
        <v>40.0</v>
      </c>
      <c r="AC334" s="32">
        <v>1.0</v>
      </c>
      <c r="AD334" s="26"/>
      <c r="AE334" s="26"/>
      <c r="AF334" s="32">
        <v>22.0</v>
      </c>
      <c r="AG334" s="37">
        <v>1.501601153825E12</v>
      </c>
      <c r="AH334" s="37" t="s">
        <v>405</v>
      </c>
      <c r="AI334" s="38" t="s">
        <v>5024</v>
      </c>
    </row>
    <row r="335" ht="38.25" hidden="1" customHeight="1">
      <c r="A335" s="32">
        <v>332.0</v>
      </c>
      <c r="B335" s="64" t="s">
        <v>1037</v>
      </c>
      <c r="C335" s="170" t="s">
        <v>5025</v>
      </c>
      <c r="D335" s="64" t="s">
        <v>5026</v>
      </c>
      <c r="E335" s="26" t="s">
        <v>4855</v>
      </c>
      <c r="F335" s="26" t="s">
        <v>4855</v>
      </c>
      <c r="G335" s="27" t="s">
        <v>1110</v>
      </c>
      <c r="H335" s="27" t="s">
        <v>1110</v>
      </c>
      <c r="I335" s="29" t="s">
        <v>5027</v>
      </c>
      <c r="J335" s="29" t="s">
        <v>3963</v>
      </c>
      <c r="K335" s="26" t="s">
        <v>4214</v>
      </c>
      <c r="L335" s="25">
        <v>5.0</v>
      </c>
      <c r="M335" s="26" t="s">
        <v>4855</v>
      </c>
      <c r="N335" s="166" t="s">
        <v>1174</v>
      </c>
      <c r="O335" s="26" t="s">
        <v>4789</v>
      </c>
      <c r="P335" s="26" t="s">
        <v>4886</v>
      </c>
      <c r="Q335" s="26" t="s">
        <v>4887</v>
      </c>
      <c r="R335" s="26" t="s">
        <v>3991</v>
      </c>
      <c r="S335" s="26" t="str">
        <f t="shared" si="82"/>
        <v>กลุ่มงานการพยาบาลผู้ป่วยนอก</v>
      </c>
      <c r="T335" s="26" t="s">
        <v>4887</v>
      </c>
      <c r="U335" s="26" t="s">
        <v>1302</v>
      </c>
      <c r="V335" s="25">
        <v>2.0</v>
      </c>
      <c r="W335" s="26" t="s">
        <v>3991</v>
      </c>
      <c r="X335" s="98" t="s">
        <v>1312</v>
      </c>
      <c r="Y335" s="31">
        <v>5.0</v>
      </c>
      <c r="Z335" s="31">
        <v>17.0</v>
      </c>
      <c r="AA335" s="31">
        <v>139.0</v>
      </c>
      <c r="AB335" s="31">
        <v>40.0</v>
      </c>
      <c r="AC335" s="32">
        <v>0.0</v>
      </c>
      <c r="AD335" s="26" t="s">
        <v>4155</v>
      </c>
      <c r="AE335" s="26"/>
      <c r="AF335" s="32">
        <v>22.0</v>
      </c>
      <c r="AG335" s="65"/>
      <c r="AH335" s="65"/>
      <c r="AI335" s="66"/>
    </row>
    <row r="336" ht="38.25" hidden="1" customHeight="1">
      <c r="A336" s="25">
        <v>333.0</v>
      </c>
      <c r="B336" s="26" t="s">
        <v>1037</v>
      </c>
      <c r="C336" s="26" t="s">
        <v>5028</v>
      </c>
      <c r="D336" s="26" t="s">
        <v>5029</v>
      </c>
      <c r="E336" s="26" t="s">
        <v>5030</v>
      </c>
      <c r="F336" s="26" t="s">
        <v>5030</v>
      </c>
      <c r="G336" s="27" t="s">
        <v>1110</v>
      </c>
      <c r="H336" s="27" t="s">
        <v>1110</v>
      </c>
      <c r="I336" s="90" t="s">
        <v>5031</v>
      </c>
      <c r="J336" s="29" t="s">
        <v>3963</v>
      </c>
      <c r="K336" s="27" t="s">
        <v>4214</v>
      </c>
      <c r="L336" s="25">
        <v>2.0</v>
      </c>
      <c r="M336" s="27" t="s">
        <v>1137</v>
      </c>
      <c r="N336" s="30" t="s">
        <v>1174</v>
      </c>
      <c r="O336" s="26" t="s">
        <v>5032</v>
      </c>
      <c r="P336" s="26" t="str">
        <f>+O336</f>
        <v>แพทย์แผนไทยและการแพทย์ทางเลือก</v>
      </c>
      <c r="Q336" s="26" t="s">
        <v>3242</v>
      </c>
      <c r="R336" s="26" t="s">
        <v>4064</v>
      </c>
      <c r="S336" s="26" t="s">
        <v>3242</v>
      </c>
      <c r="T336" s="26" t="s">
        <v>3242</v>
      </c>
      <c r="U336" s="26" t="s">
        <v>1302</v>
      </c>
      <c r="V336" s="98" t="s">
        <v>3935</v>
      </c>
      <c r="W336" s="26" t="s">
        <v>4064</v>
      </c>
      <c r="X336" s="25" t="s">
        <v>3935</v>
      </c>
      <c r="Y336" s="31">
        <v>3.0</v>
      </c>
      <c r="Z336" s="31">
        <v>5.0</v>
      </c>
      <c r="AA336" s="63">
        <v>18.0</v>
      </c>
      <c r="AB336" s="31">
        <v>160.0</v>
      </c>
      <c r="AC336" s="32">
        <v>1.0</v>
      </c>
      <c r="AD336" s="26"/>
      <c r="AE336" s="26"/>
      <c r="AF336" s="32">
        <v>47.0</v>
      </c>
      <c r="AG336" s="33">
        <v>1.659900828693E12</v>
      </c>
      <c r="AH336" s="33" t="s">
        <v>531</v>
      </c>
      <c r="AI336" s="34" t="s">
        <v>5033</v>
      </c>
    </row>
    <row r="337" ht="38.25" hidden="1" customHeight="1">
      <c r="A337" s="25">
        <v>334.0</v>
      </c>
      <c r="B337" s="26" t="s">
        <v>1037</v>
      </c>
      <c r="C337" s="26" t="s">
        <v>5034</v>
      </c>
      <c r="D337" s="26" t="s">
        <v>4025</v>
      </c>
      <c r="E337" s="26" t="s">
        <v>5035</v>
      </c>
      <c r="F337" s="26" t="s">
        <v>5035</v>
      </c>
      <c r="G337" s="27" t="s">
        <v>1110</v>
      </c>
      <c r="H337" s="27" t="s">
        <v>1110</v>
      </c>
      <c r="I337" s="29">
        <v>4383.0</v>
      </c>
      <c r="J337" s="29" t="s">
        <v>1535</v>
      </c>
      <c r="K337" s="27" t="s">
        <v>4214</v>
      </c>
      <c r="L337" s="25">
        <v>2.0</v>
      </c>
      <c r="M337" s="27" t="s">
        <v>1137</v>
      </c>
      <c r="N337" s="30" t="s">
        <v>1174</v>
      </c>
      <c r="O337" s="26" t="str">
        <f t="shared" ref="O337:O344" si="85">+T337</f>
        <v>กลุ่มงานรังสีวิทยา</v>
      </c>
      <c r="P337" s="26" t="s">
        <v>4431</v>
      </c>
      <c r="Q337" s="26" t="str">
        <f t="shared" ref="Q337:Q353" si="86">+T337</f>
        <v>กลุ่มงานรังสีวิทยา</v>
      </c>
      <c r="R337" s="26" t="str">
        <f t="shared" ref="R337:R353" si="87">+W337</f>
        <v>ภารกิจด้านบริการทุติยภูมิและตติยภูมิ</v>
      </c>
      <c r="S337" s="26" t="str">
        <f t="shared" ref="S337:S360" si="88">+T337</f>
        <v>กลุ่มงานรังสีวิทยา</v>
      </c>
      <c r="T337" s="26" t="s">
        <v>4432</v>
      </c>
      <c r="U337" s="26" t="s">
        <v>1302</v>
      </c>
      <c r="V337" s="25">
        <v>15.0</v>
      </c>
      <c r="W337" s="26" t="s">
        <v>4054</v>
      </c>
      <c r="X337" s="25" t="s">
        <v>3978</v>
      </c>
      <c r="Y337" s="31">
        <v>5.0</v>
      </c>
      <c r="Z337" s="31">
        <v>5.0</v>
      </c>
      <c r="AA337" s="31">
        <v>50.0</v>
      </c>
      <c r="AB337" s="31">
        <v>160.0</v>
      </c>
      <c r="AC337" s="32">
        <v>1.0</v>
      </c>
      <c r="AD337" s="26"/>
      <c r="AE337" s="26"/>
      <c r="AF337" s="32">
        <v>47.0</v>
      </c>
      <c r="AG337" s="33">
        <v>1.5099014025E12</v>
      </c>
      <c r="AH337" s="46"/>
      <c r="AI337" s="40">
        <v>232782.0</v>
      </c>
    </row>
    <row r="338" ht="38.25" hidden="1" customHeight="1">
      <c r="A338" s="32">
        <v>335.0</v>
      </c>
      <c r="B338" s="26" t="s">
        <v>2692</v>
      </c>
      <c r="C338" s="26" t="s">
        <v>5036</v>
      </c>
      <c r="D338" s="26" t="s">
        <v>5037</v>
      </c>
      <c r="E338" s="26" t="s">
        <v>5035</v>
      </c>
      <c r="F338" s="26" t="s">
        <v>5035</v>
      </c>
      <c r="G338" s="27" t="s">
        <v>1110</v>
      </c>
      <c r="H338" s="27" t="s">
        <v>1110</v>
      </c>
      <c r="I338" s="28" t="s">
        <v>5038</v>
      </c>
      <c r="J338" s="29" t="s">
        <v>3949</v>
      </c>
      <c r="K338" s="27" t="s">
        <v>4214</v>
      </c>
      <c r="L338" s="25">
        <v>2.0</v>
      </c>
      <c r="M338" s="27" t="s">
        <v>1137</v>
      </c>
      <c r="N338" s="30" t="s">
        <v>1174</v>
      </c>
      <c r="O338" s="26" t="str">
        <f t="shared" si="85"/>
        <v>กลุ่มงานรังสีวิทยา</v>
      </c>
      <c r="P338" s="26" t="s">
        <v>4431</v>
      </c>
      <c r="Q338" s="26" t="str">
        <f t="shared" si="86"/>
        <v>กลุ่มงานรังสีวิทยา</v>
      </c>
      <c r="R338" s="26" t="str">
        <f t="shared" si="87"/>
        <v>ภารกิจด้านบริการทุติยภูมิและตติยภูมิ</v>
      </c>
      <c r="S338" s="26" t="str">
        <f t="shared" si="88"/>
        <v>กลุ่มงานรังสีวิทยา</v>
      </c>
      <c r="T338" s="26" t="s">
        <v>4432</v>
      </c>
      <c r="U338" s="26" t="s">
        <v>1302</v>
      </c>
      <c r="V338" s="25">
        <v>15.0</v>
      </c>
      <c r="W338" s="26" t="s">
        <v>4054</v>
      </c>
      <c r="X338" s="25" t="s">
        <v>3978</v>
      </c>
      <c r="Y338" s="31">
        <v>5.0</v>
      </c>
      <c r="Z338" s="31">
        <v>5.0</v>
      </c>
      <c r="AA338" s="31">
        <v>50.0</v>
      </c>
      <c r="AB338" s="31">
        <v>160.0</v>
      </c>
      <c r="AC338" s="32">
        <v>1.0</v>
      </c>
      <c r="AD338" s="26"/>
      <c r="AE338" s="26"/>
      <c r="AF338" s="32">
        <v>47.0</v>
      </c>
      <c r="AG338" s="37">
        <v>2.630500137651E12</v>
      </c>
      <c r="AH338" s="37" t="s">
        <v>1654</v>
      </c>
      <c r="AI338" s="44">
        <v>235127.0</v>
      </c>
    </row>
    <row r="339" ht="38.25" hidden="1" customHeight="1">
      <c r="A339" s="25">
        <v>336.0</v>
      </c>
      <c r="B339" s="26" t="s">
        <v>2692</v>
      </c>
      <c r="C339" s="26" t="s">
        <v>1371</v>
      </c>
      <c r="D339" s="26" t="s">
        <v>5039</v>
      </c>
      <c r="E339" s="26" t="s">
        <v>5035</v>
      </c>
      <c r="F339" s="26" t="s">
        <v>5035</v>
      </c>
      <c r="G339" s="27" t="s">
        <v>1110</v>
      </c>
      <c r="H339" s="27" t="s">
        <v>1110</v>
      </c>
      <c r="I339" s="28" t="s">
        <v>5040</v>
      </c>
      <c r="J339" s="29" t="s">
        <v>3949</v>
      </c>
      <c r="K339" s="27" t="s">
        <v>4214</v>
      </c>
      <c r="L339" s="25">
        <v>2.0</v>
      </c>
      <c r="M339" s="27" t="s">
        <v>1137</v>
      </c>
      <c r="N339" s="30" t="s">
        <v>1174</v>
      </c>
      <c r="O339" s="26" t="str">
        <f t="shared" si="85"/>
        <v>กลุ่มงานรังสีวิทยา</v>
      </c>
      <c r="P339" s="26" t="s">
        <v>4431</v>
      </c>
      <c r="Q339" s="26" t="str">
        <f t="shared" si="86"/>
        <v>กลุ่มงานรังสีวิทยา</v>
      </c>
      <c r="R339" s="26" t="str">
        <f t="shared" si="87"/>
        <v>ภารกิจด้านบริการทุติยภูมิและตติยภูมิ</v>
      </c>
      <c r="S339" s="26" t="str">
        <f t="shared" si="88"/>
        <v>กลุ่มงานรังสีวิทยา</v>
      </c>
      <c r="T339" s="26" t="s">
        <v>4432</v>
      </c>
      <c r="U339" s="26" t="s">
        <v>1302</v>
      </c>
      <c r="V339" s="25">
        <v>15.0</v>
      </c>
      <c r="W339" s="26" t="s">
        <v>4054</v>
      </c>
      <c r="X339" s="25" t="s">
        <v>3978</v>
      </c>
      <c r="Y339" s="31">
        <v>5.0</v>
      </c>
      <c r="Z339" s="31">
        <v>5.0</v>
      </c>
      <c r="AA339" s="31">
        <v>50.0</v>
      </c>
      <c r="AB339" s="31">
        <v>160.0</v>
      </c>
      <c r="AC339" s="32">
        <v>1.0</v>
      </c>
      <c r="AD339" s="26"/>
      <c r="AE339" s="26"/>
      <c r="AF339" s="32">
        <v>47.0</v>
      </c>
      <c r="AG339" s="33">
        <v>1.509901129358E12</v>
      </c>
      <c r="AH339" s="33" t="s">
        <v>1373</v>
      </c>
      <c r="AI339" s="34" t="s">
        <v>5041</v>
      </c>
    </row>
    <row r="340" ht="38.25" hidden="1" customHeight="1">
      <c r="A340" s="25">
        <v>337.0</v>
      </c>
      <c r="B340" s="26" t="s">
        <v>2692</v>
      </c>
      <c r="C340" s="26" t="s">
        <v>5042</v>
      </c>
      <c r="D340" s="26" t="s">
        <v>5043</v>
      </c>
      <c r="E340" s="26" t="s">
        <v>5035</v>
      </c>
      <c r="F340" s="26" t="s">
        <v>5035</v>
      </c>
      <c r="G340" s="27" t="s">
        <v>1110</v>
      </c>
      <c r="H340" s="27" t="s">
        <v>1110</v>
      </c>
      <c r="I340" s="28" t="s">
        <v>5044</v>
      </c>
      <c r="J340" s="29" t="s">
        <v>3949</v>
      </c>
      <c r="K340" s="27" t="s">
        <v>4214</v>
      </c>
      <c r="L340" s="25">
        <v>2.0</v>
      </c>
      <c r="M340" s="27" t="s">
        <v>1137</v>
      </c>
      <c r="N340" s="30" t="s">
        <v>1174</v>
      </c>
      <c r="O340" s="26" t="str">
        <f t="shared" si="85"/>
        <v>กลุ่มงานรังสีวิทยา</v>
      </c>
      <c r="P340" s="26" t="s">
        <v>4431</v>
      </c>
      <c r="Q340" s="26" t="str">
        <f t="shared" si="86"/>
        <v>กลุ่มงานรังสีวิทยา</v>
      </c>
      <c r="R340" s="26" t="str">
        <f t="shared" si="87"/>
        <v>ภารกิจด้านบริการทุติยภูมิและตติยภูมิ</v>
      </c>
      <c r="S340" s="26" t="str">
        <f t="shared" si="88"/>
        <v>กลุ่มงานรังสีวิทยา</v>
      </c>
      <c r="T340" s="26" t="s">
        <v>4432</v>
      </c>
      <c r="U340" s="26" t="s">
        <v>1302</v>
      </c>
      <c r="V340" s="25">
        <v>15.0</v>
      </c>
      <c r="W340" s="26" t="s">
        <v>4054</v>
      </c>
      <c r="X340" s="25" t="s">
        <v>3978</v>
      </c>
      <c r="Y340" s="31">
        <v>5.0</v>
      </c>
      <c r="Z340" s="31">
        <v>5.0</v>
      </c>
      <c r="AA340" s="31">
        <v>50.0</v>
      </c>
      <c r="AB340" s="31">
        <v>160.0</v>
      </c>
      <c r="AC340" s="32">
        <v>1.0</v>
      </c>
      <c r="AD340" s="26"/>
      <c r="AE340" s="26"/>
      <c r="AF340" s="32">
        <v>47.0</v>
      </c>
      <c r="AG340" s="37">
        <v>1.529902058233E12</v>
      </c>
      <c r="AH340" s="37" t="s">
        <v>2468</v>
      </c>
      <c r="AI340" s="38" t="s">
        <v>5045</v>
      </c>
    </row>
    <row r="341" ht="38.25" hidden="1" customHeight="1">
      <c r="A341" s="32">
        <v>338.0</v>
      </c>
      <c r="B341" s="26" t="s">
        <v>2692</v>
      </c>
      <c r="C341" s="26" t="s">
        <v>5046</v>
      </c>
      <c r="D341" s="26" t="s">
        <v>5047</v>
      </c>
      <c r="E341" s="26" t="s">
        <v>5035</v>
      </c>
      <c r="F341" s="26" t="s">
        <v>5035</v>
      </c>
      <c r="G341" s="27" t="s">
        <v>1110</v>
      </c>
      <c r="H341" s="27" t="s">
        <v>1110</v>
      </c>
      <c r="I341" s="28" t="s">
        <v>5048</v>
      </c>
      <c r="J341" s="29" t="s">
        <v>3949</v>
      </c>
      <c r="K341" s="27" t="s">
        <v>4214</v>
      </c>
      <c r="L341" s="25">
        <v>2.0</v>
      </c>
      <c r="M341" s="27" t="s">
        <v>1137</v>
      </c>
      <c r="N341" s="30" t="s">
        <v>1174</v>
      </c>
      <c r="O341" s="26" t="str">
        <f t="shared" si="85"/>
        <v>กลุ่มงานรังสีวิทยา</v>
      </c>
      <c r="P341" s="26" t="s">
        <v>4431</v>
      </c>
      <c r="Q341" s="26" t="str">
        <f t="shared" si="86"/>
        <v>กลุ่มงานรังสีวิทยา</v>
      </c>
      <c r="R341" s="26" t="str">
        <f t="shared" si="87"/>
        <v>ภารกิจด้านบริการทุติยภูมิและตติยภูมิ</v>
      </c>
      <c r="S341" s="26" t="str">
        <f t="shared" si="88"/>
        <v>กลุ่มงานรังสีวิทยา</v>
      </c>
      <c r="T341" s="26" t="s">
        <v>4432</v>
      </c>
      <c r="U341" s="26" t="s">
        <v>1302</v>
      </c>
      <c r="V341" s="25">
        <v>15.0</v>
      </c>
      <c r="W341" s="26" t="s">
        <v>4054</v>
      </c>
      <c r="X341" s="25" t="s">
        <v>3978</v>
      </c>
      <c r="Y341" s="31">
        <v>5.0</v>
      </c>
      <c r="Z341" s="31">
        <v>5.0</v>
      </c>
      <c r="AA341" s="31">
        <v>50.0</v>
      </c>
      <c r="AB341" s="31">
        <v>160.0</v>
      </c>
      <c r="AC341" s="32">
        <v>1.0</v>
      </c>
      <c r="AD341" s="26"/>
      <c r="AE341" s="26"/>
      <c r="AF341" s="32">
        <v>47.0</v>
      </c>
      <c r="AG341" s="33">
        <v>1.500700192178E12</v>
      </c>
      <c r="AH341" s="33" t="s">
        <v>1368</v>
      </c>
      <c r="AI341" s="34" t="s">
        <v>5049</v>
      </c>
    </row>
    <row r="342" ht="38.25" hidden="1" customHeight="1">
      <c r="A342" s="25">
        <v>339.0</v>
      </c>
      <c r="B342" s="26" t="s">
        <v>2692</v>
      </c>
      <c r="C342" s="26" t="s">
        <v>5050</v>
      </c>
      <c r="D342" s="26" t="s">
        <v>5051</v>
      </c>
      <c r="E342" s="171" t="s">
        <v>5035</v>
      </c>
      <c r="F342" s="26" t="s">
        <v>5035</v>
      </c>
      <c r="G342" s="27" t="s">
        <v>1110</v>
      </c>
      <c r="H342" s="27" t="s">
        <v>1110</v>
      </c>
      <c r="I342" s="29" t="s">
        <v>5052</v>
      </c>
      <c r="J342" s="29" t="s">
        <v>3963</v>
      </c>
      <c r="K342" s="27" t="s">
        <v>4214</v>
      </c>
      <c r="L342" s="25">
        <v>2.0</v>
      </c>
      <c r="M342" s="27" t="s">
        <v>1137</v>
      </c>
      <c r="N342" s="30" t="s">
        <v>1174</v>
      </c>
      <c r="O342" s="26" t="str">
        <f t="shared" si="85"/>
        <v>กลุ่มงานรังสีวิทยา</v>
      </c>
      <c r="P342" s="26" t="s">
        <v>4431</v>
      </c>
      <c r="Q342" s="26" t="str">
        <f t="shared" si="86"/>
        <v>กลุ่มงานรังสีวิทยา</v>
      </c>
      <c r="R342" s="26" t="str">
        <f t="shared" si="87"/>
        <v>ภารกิจด้านบริการทุติยภูมิและตติยภูมิ</v>
      </c>
      <c r="S342" s="26" t="str">
        <f t="shared" si="88"/>
        <v>กลุ่มงานรังสีวิทยา</v>
      </c>
      <c r="T342" s="26" t="s">
        <v>4432</v>
      </c>
      <c r="U342" s="26" t="s">
        <v>1302</v>
      </c>
      <c r="V342" s="25">
        <v>15.0</v>
      </c>
      <c r="W342" s="26" t="s">
        <v>4054</v>
      </c>
      <c r="X342" s="25" t="s">
        <v>3978</v>
      </c>
      <c r="Y342" s="31">
        <v>5.0</v>
      </c>
      <c r="Z342" s="31">
        <v>5.0</v>
      </c>
      <c r="AA342" s="31">
        <v>50.0</v>
      </c>
      <c r="AB342" s="31">
        <v>160.0</v>
      </c>
      <c r="AC342" s="32">
        <v>1.0</v>
      </c>
      <c r="AD342" s="26"/>
      <c r="AE342" s="26"/>
      <c r="AF342" s="32">
        <v>47.0</v>
      </c>
      <c r="AG342" s="37">
        <v>1.509966060336E12</v>
      </c>
      <c r="AH342" s="37" t="s">
        <v>545</v>
      </c>
      <c r="AI342" s="38" t="s">
        <v>5053</v>
      </c>
    </row>
    <row r="343" ht="38.25" hidden="1" customHeight="1">
      <c r="A343" s="25">
        <v>340.0</v>
      </c>
      <c r="B343" s="26" t="s">
        <v>1037</v>
      </c>
      <c r="C343" s="26" t="s">
        <v>5054</v>
      </c>
      <c r="D343" s="26" t="s">
        <v>5055</v>
      </c>
      <c r="E343" s="26" t="s">
        <v>5035</v>
      </c>
      <c r="F343" s="26" t="s">
        <v>5035</v>
      </c>
      <c r="G343" s="27" t="s">
        <v>1110</v>
      </c>
      <c r="H343" s="27" t="s">
        <v>1110</v>
      </c>
      <c r="I343" s="29" t="s">
        <v>5056</v>
      </c>
      <c r="J343" s="29" t="s">
        <v>3963</v>
      </c>
      <c r="K343" s="27" t="s">
        <v>4214</v>
      </c>
      <c r="L343" s="25">
        <v>2.0</v>
      </c>
      <c r="M343" s="27" t="s">
        <v>1137</v>
      </c>
      <c r="N343" s="30" t="s">
        <v>1174</v>
      </c>
      <c r="O343" s="26" t="str">
        <f t="shared" si="85"/>
        <v>กลุ่มงานรังสีวิทยา</v>
      </c>
      <c r="P343" s="26" t="s">
        <v>4431</v>
      </c>
      <c r="Q343" s="26" t="str">
        <f t="shared" si="86"/>
        <v>กลุ่มงานรังสีวิทยา</v>
      </c>
      <c r="R343" s="26" t="str">
        <f t="shared" si="87"/>
        <v>ภารกิจด้านบริการทุติยภูมิและตติยภูมิ</v>
      </c>
      <c r="S343" s="26" t="str">
        <f t="shared" si="88"/>
        <v>กลุ่มงานรังสีวิทยา</v>
      </c>
      <c r="T343" s="26" t="s">
        <v>4432</v>
      </c>
      <c r="U343" s="26" t="s">
        <v>1302</v>
      </c>
      <c r="V343" s="25">
        <v>15.0</v>
      </c>
      <c r="W343" s="26" t="s">
        <v>4054</v>
      </c>
      <c r="X343" s="25" t="s">
        <v>3978</v>
      </c>
      <c r="Y343" s="31">
        <v>5.0</v>
      </c>
      <c r="Z343" s="31">
        <v>5.0</v>
      </c>
      <c r="AA343" s="31">
        <v>50.0</v>
      </c>
      <c r="AB343" s="31">
        <v>160.0</v>
      </c>
      <c r="AC343" s="32">
        <v>1.0</v>
      </c>
      <c r="AD343" s="26"/>
      <c r="AE343" s="26"/>
      <c r="AF343" s="32">
        <v>47.0</v>
      </c>
      <c r="AG343" s="33">
        <v>1.11010018948E12</v>
      </c>
      <c r="AH343" s="33" t="s">
        <v>540</v>
      </c>
      <c r="AI343" s="60">
        <v>234802.0</v>
      </c>
    </row>
    <row r="344" ht="38.25" hidden="1" customHeight="1">
      <c r="A344" s="32">
        <v>341.0</v>
      </c>
      <c r="B344" s="26"/>
      <c r="C344" s="26"/>
      <c r="D344" s="64">
        <v>1.0</v>
      </c>
      <c r="E344" s="26" t="s">
        <v>5035</v>
      </c>
      <c r="F344" s="26" t="s">
        <v>5035</v>
      </c>
      <c r="G344" s="27" t="s">
        <v>1110</v>
      </c>
      <c r="H344" s="27" t="s">
        <v>1110</v>
      </c>
      <c r="I344" s="29" t="s">
        <v>5057</v>
      </c>
      <c r="J344" s="29" t="s">
        <v>3963</v>
      </c>
      <c r="K344" s="27" t="s">
        <v>4214</v>
      </c>
      <c r="L344" s="25">
        <v>2.0</v>
      </c>
      <c r="M344" s="27" t="s">
        <v>1137</v>
      </c>
      <c r="N344" s="30" t="s">
        <v>1174</v>
      </c>
      <c r="O344" s="26" t="str">
        <f t="shared" si="85"/>
        <v>กลุ่มงานรังสีวิทยา</v>
      </c>
      <c r="P344" s="26" t="s">
        <v>4431</v>
      </c>
      <c r="Q344" s="26" t="str">
        <f t="shared" si="86"/>
        <v>กลุ่มงานรังสีวิทยา</v>
      </c>
      <c r="R344" s="26" t="str">
        <f t="shared" si="87"/>
        <v>ภารกิจด้านบริการทุติยภูมิและตติยภูมิ</v>
      </c>
      <c r="S344" s="26" t="str">
        <f t="shared" si="88"/>
        <v>กลุ่มงานรังสีวิทยา</v>
      </c>
      <c r="T344" s="26" t="s">
        <v>4432</v>
      </c>
      <c r="U344" s="26" t="s">
        <v>1302</v>
      </c>
      <c r="V344" s="25">
        <v>15.0</v>
      </c>
      <c r="W344" s="26" t="s">
        <v>4054</v>
      </c>
      <c r="X344" s="25" t="s">
        <v>3978</v>
      </c>
      <c r="Y344" s="31">
        <v>5.0</v>
      </c>
      <c r="Z344" s="31">
        <v>5.0</v>
      </c>
      <c r="AA344" s="31">
        <v>50.0</v>
      </c>
      <c r="AB344" s="31">
        <v>160.0</v>
      </c>
      <c r="AC344" s="32">
        <v>1.0</v>
      </c>
      <c r="AD344" s="26"/>
      <c r="AE344" s="26"/>
      <c r="AF344" s="32">
        <v>47.0</v>
      </c>
      <c r="AG344" s="37">
        <v>1.509901688446E12</v>
      </c>
      <c r="AH344" s="61"/>
      <c r="AI344" s="38" t="s">
        <v>5058</v>
      </c>
    </row>
    <row r="345" ht="38.25" hidden="1" customHeight="1">
      <c r="A345" s="25">
        <v>342.0</v>
      </c>
      <c r="B345" s="26" t="s">
        <v>2692</v>
      </c>
      <c r="C345" s="26" t="s">
        <v>5059</v>
      </c>
      <c r="D345" s="26" t="s">
        <v>5060</v>
      </c>
      <c r="E345" s="26" t="s">
        <v>5061</v>
      </c>
      <c r="F345" s="26" t="s">
        <v>5061</v>
      </c>
      <c r="G345" s="27" t="s">
        <v>1110</v>
      </c>
      <c r="H345" s="27" t="s">
        <v>1110</v>
      </c>
      <c r="I345" s="29">
        <v>4317.0</v>
      </c>
      <c r="J345" s="29" t="s">
        <v>1535</v>
      </c>
      <c r="K345" s="27" t="s">
        <v>4214</v>
      </c>
      <c r="L345" s="25">
        <v>4.0</v>
      </c>
      <c r="M345" s="27" t="s">
        <v>4215</v>
      </c>
      <c r="N345" s="30" t="s">
        <v>1174</v>
      </c>
      <c r="O345" s="26" t="s">
        <v>4298</v>
      </c>
      <c r="P345" s="26" t="s">
        <v>4298</v>
      </c>
      <c r="Q345" s="26" t="str">
        <f t="shared" si="86"/>
        <v>กลุ่มงานบริหารทั่วไป</v>
      </c>
      <c r="R345" s="26" t="str">
        <f t="shared" si="87"/>
        <v>ภารกิจด้านอำนวยการ</v>
      </c>
      <c r="S345" s="26" t="str">
        <f t="shared" si="88"/>
        <v>กลุ่มงานบริหารทั่วไป</v>
      </c>
      <c r="T345" s="26" t="s">
        <v>3992</v>
      </c>
      <c r="U345" s="26" t="s">
        <v>1302</v>
      </c>
      <c r="V345" s="25" t="s">
        <v>46</v>
      </c>
      <c r="W345" s="26" t="s">
        <v>1323</v>
      </c>
      <c r="X345" s="25" t="s">
        <v>46</v>
      </c>
      <c r="Y345" s="31">
        <v>3.0</v>
      </c>
      <c r="Z345" s="31">
        <v>54.0</v>
      </c>
      <c r="AA345" s="31">
        <v>57.0</v>
      </c>
      <c r="AB345" s="31">
        <v>55.0</v>
      </c>
      <c r="AC345" s="32">
        <v>1.0</v>
      </c>
      <c r="AD345" s="26"/>
      <c r="AE345" s="26"/>
      <c r="AF345" s="32">
        <v>45.0</v>
      </c>
      <c r="AG345" s="37">
        <v>3.501400234883E12</v>
      </c>
      <c r="AH345" s="37" t="s">
        <v>3233</v>
      </c>
      <c r="AI345" s="44">
        <v>226218.0</v>
      </c>
    </row>
    <row r="346" ht="38.25" hidden="1" customHeight="1">
      <c r="A346" s="25">
        <v>343.0</v>
      </c>
      <c r="B346" s="26" t="s">
        <v>2692</v>
      </c>
      <c r="C346" s="26" t="s">
        <v>5062</v>
      </c>
      <c r="D346" s="26" t="s">
        <v>5063</v>
      </c>
      <c r="E346" s="26" t="s">
        <v>5061</v>
      </c>
      <c r="F346" s="26" t="s">
        <v>5061</v>
      </c>
      <c r="G346" s="27" t="s">
        <v>1110</v>
      </c>
      <c r="H346" s="27" t="s">
        <v>1110</v>
      </c>
      <c r="I346" s="29">
        <v>4318.0</v>
      </c>
      <c r="J346" s="29" t="s">
        <v>1535</v>
      </c>
      <c r="K346" s="27" t="s">
        <v>4214</v>
      </c>
      <c r="L346" s="25">
        <v>4.0</v>
      </c>
      <c r="M346" s="27" t="s">
        <v>4215</v>
      </c>
      <c r="N346" s="30" t="s">
        <v>1174</v>
      </c>
      <c r="O346" s="26" t="s">
        <v>4298</v>
      </c>
      <c r="P346" s="26" t="s">
        <v>4298</v>
      </c>
      <c r="Q346" s="26" t="str">
        <f t="shared" si="86"/>
        <v>กลุ่มงานบริหารทั่วไป</v>
      </c>
      <c r="R346" s="26" t="str">
        <f t="shared" si="87"/>
        <v>ภารกิจด้านอำนวยการ</v>
      </c>
      <c r="S346" s="26" t="str">
        <f t="shared" si="88"/>
        <v>กลุ่มงานบริหารทั่วไป</v>
      </c>
      <c r="T346" s="26" t="s">
        <v>3992</v>
      </c>
      <c r="U346" s="26" t="s">
        <v>1302</v>
      </c>
      <c r="V346" s="25" t="s">
        <v>46</v>
      </c>
      <c r="W346" s="26" t="s">
        <v>1323</v>
      </c>
      <c r="X346" s="25" t="s">
        <v>46</v>
      </c>
      <c r="Y346" s="31">
        <v>3.0</v>
      </c>
      <c r="Z346" s="31">
        <v>54.0</v>
      </c>
      <c r="AA346" s="31">
        <v>57.0</v>
      </c>
      <c r="AB346" s="31">
        <v>55.0</v>
      </c>
      <c r="AC346" s="32">
        <v>1.0</v>
      </c>
      <c r="AD346" s="26"/>
      <c r="AE346" s="26"/>
      <c r="AF346" s="32">
        <v>45.0</v>
      </c>
      <c r="AG346" s="33">
        <v>3.50140035868E12</v>
      </c>
      <c r="AH346" s="33" t="s">
        <v>3180</v>
      </c>
      <c r="AI346" s="34" t="s">
        <v>5064</v>
      </c>
    </row>
    <row r="347" ht="38.25" hidden="1" customHeight="1">
      <c r="A347" s="32">
        <v>344.0</v>
      </c>
      <c r="B347" s="26" t="s">
        <v>2692</v>
      </c>
      <c r="C347" s="26" t="s">
        <v>3092</v>
      </c>
      <c r="D347" s="26" t="s">
        <v>4576</v>
      </c>
      <c r="E347" s="26" t="s">
        <v>5061</v>
      </c>
      <c r="F347" s="26" t="s">
        <v>5061</v>
      </c>
      <c r="G347" s="27" t="s">
        <v>1110</v>
      </c>
      <c r="H347" s="27" t="s">
        <v>1110</v>
      </c>
      <c r="I347" s="29">
        <v>4319.0</v>
      </c>
      <c r="J347" s="29" t="s">
        <v>1535</v>
      </c>
      <c r="K347" s="27" t="s">
        <v>4214</v>
      </c>
      <c r="L347" s="25">
        <v>4.0</v>
      </c>
      <c r="M347" s="27" t="s">
        <v>4215</v>
      </c>
      <c r="N347" s="30" t="s">
        <v>1174</v>
      </c>
      <c r="O347" s="26" t="s">
        <v>4298</v>
      </c>
      <c r="P347" s="26" t="s">
        <v>4298</v>
      </c>
      <c r="Q347" s="26" t="str">
        <f t="shared" si="86"/>
        <v>กลุ่มงานบริหารทั่วไป</v>
      </c>
      <c r="R347" s="26" t="str">
        <f t="shared" si="87"/>
        <v>ภารกิจด้านอำนวยการ</v>
      </c>
      <c r="S347" s="26" t="str">
        <f t="shared" si="88"/>
        <v>กลุ่มงานบริหารทั่วไป</v>
      </c>
      <c r="T347" s="26" t="s">
        <v>3992</v>
      </c>
      <c r="U347" s="26" t="s">
        <v>1302</v>
      </c>
      <c r="V347" s="25" t="s">
        <v>46</v>
      </c>
      <c r="W347" s="26" t="s">
        <v>1323</v>
      </c>
      <c r="X347" s="25" t="s">
        <v>46</v>
      </c>
      <c r="Y347" s="31">
        <v>3.0</v>
      </c>
      <c r="Z347" s="31">
        <v>54.0</v>
      </c>
      <c r="AA347" s="31">
        <v>57.0</v>
      </c>
      <c r="AB347" s="31">
        <v>55.0</v>
      </c>
      <c r="AC347" s="32">
        <v>1.0</v>
      </c>
      <c r="AD347" s="26"/>
      <c r="AE347" s="26"/>
      <c r="AF347" s="32">
        <v>45.0</v>
      </c>
      <c r="AG347" s="37">
        <v>1.509900674646E12</v>
      </c>
      <c r="AH347" s="37" t="s">
        <v>3094</v>
      </c>
      <c r="AI347" s="44">
        <v>230601.0</v>
      </c>
    </row>
    <row r="348" ht="38.25" hidden="1" customHeight="1">
      <c r="A348" s="25">
        <v>345.0</v>
      </c>
      <c r="B348" s="26" t="s">
        <v>2692</v>
      </c>
      <c r="C348" s="26" t="s">
        <v>5065</v>
      </c>
      <c r="D348" s="26" t="s">
        <v>5066</v>
      </c>
      <c r="E348" s="26" t="s">
        <v>5067</v>
      </c>
      <c r="F348" s="26" t="s">
        <v>5067</v>
      </c>
      <c r="G348" s="27" t="s">
        <v>1110</v>
      </c>
      <c r="H348" s="27" t="s">
        <v>1110</v>
      </c>
      <c r="I348" s="29">
        <v>4322.0</v>
      </c>
      <c r="J348" s="29" t="s">
        <v>1535</v>
      </c>
      <c r="K348" s="27" t="s">
        <v>4214</v>
      </c>
      <c r="L348" s="25">
        <v>4.0</v>
      </c>
      <c r="M348" s="27" t="s">
        <v>4215</v>
      </c>
      <c r="N348" s="30" t="s">
        <v>1174</v>
      </c>
      <c r="O348" s="26" t="s">
        <v>5068</v>
      </c>
      <c r="P348" s="26" t="s">
        <v>5068</v>
      </c>
      <c r="Q348" s="26" t="str">
        <f t="shared" si="86"/>
        <v>กลุ่มงานบริหารทั่วไป</v>
      </c>
      <c r="R348" s="26" t="str">
        <f t="shared" si="87"/>
        <v>ภารกิจด้านอำนวยการ</v>
      </c>
      <c r="S348" s="26" t="str">
        <f t="shared" si="88"/>
        <v>กลุ่มงานบริหารทั่วไป</v>
      </c>
      <c r="T348" s="26" t="s">
        <v>3992</v>
      </c>
      <c r="U348" s="26" t="s">
        <v>1302</v>
      </c>
      <c r="V348" s="25" t="s">
        <v>46</v>
      </c>
      <c r="W348" s="26" t="s">
        <v>1323</v>
      </c>
      <c r="X348" s="25" t="s">
        <v>46</v>
      </c>
      <c r="Y348" s="31">
        <v>12.0</v>
      </c>
      <c r="Z348" s="31">
        <v>54.0</v>
      </c>
      <c r="AA348" s="31">
        <v>57.0</v>
      </c>
      <c r="AB348" s="31">
        <v>55.0</v>
      </c>
      <c r="AC348" s="32">
        <v>1.0</v>
      </c>
      <c r="AD348" s="26"/>
      <c r="AE348" s="26"/>
      <c r="AF348" s="32">
        <v>45.0</v>
      </c>
      <c r="AG348" s="33">
        <v>3.500700264698E12</v>
      </c>
      <c r="AH348" s="33" t="s">
        <v>3254</v>
      </c>
      <c r="AI348" s="40">
        <v>225812.0</v>
      </c>
    </row>
    <row r="349" ht="38.25" hidden="1" customHeight="1">
      <c r="A349" s="32">
        <v>346.0</v>
      </c>
      <c r="B349" s="26" t="s">
        <v>2692</v>
      </c>
      <c r="C349" s="26" t="s">
        <v>1443</v>
      </c>
      <c r="D349" s="26" t="s">
        <v>5069</v>
      </c>
      <c r="E349" s="26" t="s">
        <v>5067</v>
      </c>
      <c r="F349" s="26" t="s">
        <v>5067</v>
      </c>
      <c r="G349" s="27" t="s">
        <v>1110</v>
      </c>
      <c r="H349" s="27" t="s">
        <v>1110</v>
      </c>
      <c r="I349" s="29">
        <v>4324.0</v>
      </c>
      <c r="J349" s="29" t="s">
        <v>1535</v>
      </c>
      <c r="K349" s="27" t="s">
        <v>4214</v>
      </c>
      <c r="L349" s="25">
        <v>4.0</v>
      </c>
      <c r="M349" s="27" t="s">
        <v>4215</v>
      </c>
      <c r="N349" s="30" t="s">
        <v>1174</v>
      </c>
      <c r="O349" s="26" t="s">
        <v>5068</v>
      </c>
      <c r="P349" s="26" t="s">
        <v>5068</v>
      </c>
      <c r="Q349" s="26" t="str">
        <f t="shared" si="86"/>
        <v>กลุ่มงานบริหารทั่วไป</v>
      </c>
      <c r="R349" s="26" t="str">
        <f t="shared" si="87"/>
        <v>ภารกิจด้านอำนวยการ</v>
      </c>
      <c r="S349" s="26" t="str">
        <f t="shared" si="88"/>
        <v>กลุ่มงานบริหารทั่วไป</v>
      </c>
      <c r="T349" s="26" t="s">
        <v>3992</v>
      </c>
      <c r="U349" s="26" t="s">
        <v>1302</v>
      </c>
      <c r="V349" s="25" t="s">
        <v>46</v>
      </c>
      <c r="W349" s="26" t="s">
        <v>1323</v>
      </c>
      <c r="X349" s="25" t="s">
        <v>46</v>
      </c>
      <c r="Y349" s="31">
        <v>12.0</v>
      </c>
      <c r="Z349" s="31">
        <v>54.0</v>
      </c>
      <c r="AA349" s="31">
        <v>57.0</v>
      </c>
      <c r="AB349" s="31">
        <v>55.0</v>
      </c>
      <c r="AC349" s="32">
        <v>1.0</v>
      </c>
      <c r="AD349" s="26"/>
      <c r="AE349" s="26"/>
      <c r="AF349" s="32">
        <v>45.0</v>
      </c>
      <c r="AG349" s="37">
        <v>3.501400197198E12</v>
      </c>
      <c r="AH349" s="37" t="s">
        <v>3290</v>
      </c>
      <c r="AI349" s="38" t="s">
        <v>5070</v>
      </c>
    </row>
    <row r="350" ht="38.25" hidden="1" customHeight="1">
      <c r="A350" s="25">
        <v>347.0</v>
      </c>
      <c r="B350" s="26" t="s">
        <v>2692</v>
      </c>
      <c r="C350" s="26" t="s">
        <v>5071</v>
      </c>
      <c r="D350" s="26" t="s">
        <v>5072</v>
      </c>
      <c r="E350" s="26" t="s">
        <v>5067</v>
      </c>
      <c r="F350" s="26" t="s">
        <v>5067</v>
      </c>
      <c r="G350" s="27" t="s">
        <v>1110</v>
      </c>
      <c r="H350" s="27" t="s">
        <v>1110</v>
      </c>
      <c r="I350" s="29">
        <v>4325.0</v>
      </c>
      <c r="J350" s="29" t="s">
        <v>1535</v>
      </c>
      <c r="K350" s="27" t="s">
        <v>4214</v>
      </c>
      <c r="L350" s="25">
        <v>4.0</v>
      </c>
      <c r="M350" s="27" t="s">
        <v>4215</v>
      </c>
      <c r="N350" s="30" t="s">
        <v>1174</v>
      </c>
      <c r="O350" s="26" t="s">
        <v>5068</v>
      </c>
      <c r="P350" s="26" t="s">
        <v>5068</v>
      </c>
      <c r="Q350" s="26" t="str">
        <f t="shared" si="86"/>
        <v>กลุ่มงานบริหารทั่วไป</v>
      </c>
      <c r="R350" s="26" t="str">
        <f t="shared" si="87"/>
        <v>ภารกิจด้านอำนวยการ</v>
      </c>
      <c r="S350" s="26" t="str">
        <f t="shared" si="88"/>
        <v>กลุ่มงานบริหารทั่วไป</v>
      </c>
      <c r="T350" s="26" t="s">
        <v>3992</v>
      </c>
      <c r="U350" s="26" t="s">
        <v>1302</v>
      </c>
      <c r="V350" s="25" t="s">
        <v>46</v>
      </c>
      <c r="W350" s="26" t="s">
        <v>1323</v>
      </c>
      <c r="X350" s="25" t="s">
        <v>46</v>
      </c>
      <c r="Y350" s="31">
        <v>12.0</v>
      </c>
      <c r="Z350" s="31">
        <v>54.0</v>
      </c>
      <c r="AA350" s="31">
        <v>57.0</v>
      </c>
      <c r="AB350" s="31">
        <v>55.0</v>
      </c>
      <c r="AC350" s="32">
        <v>1.0</v>
      </c>
      <c r="AD350" s="26"/>
      <c r="AE350" s="26"/>
      <c r="AF350" s="32">
        <v>45.0</v>
      </c>
      <c r="AG350" s="33">
        <v>1.500700143797E12</v>
      </c>
      <c r="AH350" s="33" t="s">
        <v>2989</v>
      </c>
      <c r="AI350" s="40">
        <v>232032.0</v>
      </c>
    </row>
    <row r="351" ht="38.25" hidden="1" customHeight="1">
      <c r="A351" s="25">
        <v>348.0</v>
      </c>
      <c r="B351" s="26" t="s">
        <v>2692</v>
      </c>
      <c r="C351" s="26" t="s">
        <v>5073</v>
      </c>
      <c r="D351" s="26" t="s">
        <v>5074</v>
      </c>
      <c r="E351" s="26" t="s">
        <v>5067</v>
      </c>
      <c r="F351" s="26" t="s">
        <v>5067</v>
      </c>
      <c r="G351" s="27" t="s">
        <v>1110</v>
      </c>
      <c r="H351" s="27" t="s">
        <v>1110</v>
      </c>
      <c r="I351" s="29">
        <v>4320.0</v>
      </c>
      <c r="J351" s="29" t="s">
        <v>1535</v>
      </c>
      <c r="K351" s="27" t="s">
        <v>4214</v>
      </c>
      <c r="L351" s="25">
        <v>4.0</v>
      </c>
      <c r="M351" s="27" t="s">
        <v>4215</v>
      </c>
      <c r="N351" s="30" t="s">
        <v>1174</v>
      </c>
      <c r="O351" s="26" t="s">
        <v>5068</v>
      </c>
      <c r="P351" s="26" t="s">
        <v>5068</v>
      </c>
      <c r="Q351" s="26" t="str">
        <f t="shared" si="86"/>
        <v>กลุ่มงานบริหารทั่วไป</v>
      </c>
      <c r="R351" s="26" t="str">
        <f t="shared" si="87"/>
        <v>ภารกิจด้านอำนวยการ</v>
      </c>
      <c r="S351" s="26" t="str">
        <f t="shared" si="88"/>
        <v>กลุ่มงานบริหารทั่วไป</v>
      </c>
      <c r="T351" s="26" t="s">
        <v>3992</v>
      </c>
      <c r="U351" s="26" t="s">
        <v>1302</v>
      </c>
      <c r="V351" s="25" t="s">
        <v>46</v>
      </c>
      <c r="W351" s="26" t="s">
        <v>1323</v>
      </c>
      <c r="X351" s="25" t="s">
        <v>46</v>
      </c>
      <c r="Y351" s="31">
        <v>12.0</v>
      </c>
      <c r="Z351" s="31">
        <v>54.0</v>
      </c>
      <c r="AA351" s="31">
        <v>57.0</v>
      </c>
      <c r="AB351" s="31">
        <v>55.0</v>
      </c>
      <c r="AC351" s="32">
        <v>1.0</v>
      </c>
      <c r="AD351" s="26"/>
      <c r="AE351" s="26"/>
      <c r="AF351" s="32">
        <v>45.0</v>
      </c>
      <c r="AG351" s="37">
        <v>1.500700114746E12</v>
      </c>
      <c r="AH351" s="37" t="s">
        <v>2307</v>
      </c>
      <c r="AI351" s="38" t="s">
        <v>5075</v>
      </c>
    </row>
    <row r="352" ht="38.25" hidden="1" customHeight="1">
      <c r="A352" s="32">
        <v>349.0</v>
      </c>
      <c r="B352" s="26" t="s">
        <v>2692</v>
      </c>
      <c r="C352" s="26" t="s">
        <v>5076</v>
      </c>
      <c r="D352" s="26" t="s">
        <v>5077</v>
      </c>
      <c r="E352" s="26" t="s">
        <v>5067</v>
      </c>
      <c r="F352" s="26" t="s">
        <v>5067</v>
      </c>
      <c r="G352" s="27" t="s">
        <v>1110</v>
      </c>
      <c r="H352" s="27" t="s">
        <v>1110</v>
      </c>
      <c r="I352" s="29">
        <v>4321.0</v>
      </c>
      <c r="J352" s="29" t="s">
        <v>1535</v>
      </c>
      <c r="K352" s="27" t="s">
        <v>4214</v>
      </c>
      <c r="L352" s="25">
        <v>4.0</v>
      </c>
      <c r="M352" s="27" t="s">
        <v>4215</v>
      </c>
      <c r="N352" s="30" t="s">
        <v>1174</v>
      </c>
      <c r="O352" s="26" t="s">
        <v>5068</v>
      </c>
      <c r="P352" s="26" t="s">
        <v>5068</v>
      </c>
      <c r="Q352" s="26" t="str">
        <f t="shared" si="86"/>
        <v>กลุ่มงานบริหารทั่วไป</v>
      </c>
      <c r="R352" s="26" t="str">
        <f t="shared" si="87"/>
        <v>ภารกิจด้านอำนวยการ</v>
      </c>
      <c r="S352" s="26" t="str">
        <f t="shared" si="88"/>
        <v>กลุ่มงานบริหารทั่วไป</v>
      </c>
      <c r="T352" s="26" t="s">
        <v>3992</v>
      </c>
      <c r="U352" s="26" t="s">
        <v>1302</v>
      </c>
      <c r="V352" s="25" t="s">
        <v>46</v>
      </c>
      <c r="W352" s="26" t="s">
        <v>1323</v>
      </c>
      <c r="X352" s="25" t="s">
        <v>46</v>
      </c>
      <c r="Y352" s="31">
        <v>12.0</v>
      </c>
      <c r="Z352" s="31">
        <v>54.0</v>
      </c>
      <c r="AA352" s="31">
        <v>57.0</v>
      </c>
      <c r="AB352" s="31">
        <v>55.0</v>
      </c>
      <c r="AC352" s="32">
        <v>1.0</v>
      </c>
      <c r="AD352" s="26"/>
      <c r="AE352" s="26"/>
      <c r="AF352" s="32">
        <v>45.0</v>
      </c>
      <c r="AG352" s="33">
        <v>1.509900994551E12</v>
      </c>
      <c r="AH352" s="46"/>
      <c r="AI352" s="40">
        <v>231873.0</v>
      </c>
    </row>
    <row r="353" ht="38.25" hidden="1" customHeight="1">
      <c r="A353" s="25">
        <v>350.0</v>
      </c>
      <c r="B353" s="26" t="s">
        <v>2692</v>
      </c>
      <c r="C353" s="26" t="s">
        <v>4443</v>
      </c>
      <c r="D353" s="26" t="s">
        <v>5078</v>
      </c>
      <c r="E353" s="26" t="s">
        <v>5067</v>
      </c>
      <c r="F353" s="26" t="s">
        <v>5067</v>
      </c>
      <c r="G353" s="27" t="s">
        <v>1110</v>
      </c>
      <c r="H353" s="27" t="s">
        <v>1110</v>
      </c>
      <c r="I353" s="29">
        <v>4326.0</v>
      </c>
      <c r="J353" s="29" t="s">
        <v>1535</v>
      </c>
      <c r="K353" s="27" t="s">
        <v>4214</v>
      </c>
      <c r="L353" s="25">
        <v>4.0</v>
      </c>
      <c r="M353" s="27" t="s">
        <v>4215</v>
      </c>
      <c r="N353" s="30" t="s">
        <v>1174</v>
      </c>
      <c r="O353" s="26" t="s">
        <v>5068</v>
      </c>
      <c r="P353" s="26" t="s">
        <v>5068</v>
      </c>
      <c r="Q353" s="26" t="str">
        <f t="shared" si="86"/>
        <v>กลุ่มงานบริหารทั่วไป</v>
      </c>
      <c r="R353" s="26" t="str">
        <f t="shared" si="87"/>
        <v>ภารกิจด้านอำนวยการ</v>
      </c>
      <c r="S353" s="26" t="str">
        <f t="shared" si="88"/>
        <v>กลุ่มงานบริหารทั่วไป</v>
      </c>
      <c r="T353" s="26" t="s">
        <v>3992</v>
      </c>
      <c r="U353" s="26" t="s">
        <v>1302</v>
      </c>
      <c r="V353" s="25" t="s">
        <v>46</v>
      </c>
      <c r="W353" s="26" t="s">
        <v>1323</v>
      </c>
      <c r="X353" s="25" t="s">
        <v>46</v>
      </c>
      <c r="Y353" s="31">
        <v>12.0</v>
      </c>
      <c r="Z353" s="31">
        <v>54.0</v>
      </c>
      <c r="AA353" s="31">
        <v>57.0</v>
      </c>
      <c r="AB353" s="31">
        <v>55.0</v>
      </c>
      <c r="AC353" s="32">
        <v>1.0</v>
      </c>
      <c r="AD353" s="26"/>
      <c r="AE353" s="26"/>
      <c r="AF353" s="32">
        <v>45.0</v>
      </c>
      <c r="AG353" s="37">
        <v>1.50990142418E12</v>
      </c>
      <c r="AH353" s="37" t="s">
        <v>2339</v>
      </c>
      <c r="AI353" s="44">
        <v>232664.0</v>
      </c>
    </row>
    <row r="354" ht="38.25" customHeight="1">
      <c r="A354" s="25">
        <v>351.0</v>
      </c>
      <c r="B354" s="26" t="s">
        <v>2692</v>
      </c>
      <c r="C354" s="26" t="s">
        <v>5079</v>
      </c>
      <c r="D354" s="26" t="s">
        <v>5080</v>
      </c>
      <c r="E354" s="26" t="s">
        <v>5067</v>
      </c>
      <c r="F354" s="26" t="s">
        <v>5067</v>
      </c>
      <c r="G354" s="27" t="s">
        <v>1110</v>
      </c>
      <c r="H354" s="27" t="s">
        <v>1110</v>
      </c>
      <c r="I354" s="29">
        <v>4323.0</v>
      </c>
      <c r="J354" s="29" t="s">
        <v>1535</v>
      </c>
      <c r="K354" s="27" t="s">
        <v>4214</v>
      </c>
      <c r="L354" s="25">
        <v>4.0</v>
      </c>
      <c r="M354" s="27" t="s">
        <v>4215</v>
      </c>
      <c r="N354" s="59" t="s">
        <v>3981</v>
      </c>
      <c r="O354" s="26"/>
      <c r="P354" s="76" t="s">
        <v>4522</v>
      </c>
      <c r="Q354" s="26" t="s">
        <v>4063</v>
      </c>
      <c r="R354" s="26" t="s">
        <v>4064</v>
      </c>
      <c r="S354" s="26" t="str">
        <f t="shared" si="88"/>
        <v>กลุ่มงานบริหารทั่วไป</v>
      </c>
      <c r="T354" s="26" t="s">
        <v>3992</v>
      </c>
      <c r="U354" s="26" t="s">
        <v>1302</v>
      </c>
      <c r="V354" s="25" t="s">
        <v>46</v>
      </c>
      <c r="W354" s="26" t="s">
        <v>1323</v>
      </c>
      <c r="X354" s="25" t="s">
        <v>3935</v>
      </c>
      <c r="Y354" s="31">
        <v>12.0</v>
      </c>
      <c r="Z354" s="31">
        <v>54.0</v>
      </c>
      <c r="AA354" s="63">
        <v>57.0</v>
      </c>
      <c r="AB354" s="31">
        <v>55.0</v>
      </c>
      <c r="AC354" s="32">
        <v>1.0</v>
      </c>
      <c r="AD354" s="26"/>
      <c r="AE354" s="26"/>
      <c r="AF354" s="32">
        <v>45.0</v>
      </c>
      <c r="AG354" s="33">
        <v>1.509900534593E12</v>
      </c>
      <c r="AH354" s="33" t="s">
        <v>3162</v>
      </c>
      <c r="AI354" s="34" t="s">
        <v>5081</v>
      </c>
    </row>
    <row r="355" ht="38.25" customHeight="1">
      <c r="A355" s="32">
        <v>352.0</v>
      </c>
      <c r="B355" s="26" t="s">
        <v>2692</v>
      </c>
      <c r="C355" s="26" t="s">
        <v>5079</v>
      </c>
      <c r="D355" s="26" t="s">
        <v>5082</v>
      </c>
      <c r="E355" s="26" t="s">
        <v>5067</v>
      </c>
      <c r="F355" s="26" t="s">
        <v>5067</v>
      </c>
      <c r="G355" s="27" t="s">
        <v>1110</v>
      </c>
      <c r="H355" s="27" t="s">
        <v>1110</v>
      </c>
      <c r="I355" s="29" t="s">
        <v>5083</v>
      </c>
      <c r="J355" s="29" t="s">
        <v>3963</v>
      </c>
      <c r="K355" s="27" t="s">
        <v>4214</v>
      </c>
      <c r="L355" s="25">
        <v>4.0</v>
      </c>
      <c r="M355" s="27" t="s">
        <v>4215</v>
      </c>
      <c r="N355" s="30" t="s">
        <v>1174</v>
      </c>
      <c r="O355" s="26"/>
      <c r="P355" s="76" t="s">
        <v>4522</v>
      </c>
      <c r="Q355" s="26" t="str">
        <f t="shared" ref="Q355:Q360" si="89">+T355</f>
        <v>กลุ่มงานบริหารทั่วไป</v>
      </c>
      <c r="R355" s="26" t="str">
        <f t="shared" ref="R355:R360" si="90">+W355</f>
        <v>ภารกิจด้านอำนวยการ</v>
      </c>
      <c r="S355" s="26" t="str">
        <f t="shared" si="88"/>
        <v>กลุ่มงานบริหารทั่วไป</v>
      </c>
      <c r="T355" s="26" t="s">
        <v>3992</v>
      </c>
      <c r="U355" s="26" t="s">
        <v>1302</v>
      </c>
      <c r="V355" s="25" t="s">
        <v>46</v>
      </c>
      <c r="W355" s="26" t="s">
        <v>1323</v>
      </c>
      <c r="X355" s="25" t="s">
        <v>46</v>
      </c>
      <c r="Y355" s="31">
        <v>12.0</v>
      </c>
      <c r="Z355" s="31">
        <v>54.0</v>
      </c>
      <c r="AA355" s="31">
        <v>57.0</v>
      </c>
      <c r="AB355" s="31">
        <v>55.0</v>
      </c>
      <c r="AC355" s="32">
        <v>1.0</v>
      </c>
      <c r="AD355" s="26"/>
      <c r="AE355" s="26"/>
      <c r="AF355" s="32">
        <v>45.0</v>
      </c>
      <c r="AG355" s="33">
        <v>1.505200027237E12</v>
      </c>
      <c r="AH355" s="33" t="s">
        <v>607</v>
      </c>
      <c r="AI355" s="40">
        <v>233434.0</v>
      </c>
    </row>
    <row r="356" ht="38.25" hidden="1" customHeight="1">
      <c r="A356" s="25">
        <v>353.0</v>
      </c>
      <c r="B356" s="26" t="s">
        <v>2692</v>
      </c>
      <c r="C356" s="26" t="s">
        <v>5084</v>
      </c>
      <c r="D356" s="26" t="s">
        <v>5085</v>
      </c>
      <c r="E356" s="26" t="s">
        <v>5067</v>
      </c>
      <c r="F356" s="26" t="s">
        <v>5067</v>
      </c>
      <c r="G356" s="27" t="s">
        <v>1110</v>
      </c>
      <c r="H356" s="27" t="s">
        <v>1110</v>
      </c>
      <c r="I356" s="29" t="s">
        <v>5086</v>
      </c>
      <c r="J356" s="29" t="s">
        <v>3963</v>
      </c>
      <c r="K356" s="27" t="s">
        <v>4214</v>
      </c>
      <c r="L356" s="25">
        <v>4.0</v>
      </c>
      <c r="M356" s="27" t="s">
        <v>4215</v>
      </c>
      <c r="N356" s="30" t="s">
        <v>1174</v>
      </c>
      <c r="O356" s="26" t="s">
        <v>5068</v>
      </c>
      <c r="P356" s="26" t="s">
        <v>5068</v>
      </c>
      <c r="Q356" s="26" t="str">
        <f t="shared" si="89"/>
        <v>กลุ่มงานบริหารทั่วไป</v>
      </c>
      <c r="R356" s="26" t="str">
        <f t="shared" si="90"/>
        <v>ภารกิจด้านอำนวยการ</v>
      </c>
      <c r="S356" s="26" t="str">
        <f t="shared" si="88"/>
        <v>กลุ่มงานบริหารทั่วไป</v>
      </c>
      <c r="T356" s="26" t="s">
        <v>3992</v>
      </c>
      <c r="U356" s="26" t="s">
        <v>1302</v>
      </c>
      <c r="V356" s="25" t="s">
        <v>46</v>
      </c>
      <c r="W356" s="26" t="s">
        <v>1323</v>
      </c>
      <c r="X356" s="25" t="s">
        <v>46</v>
      </c>
      <c r="Y356" s="31">
        <v>12.0</v>
      </c>
      <c r="Z356" s="31">
        <v>54.0</v>
      </c>
      <c r="AA356" s="31">
        <v>57.0</v>
      </c>
      <c r="AB356" s="31">
        <v>55.0</v>
      </c>
      <c r="AC356" s="32">
        <v>1.0</v>
      </c>
      <c r="AD356" s="26"/>
      <c r="AE356" s="26"/>
      <c r="AF356" s="32">
        <v>45.0</v>
      </c>
      <c r="AG356" s="37">
        <v>3.501400298652E12</v>
      </c>
      <c r="AH356" s="37" t="s">
        <v>2532</v>
      </c>
      <c r="AI356" s="44">
        <v>228255.0</v>
      </c>
    </row>
    <row r="357" ht="38.25" hidden="1" customHeight="1">
      <c r="A357" s="25">
        <v>354.0</v>
      </c>
      <c r="B357" s="26"/>
      <c r="C357" s="26"/>
      <c r="D357" s="64">
        <v>1.0</v>
      </c>
      <c r="E357" s="26" t="s">
        <v>5067</v>
      </c>
      <c r="F357" s="26" t="s">
        <v>5067</v>
      </c>
      <c r="G357" s="27" t="s">
        <v>1110</v>
      </c>
      <c r="H357" s="27" t="s">
        <v>1110</v>
      </c>
      <c r="I357" s="29" t="s">
        <v>5087</v>
      </c>
      <c r="J357" s="29" t="s">
        <v>3963</v>
      </c>
      <c r="K357" s="27" t="s">
        <v>4214</v>
      </c>
      <c r="L357" s="25">
        <v>4.0</v>
      </c>
      <c r="M357" s="27" t="s">
        <v>4215</v>
      </c>
      <c r="N357" s="30" t="s">
        <v>1174</v>
      </c>
      <c r="O357" s="26" t="s">
        <v>5068</v>
      </c>
      <c r="P357" s="26" t="s">
        <v>5068</v>
      </c>
      <c r="Q357" s="26" t="str">
        <f t="shared" si="89"/>
        <v>กลุ่มงานบริหารทั่วไป</v>
      </c>
      <c r="R357" s="26" t="str">
        <f t="shared" si="90"/>
        <v>ภารกิจด้านอำนวยการ</v>
      </c>
      <c r="S357" s="26" t="str">
        <f t="shared" si="88"/>
        <v>กลุ่มงานบริหารทั่วไป</v>
      </c>
      <c r="T357" s="26" t="s">
        <v>3992</v>
      </c>
      <c r="U357" s="26" t="s">
        <v>1302</v>
      </c>
      <c r="V357" s="25" t="s">
        <v>46</v>
      </c>
      <c r="W357" s="26" t="s">
        <v>1323</v>
      </c>
      <c r="X357" s="25" t="s">
        <v>46</v>
      </c>
      <c r="Y357" s="31">
        <v>12.0</v>
      </c>
      <c r="Z357" s="31">
        <v>54.0</v>
      </c>
      <c r="AA357" s="31">
        <v>57.0</v>
      </c>
      <c r="AB357" s="31">
        <v>55.0</v>
      </c>
      <c r="AC357" s="32">
        <v>1.0</v>
      </c>
      <c r="AD357" s="26"/>
      <c r="AE357" s="26"/>
      <c r="AF357" s="32">
        <v>45.0</v>
      </c>
      <c r="AG357" s="33"/>
      <c r="AH357" s="33"/>
      <c r="AI357" s="40"/>
    </row>
    <row r="358" ht="38.25" hidden="1" customHeight="1">
      <c r="A358" s="25">
        <v>355.0</v>
      </c>
      <c r="B358" s="26" t="s">
        <v>2692</v>
      </c>
      <c r="C358" s="26" t="s">
        <v>1443</v>
      </c>
      <c r="D358" s="26" t="s">
        <v>5088</v>
      </c>
      <c r="E358" s="26" t="s">
        <v>5067</v>
      </c>
      <c r="F358" s="26" t="s">
        <v>5067</v>
      </c>
      <c r="G358" s="27" t="s">
        <v>1110</v>
      </c>
      <c r="H358" s="27" t="s">
        <v>1110</v>
      </c>
      <c r="I358" s="29" t="s">
        <v>5089</v>
      </c>
      <c r="J358" s="29" t="s">
        <v>3963</v>
      </c>
      <c r="K358" s="27" t="s">
        <v>4214</v>
      </c>
      <c r="L358" s="25">
        <v>4.0</v>
      </c>
      <c r="M358" s="27" t="s">
        <v>4215</v>
      </c>
      <c r="N358" s="30" t="s">
        <v>1174</v>
      </c>
      <c r="O358" s="26" t="s">
        <v>5068</v>
      </c>
      <c r="P358" s="26" t="s">
        <v>5068</v>
      </c>
      <c r="Q358" s="26" t="str">
        <f t="shared" si="89"/>
        <v>กลุ่มงานบริหารทั่วไป</v>
      </c>
      <c r="R358" s="26" t="str">
        <f t="shared" si="90"/>
        <v>ภารกิจด้านอำนวยการ</v>
      </c>
      <c r="S358" s="26" t="str">
        <f t="shared" si="88"/>
        <v>กลุ่มงานบริหารทั่วไป</v>
      </c>
      <c r="T358" s="26" t="s">
        <v>3992</v>
      </c>
      <c r="U358" s="26" t="s">
        <v>1302</v>
      </c>
      <c r="V358" s="25" t="s">
        <v>46</v>
      </c>
      <c r="W358" s="26" t="s">
        <v>1323</v>
      </c>
      <c r="X358" s="25" t="s">
        <v>46</v>
      </c>
      <c r="Y358" s="31">
        <v>12.0</v>
      </c>
      <c r="Z358" s="31">
        <v>54.0</v>
      </c>
      <c r="AA358" s="31">
        <v>57.0</v>
      </c>
      <c r="AB358" s="31">
        <v>55.0</v>
      </c>
      <c r="AC358" s="32">
        <v>1.0</v>
      </c>
      <c r="AD358" s="26"/>
      <c r="AE358" s="26"/>
      <c r="AF358" s="32">
        <v>45.0</v>
      </c>
      <c r="AG358" s="37">
        <v>1.505200044948E12</v>
      </c>
      <c r="AH358" s="37" t="s">
        <v>1445</v>
      </c>
      <c r="AI358" s="38" t="s">
        <v>5090</v>
      </c>
    </row>
    <row r="359" ht="38.25" hidden="1" customHeight="1">
      <c r="A359" s="32">
        <v>356.0</v>
      </c>
      <c r="B359" s="26" t="s">
        <v>806</v>
      </c>
      <c r="C359" s="26" t="s">
        <v>5091</v>
      </c>
      <c r="D359" s="26" t="s">
        <v>5092</v>
      </c>
      <c r="E359" s="26" t="s">
        <v>5093</v>
      </c>
      <c r="F359" s="26" t="s">
        <v>5093</v>
      </c>
      <c r="G359" s="27" t="s">
        <v>1110</v>
      </c>
      <c r="H359" s="27" t="s">
        <v>1110</v>
      </c>
      <c r="I359" s="29">
        <v>4384.0</v>
      </c>
      <c r="J359" s="29" t="s">
        <v>1535</v>
      </c>
      <c r="K359" s="27" t="s">
        <v>4214</v>
      </c>
      <c r="L359" s="25">
        <v>2.0</v>
      </c>
      <c r="M359" s="27" t="s">
        <v>1137</v>
      </c>
      <c r="N359" s="30" t="s">
        <v>1174</v>
      </c>
      <c r="O359" s="26" t="str">
        <f t="shared" ref="O359:O360" si="91">+T359</f>
        <v>กลุ่มงานเทคนิคการแพทย์และพยาธิวิทยาคลินิก</v>
      </c>
      <c r="P359" s="26" t="s">
        <v>4328</v>
      </c>
      <c r="Q359" s="26" t="str">
        <f t="shared" si="89"/>
        <v>กลุ่มงานเทคนิคการแพทย์และพยาธิวิทยาคลินิก</v>
      </c>
      <c r="R359" s="26" t="str">
        <f t="shared" si="90"/>
        <v>ภารกิจด้านบริการทุติยภูมิและตติยภูมิ</v>
      </c>
      <c r="S359" s="26" t="str">
        <f t="shared" si="88"/>
        <v>กลุ่มงานเทคนิคการแพทย์และพยาธิวิทยาคลินิก</v>
      </c>
      <c r="T359" s="26" t="s">
        <v>4329</v>
      </c>
      <c r="U359" s="26" t="s">
        <v>1302</v>
      </c>
      <c r="V359" s="25">
        <v>16.0</v>
      </c>
      <c r="W359" s="26" t="s">
        <v>4054</v>
      </c>
      <c r="X359" s="25" t="s">
        <v>3978</v>
      </c>
      <c r="Y359" s="31">
        <v>2.0</v>
      </c>
      <c r="Z359" s="31">
        <v>7.0</v>
      </c>
      <c r="AA359" s="31">
        <v>50.0</v>
      </c>
      <c r="AB359" s="31">
        <v>160.0</v>
      </c>
      <c r="AC359" s="32">
        <v>1.0</v>
      </c>
      <c r="AD359" s="26"/>
      <c r="AE359" s="26"/>
      <c r="AF359" s="32">
        <v>47.0</v>
      </c>
      <c r="AG359" s="37">
        <v>3.500700341013E12</v>
      </c>
      <c r="AH359" s="37" t="s">
        <v>3308</v>
      </c>
      <c r="AI359" s="44">
        <v>227678.0</v>
      </c>
    </row>
    <row r="360" ht="38.25" hidden="1" customHeight="1">
      <c r="A360" s="25">
        <v>357.0</v>
      </c>
      <c r="B360" s="26" t="s">
        <v>806</v>
      </c>
      <c r="C360" s="26" t="s">
        <v>5094</v>
      </c>
      <c r="D360" s="26" t="s">
        <v>5095</v>
      </c>
      <c r="E360" s="26" t="s">
        <v>5093</v>
      </c>
      <c r="F360" s="26" t="s">
        <v>5093</v>
      </c>
      <c r="G360" s="27" t="s">
        <v>1110</v>
      </c>
      <c r="H360" s="27" t="s">
        <v>1110</v>
      </c>
      <c r="I360" s="29">
        <v>4385.0</v>
      </c>
      <c r="J360" s="29" t="s">
        <v>1535</v>
      </c>
      <c r="K360" s="27" t="s">
        <v>4214</v>
      </c>
      <c r="L360" s="25">
        <v>2.0</v>
      </c>
      <c r="M360" s="27" t="s">
        <v>1137</v>
      </c>
      <c r="N360" s="30" t="s">
        <v>1174</v>
      </c>
      <c r="O360" s="26" t="str">
        <f t="shared" si="91"/>
        <v>กลุ่มงานเทคนิคการแพทย์และพยาธิวิทยาคลินิก</v>
      </c>
      <c r="P360" s="26" t="s">
        <v>4328</v>
      </c>
      <c r="Q360" s="26" t="str">
        <f t="shared" si="89"/>
        <v>กลุ่มงานเทคนิคการแพทย์และพยาธิวิทยาคลินิก</v>
      </c>
      <c r="R360" s="26" t="str">
        <f t="shared" si="90"/>
        <v>ภารกิจด้านบริการทุติยภูมิและตติยภูมิ</v>
      </c>
      <c r="S360" s="26" t="str">
        <f t="shared" si="88"/>
        <v>กลุ่มงานเทคนิคการแพทย์และพยาธิวิทยาคลินิก</v>
      </c>
      <c r="T360" s="26" t="s">
        <v>4329</v>
      </c>
      <c r="U360" s="26" t="s">
        <v>1302</v>
      </c>
      <c r="V360" s="25">
        <v>16.0</v>
      </c>
      <c r="W360" s="26" t="s">
        <v>4054</v>
      </c>
      <c r="X360" s="25" t="s">
        <v>3978</v>
      </c>
      <c r="Y360" s="31">
        <v>2.0</v>
      </c>
      <c r="Z360" s="31">
        <v>7.0</v>
      </c>
      <c r="AA360" s="31">
        <v>50.0</v>
      </c>
      <c r="AB360" s="31">
        <v>160.0</v>
      </c>
      <c r="AC360" s="32">
        <v>1.0</v>
      </c>
      <c r="AD360" s="26"/>
      <c r="AE360" s="26"/>
      <c r="AF360" s="32">
        <v>47.0</v>
      </c>
      <c r="AG360" s="33">
        <v>3.50140012431E12</v>
      </c>
      <c r="AH360" s="33" t="s">
        <v>3342</v>
      </c>
      <c r="AI360" s="34" t="s">
        <v>5096</v>
      </c>
    </row>
    <row r="361" ht="38.25" customHeight="1">
      <c r="A361" s="25">
        <v>358.0</v>
      </c>
      <c r="B361" s="26" t="s">
        <v>806</v>
      </c>
      <c r="C361" s="26" t="s">
        <v>5097</v>
      </c>
      <c r="D361" s="26" t="s">
        <v>5098</v>
      </c>
      <c r="E361" s="26" t="s">
        <v>5099</v>
      </c>
      <c r="F361" s="26" t="str">
        <f>+E361</f>
        <v>พนักงานช่วยการพยาบาล</v>
      </c>
      <c r="G361" s="27" t="s">
        <v>1110</v>
      </c>
      <c r="H361" s="27" t="s">
        <v>1110</v>
      </c>
      <c r="I361" s="29">
        <v>4364.0</v>
      </c>
      <c r="J361" s="29" t="s">
        <v>1535</v>
      </c>
      <c r="K361" s="27" t="s">
        <v>4214</v>
      </c>
      <c r="L361" s="25">
        <v>2.0</v>
      </c>
      <c r="M361" s="27" t="s">
        <v>1137</v>
      </c>
      <c r="N361" s="30" t="s">
        <v>1174</v>
      </c>
      <c r="O361" s="26"/>
      <c r="P361" s="26" t="s">
        <v>4522</v>
      </c>
      <c r="Q361" s="26" t="s">
        <v>4063</v>
      </c>
      <c r="R361" s="26" t="s">
        <v>4064</v>
      </c>
      <c r="S361" s="26" t="s">
        <v>4517</v>
      </c>
      <c r="T361" s="26" t="s">
        <v>4063</v>
      </c>
      <c r="U361" s="26" t="s">
        <v>1302</v>
      </c>
      <c r="V361" s="25" t="s">
        <v>4515</v>
      </c>
      <c r="W361" s="26" t="s">
        <v>4064</v>
      </c>
      <c r="X361" s="25" t="s">
        <v>3935</v>
      </c>
      <c r="Y361" s="31">
        <v>2.0</v>
      </c>
      <c r="Z361" s="31">
        <v>8.0</v>
      </c>
      <c r="AA361" s="63">
        <v>18.0</v>
      </c>
      <c r="AB361" s="31">
        <v>160.0</v>
      </c>
      <c r="AC361" s="32">
        <v>1.0</v>
      </c>
      <c r="AD361" s="26"/>
      <c r="AE361" s="26"/>
      <c r="AF361" s="32">
        <v>47.0</v>
      </c>
      <c r="AG361" s="37">
        <v>3.501400126428E12</v>
      </c>
      <c r="AH361" s="37" t="s">
        <v>2802</v>
      </c>
      <c r="AI361" s="44">
        <v>224087.0</v>
      </c>
    </row>
    <row r="362" ht="38.25" hidden="1" customHeight="1">
      <c r="A362" s="32">
        <v>359.0</v>
      </c>
      <c r="B362" s="26" t="s">
        <v>1037</v>
      </c>
      <c r="C362" s="26" t="s">
        <v>5100</v>
      </c>
      <c r="D362" s="26" t="s">
        <v>5101</v>
      </c>
      <c r="E362" s="26" t="s">
        <v>5099</v>
      </c>
      <c r="F362" s="26" t="s">
        <v>5099</v>
      </c>
      <c r="G362" s="27" t="s">
        <v>1110</v>
      </c>
      <c r="H362" s="27" t="s">
        <v>1110</v>
      </c>
      <c r="I362" s="28" t="s">
        <v>5102</v>
      </c>
      <c r="J362" s="29" t="s">
        <v>3949</v>
      </c>
      <c r="K362" s="27" t="s">
        <v>4214</v>
      </c>
      <c r="L362" s="25">
        <v>2.0</v>
      </c>
      <c r="M362" s="27" t="s">
        <v>1137</v>
      </c>
      <c r="N362" s="30" t="s">
        <v>1174</v>
      </c>
      <c r="O362" s="26" t="s">
        <v>4095</v>
      </c>
      <c r="P362" s="26" t="str">
        <f t="shared" ref="P362:P365" si="92">+O362</f>
        <v>กลุ่มงานทันตกรรม</v>
      </c>
      <c r="Q362" s="26" t="s">
        <v>4095</v>
      </c>
      <c r="R362" s="26" t="str">
        <f t="shared" ref="R362:R365" si="93">+W362</f>
        <v>ภารกิจด้านบริการทุติยภูมิและตติยภูมิ</v>
      </c>
      <c r="S362" s="26" t="str">
        <f t="shared" ref="S362:S368" si="94">+T362</f>
        <v>กลุ่มงานทันตกรรม</v>
      </c>
      <c r="T362" s="26" t="s">
        <v>4095</v>
      </c>
      <c r="U362" s="26" t="s">
        <v>1302</v>
      </c>
      <c r="V362" s="25">
        <v>14.0</v>
      </c>
      <c r="W362" s="26" t="s">
        <v>4054</v>
      </c>
      <c r="X362" s="25" t="s">
        <v>3978</v>
      </c>
      <c r="Y362" s="31">
        <v>6.0</v>
      </c>
      <c r="Z362" s="31">
        <v>12.0</v>
      </c>
      <c r="AA362" s="31">
        <v>50.0</v>
      </c>
      <c r="AB362" s="31">
        <v>160.0</v>
      </c>
      <c r="AC362" s="32">
        <v>1.0</v>
      </c>
      <c r="AD362" s="26"/>
      <c r="AE362" s="26"/>
      <c r="AF362" s="32">
        <v>47.0</v>
      </c>
      <c r="AG362" s="37">
        <v>1.509901650121E12</v>
      </c>
      <c r="AH362" s="37" t="s">
        <v>1591</v>
      </c>
      <c r="AI362" s="44">
        <v>233069.0</v>
      </c>
    </row>
    <row r="363" ht="38.25" hidden="1" customHeight="1">
      <c r="A363" s="25">
        <v>360.0</v>
      </c>
      <c r="B363" s="26" t="s">
        <v>1037</v>
      </c>
      <c r="C363" s="26" t="s">
        <v>5103</v>
      </c>
      <c r="D363" s="26" t="s">
        <v>5104</v>
      </c>
      <c r="E363" s="26" t="s">
        <v>5099</v>
      </c>
      <c r="F363" s="26" t="s">
        <v>5099</v>
      </c>
      <c r="G363" s="27" t="s">
        <v>1110</v>
      </c>
      <c r="H363" s="27" t="s">
        <v>1110</v>
      </c>
      <c r="I363" s="29" t="s">
        <v>5105</v>
      </c>
      <c r="J363" s="29" t="s">
        <v>3963</v>
      </c>
      <c r="K363" s="27" t="s">
        <v>4214</v>
      </c>
      <c r="L363" s="25">
        <v>2.0</v>
      </c>
      <c r="M363" s="27" t="s">
        <v>1137</v>
      </c>
      <c r="N363" s="30" t="s">
        <v>1174</v>
      </c>
      <c r="O363" s="26" t="s">
        <v>4095</v>
      </c>
      <c r="P363" s="26" t="str">
        <f t="shared" si="92"/>
        <v>กลุ่มงานทันตกรรม</v>
      </c>
      <c r="Q363" s="26" t="s">
        <v>4095</v>
      </c>
      <c r="R363" s="26" t="str">
        <f t="shared" si="93"/>
        <v>ภารกิจด้านบริการทุติยภูมิและตติยภูมิ</v>
      </c>
      <c r="S363" s="26" t="str">
        <f t="shared" si="94"/>
        <v>กลุ่มงานทันตกรรม</v>
      </c>
      <c r="T363" s="26" t="s">
        <v>4095</v>
      </c>
      <c r="U363" s="26" t="s">
        <v>1302</v>
      </c>
      <c r="V363" s="25">
        <v>14.0</v>
      </c>
      <c r="W363" s="26" t="s">
        <v>4054</v>
      </c>
      <c r="X363" s="25" t="s">
        <v>3978</v>
      </c>
      <c r="Y363" s="31">
        <v>12.0</v>
      </c>
      <c r="Z363" s="31">
        <v>50.0</v>
      </c>
      <c r="AA363" s="31">
        <v>50.0</v>
      </c>
      <c r="AB363" s="31">
        <v>160.0</v>
      </c>
      <c r="AC363" s="32">
        <v>1.0</v>
      </c>
      <c r="AD363" s="26"/>
      <c r="AE363" s="26"/>
      <c r="AF363" s="32">
        <v>47.0</v>
      </c>
      <c r="AG363" s="37">
        <v>1.50070017529E12</v>
      </c>
      <c r="AH363" s="37" t="s">
        <v>969</v>
      </c>
      <c r="AI363" s="38" t="s">
        <v>5106</v>
      </c>
    </row>
    <row r="364" ht="38.25" hidden="1" customHeight="1">
      <c r="A364" s="25">
        <v>361.0</v>
      </c>
      <c r="B364" s="26" t="s">
        <v>1037</v>
      </c>
      <c r="C364" s="26" t="s">
        <v>5107</v>
      </c>
      <c r="D364" s="26" t="s">
        <v>5108</v>
      </c>
      <c r="E364" s="26" t="s">
        <v>5099</v>
      </c>
      <c r="F364" s="26" t="s">
        <v>5099</v>
      </c>
      <c r="G364" s="27" t="s">
        <v>1110</v>
      </c>
      <c r="H364" s="27" t="s">
        <v>1110</v>
      </c>
      <c r="I364" s="29" t="s">
        <v>5109</v>
      </c>
      <c r="J364" s="29" t="s">
        <v>3963</v>
      </c>
      <c r="K364" s="27" t="s">
        <v>4214</v>
      </c>
      <c r="L364" s="25">
        <v>2.0</v>
      </c>
      <c r="M364" s="27" t="s">
        <v>1137</v>
      </c>
      <c r="N364" s="30" t="s">
        <v>1174</v>
      </c>
      <c r="O364" s="26" t="s">
        <v>4095</v>
      </c>
      <c r="P364" s="26" t="str">
        <f t="shared" si="92"/>
        <v>กลุ่มงานทันตกรรม</v>
      </c>
      <c r="Q364" s="26" t="s">
        <v>4095</v>
      </c>
      <c r="R364" s="26" t="str">
        <f t="shared" si="93"/>
        <v>ภารกิจด้านบริการทุติยภูมิและตติยภูมิ</v>
      </c>
      <c r="S364" s="26" t="str">
        <f t="shared" si="94"/>
        <v>กลุ่มงานทันตกรรม</v>
      </c>
      <c r="T364" s="26" t="s">
        <v>4095</v>
      </c>
      <c r="U364" s="26" t="s">
        <v>1302</v>
      </c>
      <c r="V364" s="25">
        <v>14.0</v>
      </c>
      <c r="W364" s="26" t="s">
        <v>4054</v>
      </c>
      <c r="X364" s="25" t="s">
        <v>3978</v>
      </c>
      <c r="Y364" s="31">
        <v>12.0</v>
      </c>
      <c r="Z364" s="31">
        <v>50.0</v>
      </c>
      <c r="AA364" s="31">
        <v>50.0</v>
      </c>
      <c r="AB364" s="31">
        <v>160.0</v>
      </c>
      <c r="AC364" s="32">
        <v>1.0</v>
      </c>
      <c r="AD364" s="26"/>
      <c r="AE364" s="26"/>
      <c r="AF364" s="32">
        <v>47.0</v>
      </c>
      <c r="AG364" s="33">
        <v>1.500701289124E12</v>
      </c>
      <c r="AH364" s="33" t="s">
        <v>965</v>
      </c>
      <c r="AI364" s="34" t="s">
        <v>5110</v>
      </c>
    </row>
    <row r="365" ht="38.25" hidden="1" customHeight="1">
      <c r="A365" s="32">
        <v>362.0</v>
      </c>
      <c r="B365" s="26"/>
      <c r="C365" s="26"/>
      <c r="D365" s="64">
        <v>1.0</v>
      </c>
      <c r="E365" s="26" t="s">
        <v>5099</v>
      </c>
      <c r="F365" s="26" t="s">
        <v>5099</v>
      </c>
      <c r="G365" s="27" t="s">
        <v>1110</v>
      </c>
      <c r="H365" s="27" t="s">
        <v>1110</v>
      </c>
      <c r="I365" s="29" t="s">
        <v>5111</v>
      </c>
      <c r="J365" s="29" t="s">
        <v>3963</v>
      </c>
      <c r="K365" s="27" t="s">
        <v>4214</v>
      </c>
      <c r="L365" s="25">
        <v>2.0</v>
      </c>
      <c r="M365" s="27" t="s">
        <v>1137</v>
      </c>
      <c r="N365" s="30" t="s">
        <v>1174</v>
      </c>
      <c r="O365" s="26" t="s">
        <v>4095</v>
      </c>
      <c r="P365" s="26" t="str">
        <f t="shared" si="92"/>
        <v>กลุ่มงานทันตกรรม</v>
      </c>
      <c r="Q365" s="26" t="s">
        <v>4095</v>
      </c>
      <c r="R365" s="26" t="str">
        <f t="shared" si="93"/>
        <v>ภารกิจด้านบริการทุติยภูมิและตติยภูมิ</v>
      </c>
      <c r="S365" s="26" t="str">
        <f t="shared" si="94"/>
        <v>กลุ่มงานทันตกรรม</v>
      </c>
      <c r="T365" s="26" t="s">
        <v>4095</v>
      </c>
      <c r="U365" s="26" t="s">
        <v>1302</v>
      </c>
      <c r="V365" s="25">
        <v>14.0</v>
      </c>
      <c r="W365" s="26" t="s">
        <v>4054</v>
      </c>
      <c r="X365" s="25" t="s">
        <v>3978</v>
      </c>
      <c r="Y365" s="31">
        <v>12.0</v>
      </c>
      <c r="Z365" s="31">
        <v>50.0</v>
      </c>
      <c r="AA365" s="31">
        <v>50.0</v>
      </c>
      <c r="AB365" s="31">
        <v>160.0</v>
      </c>
      <c r="AC365" s="32">
        <v>1.0</v>
      </c>
      <c r="AD365" s="26"/>
      <c r="AE365" s="26"/>
      <c r="AF365" s="32">
        <v>47.0</v>
      </c>
      <c r="AG365" s="33">
        <v>1.589700024028E12</v>
      </c>
      <c r="AH365" s="33" t="s">
        <v>928</v>
      </c>
      <c r="AI365" s="40">
        <v>236499.0</v>
      </c>
    </row>
    <row r="366" ht="38.25" hidden="1" customHeight="1">
      <c r="A366" s="25">
        <v>363.0</v>
      </c>
      <c r="B366" s="26" t="s">
        <v>806</v>
      </c>
      <c r="C366" s="26" t="s">
        <v>5112</v>
      </c>
      <c r="D366" s="26" t="s">
        <v>5113</v>
      </c>
      <c r="E366" s="26" t="s">
        <v>5114</v>
      </c>
      <c r="F366" s="26" t="s">
        <v>5114</v>
      </c>
      <c r="G366" s="27" t="s">
        <v>1110</v>
      </c>
      <c r="H366" s="27" t="s">
        <v>1110</v>
      </c>
      <c r="I366" s="29">
        <v>4439.0</v>
      </c>
      <c r="J366" s="29" t="s">
        <v>1535</v>
      </c>
      <c r="K366" s="26" t="s">
        <v>4214</v>
      </c>
      <c r="L366" s="25">
        <v>2.0</v>
      </c>
      <c r="M366" s="27" t="s">
        <v>1137</v>
      </c>
      <c r="N366" s="165" t="s">
        <v>3981</v>
      </c>
      <c r="O366" s="26" t="s">
        <v>4856</v>
      </c>
      <c r="P366" s="26" t="s">
        <v>4857</v>
      </c>
      <c r="Q366" s="26" t="s">
        <v>4028</v>
      </c>
      <c r="R366" s="26" t="s">
        <v>3991</v>
      </c>
      <c r="S366" s="26" t="str">
        <f t="shared" si="94"/>
        <v>กลุ่มงานการพยาบาลผู้คลอด</v>
      </c>
      <c r="T366" s="26" t="s">
        <v>5115</v>
      </c>
      <c r="U366" s="26" t="s">
        <v>1302</v>
      </c>
      <c r="V366" s="25">
        <v>15.0</v>
      </c>
      <c r="W366" s="26" t="s">
        <v>3991</v>
      </c>
      <c r="X366" s="98" t="s">
        <v>1312</v>
      </c>
      <c r="Y366" s="31">
        <v>7.0</v>
      </c>
      <c r="Z366" s="31">
        <v>9.0</v>
      </c>
      <c r="AA366" s="31">
        <v>139.0</v>
      </c>
      <c r="AB366" s="31">
        <v>160.0</v>
      </c>
      <c r="AC366" s="32">
        <v>1.0</v>
      </c>
      <c r="AD366" s="26"/>
      <c r="AE366" s="26"/>
      <c r="AF366" s="32">
        <v>47.0</v>
      </c>
      <c r="AG366" s="37">
        <v>1.580300045461E12</v>
      </c>
      <c r="AH366" s="37" t="s">
        <v>2318</v>
      </c>
      <c r="AI366" s="44">
        <v>231536.0</v>
      </c>
    </row>
    <row r="367" ht="38.25" hidden="1" customHeight="1">
      <c r="A367" s="25">
        <v>364.0</v>
      </c>
      <c r="B367" s="26" t="s">
        <v>1037</v>
      </c>
      <c r="C367" s="26" t="s">
        <v>5116</v>
      </c>
      <c r="D367" s="26" t="s">
        <v>5117</v>
      </c>
      <c r="E367" s="26" t="s">
        <v>5114</v>
      </c>
      <c r="F367" s="26" t="s">
        <v>5114</v>
      </c>
      <c r="G367" s="27" t="s">
        <v>1110</v>
      </c>
      <c r="H367" s="27" t="s">
        <v>1110</v>
      </c>
      <c r="I367" s="29">
        <v>4434.0</v>
      </c>
      <c r="J367" s="29" t="s">
        <v>1535</v>
      </c>
      <c r="K367" s="26" t="s">
        <v>4214</v>
      </c>
      <c r="L367" s="25">
        <v>2.0</v>
      </c>
      <c r="M367" s="27" t="s">
        <v>1137</v>
      </c>
      <c r="N367" s="165" t="s">
        <v>3981</v>
      </c>
      <c r="O367" s="26" t="s">
        <v>5118</v>
      </c>
      <c r="P367" s="26" t="s">
        <v>5118</v>
      </c>
      <c r="Q367" s="26" t="s">
        <v>4879</v>
      </c>
      <c r="R367" s="26" t="s">
        <v>3991</v>
      </c>
      <c r="S367" s="26" t="str">
        <f t="shared" si="94"/>
        <v>กลุ่มงานการพยาบาลผู้ป่วยหนัก</v>
      </c>
      <c r="T367" s="26" t="s">
        <v>4959</v>
      </c>
      <c r="U367" s="26" t="s">
        <v>1302</v>
      </c>
      <c r="V367" s="25">
        <v>11.0</v>
      </c>
      <c r="W367" s="26" t="s">
        <v>3991</v>
      </c>
      <c r="X367" s="98" t="s">
        <v>1312</v>
      </c>
      <c r="Y367" s="31">
        <v>11.0</v>
      </c>
      <c r="Z367" s="31">
        <v>15.0</v>
      </c>
      <c r="AA367" s="31">
        <v>139.0</v>
      </c>
      <c r="AB367" s="31">
        <v>160.0</v>
      </c>
      <c r="AC367" s="32">
        <v>1.0</v>
      </c>
      <c r="AD367" s="26"/>
      <c r="AE367" s="26"/>
      <c r="AF367" s="32">
        <v>47.0</v>
      </c>
      <c r="AG367" s="37">
        <v>1.589900113938E12</v>
      </c>
      <c r="AH367" s="37" t="s">
        <v>2509</v>
      </c>
      <c r="AI367" s="38" t="s">
        <v>5119</v>
      </c>
    </row>
    <row r="368" ht="38.25" hidden="1" customHeight="1">
      <c r="A368" s="32">
        <v>365.0</v>
      </c>
      <c r="B368" s="26" t="s">
        <v>2692</v>
      </c>
      <c r="C368" s="26" t="s">
        <v>5120</v>
      </c>
      <c r="D368" s="26" t="s">
        <v>5121</v>
      </c>
      <c r="E368" s="26" t="s">
        <v>5114</v>
      </c>
      <c r="F368" s="26" t="s">
        <v>5114</v>
      </c>
      <c r="G368" s="27" t="s">
        <v>1110</v>
      </c>
      <c r="H368" s="27" t="s">
        <v>1110</v>
      </c>
      <c r="I368" s="29">
        <v>4458.0</v>
      </c>
      <c r="J368" s="29" t="s">
        <v>1535</v>
      </c>
      <c r="K368" s="26" t="s">
        <v>4214</v>
      </c>
      <c r="L368" s="25">
        <v>2.0</v>
      </c>
      <c r="M368" s="27" t="s">
        <v>1137</v>
      </c>
      <c r="N368" s="165" t="s">
        <v>3981</v>
      </c>
      <c r="O368" s="26" t="s">
        <v>5122</v>
      </c>
      <c r="P368" s="26" t="s">
        <v>5122</v>
      </c>
      <c r="Q368" s="26" t="s">
        <v>3992</v>
      </c>
      <c r="R368" s="26" t="s">
        <v>3991</v>
      </c>
      <c r="S368" s="26" t="str">
        <f t="shared" si="94"/>
        <v>กลุ่มงานการพยาบาลผู้ป่วยศัลยกรรม</v>
      </c>
      <c r="T368" s="26" t="s">
        <v>4858</v>
      </c>
      <c r="U368" s="26" t="s">
        <v>1302</v>
      </c>
      <c r="V368" s="25">
        <v>8.0</v>
      </c>
      <c r="W368" s="26" t="s">
        <v>3991</v>
      </c>
      <c r="X368" s="98" t="s">
        <v>1312</v>
      </c>
      <c r="Y368" s="31">
        <v>6.0</v>
      </c>
      <c r="Z368" s="31">
        <v>8.0</v>
      </c>
      <c r="AA368" s="31">
        <v>139.0</v>
      </c>
      <c r="AB368" s="31">
        <v>160.0</v>
      </c>
      <c r="AC368" s="32">
        <v>1.0</v>
      </c>
      <c r="AD368" s="26"/>
      <c r="AE368" s="26"/>
      <c r="AF368" s="32">
        <v>47.0</v>
      </c>
      <c r="AG368" s="33">
        <v>3.501400601631E12</v>
      </c>
      <c r="AH368" s="33" t="s">
        <v>3323</v>
      </c>
      <c r="AI368" s="40">
        <v>226422.0</v>
      </c>
    </row>
    <row r="369" ht="38.25" hidden="1" customHeight="1">
      <c r="A369" s="25">
        <v>366.0</v>
      </c>
      <c r="B369" s="26" t="s">
        <v>1037</v>
      </c>
      <c r="C369" s="26" t="s">
        <v>5123</v>
      </c>
      <c r="D369" s="26" t="s">
        <v>5124</v>
      </c>
      <c r="E369" s="26" t="s">
        <v>5114</v>
      </c>
      <c r="F369" s="26" t="str">
        <f t="shared" ref="F369:F370" si="95">+E369</f>
        <v>พนักงานช่วยเหลือคนไข้</v>
      </c>
      <c r="G369" s="27" t="s">
        <v>1110</v>
      </c>
      <c r="H369" s="27" t="s">
        <v>1110</v>
      </c>
      <c r="I369" s="29">
        <v>4366.0</v>
      </c>
      <c r="J369" s="29" t="s">
        <v>1535</v>
      </c>
      <c r="K369" s="27" t="s">
        <v>4214</v>
      </c>
      <c r="L369" s="25">
        <v>2.0</v>
      </c>
      <c r="M369" s="27" t="s">
        <v>1137</v>
      </c>
      <c r="N369" s="30" t="s">
        <v>1174</v>
      </c>
      <c r="O369" s="26" t="s">
        <v>5125</v>
      </c>
      <c r="P369" s="26" t="s">
        <v>5125</v>
      </c>
      <c r="Q369" s="26" t="s">
        <v>4063</v>
      </c>
      <c r="R369" s="26" t="s">
        <v>4064</v>
      </c>
      <c r="S369" s="26" t="s">
        <v>5126</v>
      </c>
      <c r="T369" s="26" t="s">
        <v>4063</v>
      </c>
      <c r="U369" s="26" t="s">
        <v>1302</v>
      </c>
      <c r="V369" s="25" t="s">
        <v>5127</v>
      </c>
      <c r="W369" s="26" t="s">
        <v>4064</v>
      </c>
      <c r="X369" s="25" t="s">
        <v>3935</v>
      </c>
      <c r="Y369" s="31">
        <v>3.0</v>
      </c>
      <c r="Z369" s="31">
        <v>8.0</v>
      </c>
      <c r="AA369" s="63">
        <v>18.0</v>
      </c>
      <c r="AB369" s="31">
        <v>160.0</v>
      </c>
      <c r="AC369" s="32">
        <v>1.0</v>
      </c>
      <c r="AD369" s="26"/>
      <c r="AE369" s="26"/>
      <c r="AF369" s="32">
        <v>47.0</v>
      </c>
      <c r="AG369" s="37">
        <v>8.501184004901E12</v>
      </c>
      <c r="AH369" s="37" t="s">
        <v>3118</v>
      </c>
      <c r="AI369" s="44">
        <v>231931.0</v>
      </c>
    </row>
    <row r="370" ht="38.25" hidden="1" customHeight="1">
      <c r="A370" s="25">
        <v>367.0</v>
      </c>
      <c r="B370" s="26" t="s">
        <v>1037</v>
      </c>
      <c r="C370" s="26" t="s">
        <v>5128</v>
      </c>
      <c r="D370" s="26" t="s">
        <v>5129</v>
      </c>
      <c r="E370" s="26" t="s">
        <v>5114</v>
      </c>
      <c r="F370" s="26" t="str">
        <f t="shared" si="95"/>
        <v>พนักงานช่วยเหลือคนไข้</v>
      </c>
      <c r="G370" s="27" t="s">
        <v>1110</v>
      </c>
      <c r="H370" s="27" t="s">
        <v>1110</v>
      </c>
      <c r="I370" s="29">
        <v>4462.0</v>
      </c>
      <c r="J370" s="29" t="s">
        <v>1535</v>
      </c>
      <c r="K370" s="27" t="s">
        <v>4214</v>
      </c>
      <c r="L370" s="25">
        <v>2.0</v>
      </c>
      <c r="M370" s="27" t="s">
        <v>1137</v>
      </c>
      <c r="N370" s="30" t="s">
        <v>1174</v>
      </c>
      <c r="O370" s="26" t="s">
        <v>5125</v>
      </c>
      <c r="P370" s="26" t="s">
        <v>5125</v>
      </c>
      <c r="Q370" s="26" t="s">
        <v>4063</v>
      </c>
      <c r="R370" s="26" t="s">
        <v>4064</v>
      </c>
      <c r="S370" s="26" t="s">
        <v>5126</v>
      </c>
      <c r="T370" s="26" t="s">
        <v>4063</v>
      </c>
      <c r="U370" s="26" t="s">
        <v>1302</v>
      </c>
      <c r="V370" s="25" t="s">
        <v>5127</v>
      </c>
      <c r="W370" s="26" t="s">
        <v>4064</v>
      </c>
      <c r="X370" s="25" t="s">
        <v>3935</v>
      </c>
      <c r="Y370" s="31">
        <v>3.0</v>
      </c>
      <c r="Z370" s="31">
        <v>8.0</v>
      </c>
      <c r="AA370" s="63">
        <v>18.0</v>
      </c>
      <c r="AB370" s="31">
        <v>160.0</v>
      </c>
      <c r="AC370" s="32">
        <v>1.0</v>
      </c>
      <c r="AD370" s="26"/>
      <c r="AE370" s="26"/>
      <c r="AF370" s="32">
        <v>47.0</v>
      </c>
      <c r="AG370" s="33">
        <v>1.501700072432E12</v>
      </c>
      <c r="AH370" s="33" t="s">
        <v>3138</v>
      </c>
      <c r="AI370" s="34" t="s">
        <v>5130</v>
      </c>
    </row>
    <row r="371" ht="38.25" hidden="1" customHeight="1">
      <c r="A371" s="32">
        <v>368.0</v>
      </c>
      <c r="B371" s="26" t="s">
        <v>806</v>
      </c>
      <c r="C371" s="26" t="s">
        <v>5131</v>
      </c>
      <c r="D371" s="26" t="s">
        <v>5132</v>
      </c>
      <c r="E371" s="26" t="s">
        <v>5114</v>
      </c>
      <c r="F371" s="26" t="s">
        <v>5114</v>
      </c>
      <c r="G371" s="27" t="s">
        <v>1110</v>
      </c>
      <c r="H371" s="27" t="s">
        <v>1110</v>
      </c>
      <c r="I371" s="29">
        <v>4414.0</v>
      </c>
      <c r="J371" s="29" t="s">
        <v>1535</v>
      </c>
      <c r="K371" s="26" t="s">
        <v>4214</v>
      </c>
      <c r="L371" s="25">
        <v>2.0</v>
      </c>
      <c r="M371" s="27" t="s">
        <v>1137</v>
      </c>
      <c r="N371" s="165" t="s">
        <v>3981</v>
      </c>
      <c r="O371" s="26" t="s">
        <v>5133</v>
      </c>
      <c r="P371" s="26" t="s">
        <v>5133</v>
      </c>
      <c r="Q371" s="26" t="s">
        <v>3992</v>
      </c>
      <c r="R371" s="26" t="s">
        <v>3991</v>
      </c>
      <c r="S371" s="26" t="str">
        <f t="shared" ref="S371:S452" si="96">+T371</f>
        <v>กลุ่มงานการพยาบาลผู้ป่วยนอก</v>
      </c>
      <c r="T371" s="26" t="s">
        <v>4887</v>
      </c>
      <c r="U371" s="26" t="s">
        <v>1302</v>
      </c>
      <c r="V371" s="25">
        <v>2.0</v>
      </c>
      <c r="W371" s="26" t="s">
        <v>3991</v>
      </c>
      <c r="X371" s="98" t="s">
        <v>1312</v>
      </c>
      <c r="Y371" s="31">
        <v>12.0</v>
      </c>
      <c r="Z371" s="31">
        <v>17.0</v>
      </c>
      <c r="AA371" s="31">
        <v>139.0</v>
      </c>
      <c r="AB371" s="31">
        <v>160.0</v>
      </c>
      <c r="AC371" s="32">
        <v>1.0</v>
      </c>
      <c r="AD371" s="26"/>
      <c r="AE371" s="26"/>
      <c r="AF371" s="32">
        <v>47.0</v>
      </c>
      <c r="AG371" s="33">
        <v>3.500700353216E12</v>
      </c>
      <c r="AH371" s="33" t="s">
        <v>3312</v>
      </c>
      <c r="AI371" s="34" t="s">
        <v>5134</v>
      </c>
    </row>
    <row r="372" ht="38.25" hidden="1" customHeight="1">
      <c r="A372" s="25">
        <v>369.0</v>
      </c>
      <c r="B372" s="26" t="s">
        <v>1037</v>
      </c>
      <c r="C372" s="26" t="s">
        <v>5135</v>
      </c>
      <c r="D372" s="26" t="s">
        <v>5136</v>
      </c>
      <c r="E372" s="26" t="s">
        <v>5114</v>
      </c>
      <c r="F372" s="26" t="s">
        <v>5114</v>
      </c>
      <c r="G372" s="27" t="s">
        <v>1110</v>
      </c>
      <c r="H372" s="27" t="s">
        <v>1110</v>
      </c>
      <c r="I372" s="29">
        <v>4489.0</v>
      </c>
      <c r="J372" s="29" t="s">
        <v>1535</v>
      </c>
      <c r="K372" s="26" t="s">
        <v>4214</v>
      </c>
      <c r="L372" s="25">
        <v>2.0</v>
      </c>
      <c r="M372" s="27" t="s">
        <v>1137</v>
      </c>
      <c r="N372" s="165" t="s">
        <v>3981</v>
      </c>
      <c r="O372" s="26" t="s">
        <v>4789</v>
      </c>
      <c r="P372" s="26" t="s">
        <v>4886</v>
      </c>
      <c r="Q372" s="26" t="s">
        <v>4887</v>
      </c>
      <c r="R372" s="26" t="s">
        <v>3991</v>
      </c>
      <c r="S372" s="26" t="str">
        <f t="shared" si="96"/>
        <v>กลุ่มงานการพยาบาลตรวจรักษาพิเศษ</v>
      </c>
      <c r="T372" s="26" t="s">
        <v>4028</v>
      </c>
      <c r="U372" s="26" t="s">
        <v>1302</v>
      </c>
      <c r="V372" s="25">
        <v>2.0</v>
      </c>
      <c r="W372" s="26" t="s">
        <v>3991</v>
      </c>
      <c r="X372" s="98" t="s">
        <v>1312</v>
      </c>
      <c r="Y372" s="31">
        <v>12.0</v>
      </c>
      <c r="Z372" s="31">
        <v>17.0</v>
      </c>
      <c r="AA372" s="31">
        <v>139.0</v>
      </c>
      <c r="AB372" s="31">
        <v>160.0</v>
      </c>
      <c r="AC372" s="32">
        <v>1.0</v>
      </c>
      <c r="AD372" s="26"/>
      <c r="AE372" s="26"/>
      <c r="AF372" s="32">
        <v>47.0</v>
      </c>
      <c r="AG372" s="37">
        <v>1.501600073941E12</v>
      </c>
      <c r="AH372" s="37" t="s">
        <v>2326</v>
      </c>
      <c r="AI372" s="44">
        <v>231476.0</v>
      </c>
    </row>
    <row r="373" ht="38.25" hidden="1" customHeight="1">
      <c r="A373" s="25">
        <v>370.0</v>
      </c>
      <c r="B373" s="26" t="s">
        <v>806</v>
      </c>
      <c r="C373" s="26" t="s">
        <v>5137</v>
      </c>
      <c r="D373" s="26" t="s">
        <v>5138</v>
      </c>
      <c r="E373" s="26" t="s">
        <v>5114</v>
      </c>
      <c r="F373" s="26" t="s">
        <v>5114</v>
      </c>
      <c r="G373" s="27" t="s">
        <v>1110</v>
      </c>
      <c r="H373" s="27" t="s">
        <v>1110</v>
      </c>
      <c r="I373" s="29">
        <v>4410.0</v>
      </c>
      <c r="J373" s="29" t="s">
        <v>1535</v>
      </c>
      <c r="K373" s="26" t="s">
        <v>4214</v>
      </c>
      <c r="L373" s="25">
        <v>2.0</v>
      </c>
      <c r="M373" s="27" t="s">
        <v>1137</v>
      </c>
      <c r="N373" s="166" t="s">
        <v>1174</v>
      </c>
      <c r="O373" s="26" t="s">
        <v>4789</v>
      </c>
      <c r="P373" s="26" t="s">
        <v>4886</v>
      </c>
      <c r="Q373" s="26" t="s">
        <v>4887</v>
      </c>
      <c r="R373" s="26" t="s">
        <v>3991</v>
      </c>
      <c r="S373" s="26" t="str">
        <f t="shared" si="96"/>
        <v>กลุ่มงานการพยาบาลผู้ป่วยนอก</v>
      </c>
      <c r="T373" s="26" t="s">
        <v>4887</v>
      </c>
      <c r="U373" s="26" t="s">
        <v>1302</v>
      </c>
      <c r="V373" s="25">
        <v>2.0</v>
      </c>
      <c r="W373" s="26" t="s">
        <v>3991</v>
      </c>
      <c r="X373" s="98" t="s">
        <v>1312</v>
      </c>
      <c r="Y373" s="31">
        <v>12.0</v>
      </c>
      <c r="Z373" s="31">
        <v>17.0</v>
      </c>
      <c r="AA373" s="31">
        <v>139.0</v>
      </c>
      <c r="AB373" s="31">
        <v>160.0</v>
      </c>
      <c r="AC373" s="32">
        <v>1.0</v>
      </c>
      <c r="AD373" s="26"/>
      <c r="AE373" s="26"/>
      <c r="AF373" s="32">
        <v>47.0</v>
      </c>
      <c r="AG373" s="37">
        <v>1.509900593107E12</v>
      </c>
      <c r="AH373" s="37" t="s">
        <v>3109</v>
      </c>
      <c r="AI373" s="38" t="s">
        <v>5139</v>
      </c>
    </row>
    <row r="374" ht="38.25" hidden="1" customHeight="1">
      <c r="A374" s="32">
        <v>371.0</v>
      </c>
      <c r="B374" s="26" t="s">
        <v>806</v>
      </c>
      <c r="C374" s="26" t="s">
        <v>5140</v>
      </c>
      <c r="D374" s="26" t="s">
        <v>4051</v>
      </c>
      <c r="E374" s="26" t="s">
        <v>5114</v>
      </c>
      <c r="F374" s="26" t="s">
        <v>5114</v>
      </c>
      <c r="G374" s="27" t="s">
        <v>1110</v>
      </c>
      <c r="H374" s="27" t="s">
        <v>1110</v>
      </c>
      <c r="I374" s="29">
        <v>4411.0</v>
      </c>
      <c r="J374" s="29" t="s">
        <v>1535</v>
      </c>
      <c r="K374" s="26" t="s">
        <v>4214</v>
      </c>
      <c r="L374" s="25">
        <v>2.0</v>
      </c>
      <c r="M374" s="27" t="s">
        <v>1137</v>
      </c>
      <c r="N374" s="166" t="s">
        <v>1174</v>
      </c>
      <c r="O374" s="26" t="s">
        <v>4789</v>
      </c>
      <c r="P374" s="26" t="s">
        <v>4886</v>
      </c>
      <c r="Q374" s="26" t="s">
        <v>4887</v>
      </c>
      <c r="R374" s="26" t="s">
        <v>3991</v>
      </c>
      <c r="S374" s="26" t="str">
        <f t="shared" si="96"/>
        <v>กลุ่มงานการพยาบาลผู้ป่วยนอก</v>
      </c>
      <c r="T374" s="26" t="s">
        <v>4887</v>
      </c>
      <c r="U374" s="26" t="s">
        <v>1302</v>
      </c>
      <c r="V374" s="25">
        <v>2.0</v>
      </c>
      <c r="W374" s="26" t="s">
        <v>3991</v>
      </c>
      <c r="X374" s="98" t="s">
        <v>1312</v>
      </c>
      <c r="Y374" s="31">
        <v>12.0</v>
      </c>
      <c r="Z374" s="31">
        <v>17.0</v>
      </c>
      <c r="AA374" s="31">
        <v>139.0</v>
      </c>
      <c r="AB374" s="31">
        <v>160.0</v>
      </c>
      <c r="AC374" s="32">
        <v>1.0</v>
      </c>
      <c r="AD374" s="26"/>
      <c r="AE374" s="26"/>
      <c r="AF374" s="32">
        <v>47.0</v>
      </c>
      <c r="AG374" s="33">
        <v>3.580400396025E12</v>
      </c>
      <c r="AH374" s="33" t="s">
        <v>3294</v>
      </c>
      <c r="AI374" s="34" t="s">
        <v>5141</v>
      </c>
    </row>
    <row r="375" ht="38.25" hidden="1" customHeight="1">
      <c r="A375" s="25">
        <v>372.0</v>
      </c>
      <c r="B375" s="26" t="s">
        <v>1037</v>
      </c>
      <c r="C375" s="26" t="s">
        <v>5142</v>
      </c>
      <c r="D375" s="26" t="s">
        <v>5143</v>
      </c>
      <c r="E375" s="26" t="s">
        <v>5114</v>
      </c>
      <c r="F375" s="26" t="s">
        <v>5114</v>
      </c>
      <c r="G375" s="27" t="s">
        <v>1110</v>
      </c>
      <c r="H375" s="27" t="s">
        <v>1110</v>
      </c>
      <c r="I375" s="29">
        <v>4412.0</v>
      </c>
      <c r="J375" s="29" t="s">
        <v>1535</v>
      </c>
      <c r="K375" s="26" t="s">
        <v>4214</v>
      </c>
      <c r="L375" s="25">
        <v>2.0</v>
      </c>
      <c r="M375" s="27" t="s">
        <v>1137</v>
      </c>
      <c r="N375" s="166" t="s">
        <v>1174</v>
      </c>
      <c r="O375" s="26" t="s">
        <v>4789</v>
      </c>
      <c r="P375" s="26" t="s">
        <v>4886</v>
      </c>
      <c r="Q375" s="26" t="s">
        <v>4887</v>
      </c>
      <c r="R375" s="26" t="s">
        <v>3991</v>
      </c>
      <c r="S375" s="26" t="str">
        <f t="shared" si="96"/>
        <v>กลุ่มงานการพยาบาลผู้ป่วยนอก</v>
      </c>
      <c r="T375" s="26" t="s">
        <v>4887</v>
      </c>
      <c r="U375" s="26" t="s">
        <v>1302</v>
      </c>
      <c r="V375" s="25">
        <v>2.0</v>
      </c>
      <c r="W375" s="26" t="s">
        <v>3991</v>
      </c>
      <c r="X375" s="98" t="s">
        <v>1312</v>
      </c>
      <c r="Y375" s="31">
        <v>12.0</v>
      </c>
      <c r="Z375" s="31">
        <v>17.0</v>
      </c>
      <c r="AA375" s="31">
        <v>139.0</v>
      </c>
      <c r="AB375" s="31">
        <v>160.0</v>
      </c>
      <c r="AC375" s="32">
        <v>1.0</v>
      </c>
      <c r="AD375" s="26"/>
      <c r="AE375" s="26"/>
      <c r="AF375" s="32">
        <v>47.0</v>
      </c>
      <c r="AG375" s="37">
        <v>3.500700076719E12</v>
      </c>
      <c r="AH375" s="37" t="s">
        <v>3347</v>
      </c>
      <c r="AI375" s="44">
        <v>223200.0</v>
      </c>
    </row>
    <row r="376" ht="38.25" hidden="1" customHeight="1">
      <c r="A376" s="25">
        <v>373.0</v>
      </c>
      <c r="B376" s="26" t="s">
        <v>1037</v>
      </c>
      <c r="C376" s="26" t="s">
        <v>5144</v>
      </c>
      <c r="D376" s="26" t="s">
        <v>5145</v>
      </c>
      <c r="E376" s="26" t="s">
        <v>5114</v>
      </c>
      <c r="F376" s="26" t="s">
        <v>5114</v>
      </c>
      <c r="G376" s="27" t="s">
        <v>1110</v>
      </c>
      <c r="H376" s="27" t="s">
        <v>1110</v>
      </c>
      <c r="I376" s="29">
        <v>4413.0</v>
      </c>
      <c r="J376" s="29" t="s">
        <v>1535</v>
      </c>
      <c r="K376" s="26" t="s">
        <v>4214</v>
      </c>
      <c r="L376" s="25">
        <v>2.0</v>
      </c>
      <c r="M376" s="27" t="s">
        <v>1137</v>
      </c>
      <c r="N376" s="166" t="s">
        <v>1174</v>
      </c>
      <c r="O376" s="26" t="s">
        <v>4789</v>
      </c>
      <c r="P376" s="26" t="s">
        <v>4886</v>
      </c>
      <c r="Q376" s="26" t="s">
        <v>4887</v>
      </c>
      <c r="R376" s="26" t="s">
        <v>3991</v>
      </c>
      <c r="S376" s="26" t="str">
        <f t="shared" si="96"/>
        <v>กลุ่มงานการพยาบาลผู้ป่วยนอก</v>
      </c>
      <c r="T376" s="26" t="s">
        <v>4887</v>
      </c>
      <c r="U376" s="26" t="s">
        <v>1302</v>
      </c>
      <c r="V376" s="25">
        <v>2.0</v>
      </c>
      <c r="W376" s="26" t="s">
        <v>3991</v>
      </c>
      <c r="X376" s="98" t="s">
        <v>1312</v>
      </c>
      <c r="Y376" s="31">
        <v>12.0</v>
      </c>
      <c r="Z376" s="31">
        <v>17.0</v>
      </c>
      <c r="AA376" s="31">
        <v>139.0</v>
      </c>
      <c r="AB376" s="31">
        <v>160.0</v>
      </c>
      <c r="AC376" s="32">
        <v>1.0</v>
      </c>
      <c r="AD376" s="26"/>
      <c r="AE376" s="26"/>
      <c r="AF376" s="32">
        <v>47.0</v>
      </c>
      <c r="AG376" s="33">
        <v>5.580300042341E12</v>
      </c>
      <c r="AH376" s="33" t="s">
        <v>1997</v>
      </c>
      <c r="AI376" s="34" t="s">
        <v>5146</v>
      </c>
    </row>
    <row r="377" ht="38.25" hidden="1" customHeight="1">
      <c r="A377" s="32">
        <v>374.0</v>
      </c>
      <c r="B377" s="26" t="s">
        <v>806</v>
      </c>
      <c r="C377" s="26" t="s">
        <v>5147</v>
      </c>
      <c r="D377" s="26" t="s">
        <v>5132</v>
      </c>
      <c r="E377" s="26" t="s">
        <v>5114</v>
      </c>
      <c r="F377" s="26" t="s">
        <v>5114</v>
      </c>
      <c r="G377" s="27" t="s">
        <v>1110</v>
      </c>
      <c r="H377" s="27" t="s">
        <v>1110</v>
      </c>
      <c r="I377" s="29">
        <v>4415.0</v>
      </c>
      <c r="J377" s="29" t="s">
        <v>1535</v>
      </c>
      <c r="K377" s="26" t="s">
        <v>4214</v>
      </c>
      <c r="L377" s="25">
        <v>2.0</v>
      </c>
      <c r="M377" s="27" t="s">
        <v>1137</v>
      </c>
      <c r="N377" s="166" t="s">
        <v>1174</v>
      </c>
      <c r="O377" s="26" t="s">
        <v>4789</v>
      </c>
      <c r="P377" s="26" t="s">
        <v>4886</v>
      </c>
      <c r="Q377" s="26" t="s">
        <v>4887</v>
      </c>
      <c r="R377" s="26" t="s">
        <v>3991</v>
      </c>
      <c r="S377" s="26" t="str">
        <f t="shared" si="96"/>
        <v>กลุ่มงานการพยาบาลผู้ป่วยนอก</v>
      </c>
      <c r="T377" s="26" t="s">
        <v>4887</v>
      </c>
      <c r="U377" s="26" t="s">
        <v>1302</v>
      </c>
      <c r="V377" s="25">
        <v>2.0</v>
      </c>
      <c r="W377" s="26" t="s">
        <v>3991</v>
      </c>
      <c r="X377" s="98" t="s">
        <v>1312</v>
      </c>
      <c r="Y377" s="31">
        <v>12.0</v>
      </c>
      <c r="Z377" s="31">
        <v>17.0</v>
      </c>
      <c r="AA377" s="31">
        <v>139.0</v>
      </c>
      <c r="AB377" s="31">
        <v>160.0</v>
      </c>
      <c r="AC377" s="32">
        <v>1.0</v>
      </c>
      <c r="AD377" s="26"/>
      <c r="AE377" s="26"/>
      <c r="AF377" s="32">
        <v>47.0</v>
      </c>
      <c r="AG377" s="37">
        <v>3.501400552885E12</v>
      </c>
      <c r="AH377" s="37" t="s">
        <v>3332</v>
      </c>
      <c r="AI377" s="44">
        <v>223415.0</v>
      </c>
    </row>
    <row r="378" ht="38.25" hidden="1" customHeight="1">
      <c r="A378" s="25">
        <v>375.0</v>
      </c>
      <c r="B378" s="26" t="s">
        <v>1037</v>
      </c>
      <c r="C378" s="26" t="s">
        <v>5148</v>
      </c>
      <c r="D378" s="26" t="s">
        <v>5149</v>
      </c>
      <c r="E378" s="26" t="s">
        <v>5114</v>
      </c>
      <c r="F378" s="26" t="s">
        <v>5114</v>
      </c>
      <c r="G378" s="27" t="s">
        <v>1110</v>
      </c>
      <c r="H378" s="27" t="s">
        <v>1110</v>
      </c>
      <c r="I378" s="29">
        <v>4416.0</v>
      </c>
      <c r="J378" s="29" t="s">
        <v>1535</v>
      </c>
      <c r="K378" s="26" t="s">
        <v>4214</v>
      </c>
      <c r="L378" s="25">
        <v>2.0</v>
      </c>
      <c r="M378" s="27" t="s">
        <v>1137</v>
      </c>
      <c r="N378" s="166" t="s">
        <v>1174</v>
      </c>
      <c r="O378" s="26" t="s">
        <v>4789</v>
      </c>
      <c r="P378" s="26" t="s">
        <v>4886</v>
      </c>
      <c r="Q378" s="26" t="s">
        <v>4887</v>
      </c>
      <c r="R378" s="26" t="s">
        <v>3991</v>
      </c>
      <c r="S378" s="26" t="str">
        <f t="shared" si="96"/>
        <v>กลุ่มงานการพยาบาลผู้ป่วยนอก</v>
      </c>
      <c r="T378" s="26" t="s">
        <v>4887</v>
      </c>
      <c r="U378" s="26" t="s">
        <v>1302</v>
      </c>
      <c r="V378" s="25">
        <v>2.0</v>
      </c>
      <c r="W378" s="26" t="s">
        <v>3991</v>
      </c>
      <c r="X378" s="98" t="s">
        <v>1312</v>
      </c>
      <c r="Y378" s="31">
        <v>12.0</v>
      </c>
      <c r="Z378" s="31">
        <v>17.0</v>
      </c>
      <c r="AA378" s="31">
        <v>139.0</v>
      </c>
      <c r="AB378" s="31">
        <v>160.0</v>
      </c>
      <c r="AC378" s="32">
        <v>1.0</v>
      </c>
      <c r="AD378" s="26"/>
      <c r="AE378" s="26"/>
      <c r="AF378" s="32">
        <v>47.0</v>
      </c>
      <c r="AG378" s="33">
        <v>1.500301222286E12</v>
      </c>
      <c r="AH378" s="33" t="s">
        <v>2102</v>
      </c>
      <c r="AI378" s="34" t="s">
        <v>5150</v>
      </c>
    </row>
    <row r="379" ht="38.25" hidden="1" customHeight="1">
      <c r="A379" s="32">
        <v>376.0</v>
      </c>
      <c r="B379" s="26" t="s">
        <v>1037</v>
      </c>
      <c r="C379" s="26" t="s">
        <v>5151</v>
      </c>
      <c r="D379" s="26" t="s">
        <v>5152</v>
      </c>
      <c r="E379" s="26" t="s">
        <v>5114</v>
      </c>
      <c r="F379" s="26" t="s">
        <v>5114</v>
      </c>
      <c r="G379" s="27" t="s">
        <v>1110</v>
      </c>
      <c r="H379" s="27" t="s">
        <v>1110</v>
      </c>
      <c r="I379" s="29">
        <v>4432.0</v>
      </c>
      <c r="J379" s="29" t="s">
        <v>1535</v>
      </c>
      <c r="K379" s="26" t="s">
        <v>4214</v>
      </c>
      <c r="L379" s="25">
        <v>2.0</v>
      </c>
      <c r="M379" s="27" t="s">
        <v>1137</v>
      </c>
      <c r="N379" s="166" t="s">
        <v>1174</v>
      </c>
      <c r="O379" s="26" t="s">
        <v>5153</v>
      </c>
      <c r="P379" s="26" t="s">
        <v>5154</v>
      </c>
      <c r="Q379" s="26" t="s">
        <v>4959</v>
      </c>
      <c r="R379" s="26" t="s">
        <v>3991</v>
      </c>
      <c r="S379" s="26" t="str">
        <f t="shared" si="96"/>
        <v>กลุ่มงานการพยาบาลผู้ป่วยหนัก</v>
      </c>
      <c r="T379" s="26" t="s">
        <v>4959</v>
      </c>
      <c r="U379" s="26" t="s">
        <v>1302</v>
      </c>
      <c r="V379" s="25">
        <v>3.0</v>
      </c>
      <c r="W379" s="26" t="s">
        <v>3991</v>
      </c>
      <c r="X379" s="98" t="s">
        <v>1312</v>
      </c>
      <c r="Y379" s="31">
        <v>10.0</v>
      </c>
      <c r="Z379" s="31">
        <v>12.0</v>
      </c>
      <c r="AA379" s="31">
        <v>139.0</v>
      </c>
      <c r="AB379" s="31">
        <v>160.0</v>
      </c>
      <c r="AC379" s="32">
        <v>1.0</v>
      </c>
      <c r="AD379" s="26"/>
      <c r="AE379" s="26"/>
      <c r="AF379" s="32">
        <v>47.0</v>
      </c>
      <c r="AG379" s="33">
        <v>1.500401133048E12</v>
      </c>
      <c r="AH379" s="33" t="s">
        <v>2157</v>
      </c>
      <c r="AI379" s="34" t="s">
        <v>5155</v>
      </c>
    </row>
    <row r="380" ht="38.25" hidden="1" customHeight="1">
      <c r="A380" s="25">
        <v>377.0</v>
      </c>
      <c r="B380" s="26" t="s">
        <v>2692</v>
      </c>
      <c r="C380" s="26" t="s">
        <v>5156</v>
      </c>
      <c r="D380" s="26" t="s">
        <v>5157</v>
      </c>
      <c r="E380" s="26" t="s">
        <v>5114</v>
      </c>
      <c r="F380" s="26" t="s">
        <v>5114</v>
      </c>
      <c r="G380" s="27" t="s">
        <v>1110</v>
      </c>
      <c r="H380" s="27" t="s">
        <v>1110</v>
      </c>
      <c r="I380" s="29">
        <v>4461.0</v>
      </c>
      <c r="J380" s="29" t="s">
        <v>1535</v>
      </c>
      <c r="K380" s="26" t="s">
        <v>4214</v>
      </c>
      <c r="L380" s="25">
        <v>2.0</v>
      </c>
      <c r="M380" s="27" t="s">
        <v>1137</v>
      </c>
      <c r="N380" s="166" t="s">
        <v>1174</v>
      </c>
      <c r="O380" s="26" t="s">
        <v>4862</v>
      </c>
      <c r="P380" s="26" t="s">
        <v>4863</v>
      </c>
      <c r="Q380" s="26" t="s">
        <v>4858</v>
      </c>
      <c r="R380" s="26" t="s">
        <v>3991</v>
      </c>
      <c r="S380" s="26" t="str">
        <f t="shared" si="96"/>
        <v>กลุ่มงานการพยาบาลผู้ป่วยศัลยกรรม</v>
      </c>
      <c r="T380" s="26" t="s">
        <v>4858</v>
      </c>
      <c r="U380" s="26" t="s">
        <v>1302</v>
      </c>
      <c r="V380" s="25">
        <v>8.0</v>
      </c>
      <c r="W380" s="26" t="s">
        <v>3991</v>
      </c>
      <c r="X380" s="98" t="s">
        <v>1312</v>
      </c>
      <c r="Y380" s="31">
        <v>6.0</v>
      </c>
      <c r="Z380" s="31">
        <v>8.0</v>
      </c>
      <c r="AA380" s="31">
        <v>139.0</v>
      </c>
      <c r="AB380" s="31">
        <v>160.0</v>
      </c>
      <c r="AC380" s="32">
        <v>1.0</v>
      </c>
      <c r="AD380" s="26"/>
      <c r="AE380" s="26"/>
      <c r="AF380" s="32">
        <v>47.0</v>
      </c>
      <c r="AG380" s="37">
        <v>1.501100098597E12</v>
      </c>
      <c r="AH380" s="61"/>
      <c r="AI380" s="38" t="s">
        <v>5158</v>
      </c>
    </row>
    <row r="381" ht="38.25" hidden="1" customHeight="1">
      <c r="A381" s="25">
        <v>378.0</v>
      </c>
      <c r="B381" s="26" t="s">
        <v>2692</v>
      </c>
      <c r="C381" s="26" t="s">
        <v>5159</v>
      </c>
      <c r="D381" s="26" t="s">
        <v>5160</v>
      </c>
      <c r="E381" s="26" t="s">
        <v>5114</v>
      </c>
      <c r="F381" s="26" t="s">
        <v>5114</v>
      </c>
      <c r="G381" s="27" t="s">
        <v>1110</v>
      </c>
      <c r="H381" s="27" t="s">
        <v>1110</v>
      </c>
      <c r="I381" s="29">
        <v>4460.0</v>
      </c>
      <c r="J381" s="29" t="s">
        <v>1535</v>
      </c>
      <c r="K381" s="26" t="s">
        <v>4214</v>
      </c>
      <c r="L381" s="25">
        <v>2.0</v>
      </c>
      <c r="M381" s="27" t="s">
        <v>1137</v>
      </c>
      <c r="N381" s="166" t="s">
        <v>1174</v>
      </c>
      <c r="O381" s="26" t="s">
        <v>4862</v>
      </c>
      <c r="P381" s="26" t="s">
        <v>4863</v>
      </c>
      <c r="Q381" s="26" t="s">
        <v>4858</v>
      </c>
      <c r="R381" s="26" t="s">
        <v>3991</v>
      </c>
      <c r="S381" s="26" t="str">
        <f t="shared" si="96"/>
        <v>กลุ่มงานการพยาบาลผู้ป่วยศัลยกรรม</v>
      </c>
      <c r="T381" s="26" t="s">
        <v>4858</v>
      </c>
      <c r="U381" s="26" t="s">
        <v>1302</v>
      </c>
      <c r="V381" s="25">
        <v>8.0</v>
      </c>
      <c r="W381" s="26" t="s">
        <v>3991</v>
      </c>
      <c r="X381" s="98" t="s">
        <v>1312</v>
      </c>
      <c r="Y381" s="31">
        <v>6.0</v>
      </c>
      <c r="Z381" s="31">
        <v>8.0</v>
      </c>
      <c r="AA381" s="31">
        <v>139.0</v>
      </c>
      <c r="AB381" s="31">
        <v>160.0</v>
      </c>
      <c r="AC381" s="32">
        <v>1.0</v>
      </c>
      <c r="AD381" s="26"/>
      <c r="AE381" s="26"/>
      <c r="AF381" s="32">
        <v>47.0</v>
      </c>
      <c r="AG381" s="33">
        <v>1.501100106093E12</v>
      </c>
      <c r="AH381" s="33" t="s">
        <v>3069</v>
      </c>
      <c r="AI381" s="34" t="s">
        <v>5161</v>
      </c>
    </row>
    <row r="382" ht="38.25" hidden="1" customHeight="1">
      <c r="A382" s="32">
        <v>379.0</v>
      </c>
      <c r="B382" s="26" t="s">
        <v>1037</v>
      </c>
      <c r="C382" s="26" t="s">
        <v>3236</v>
      </c>
      <c r="D382" s="26" t="s">
        <v>5162</v>
      </c>
      <c r="E382" s="26" t="s">
        <v>5114</v>
      </c>
      <c r="F382" s="26" t="s">
        <v>5114</v>
      </c>
      <c r="G382" s="27" t="s">
        <v>1110</v>
      </c>
      <c r="H382" s="27" t="s">
        <v>1110</v>
      </c>
      <c r="I382" s="29">
        <v>4459.0</v>
      </c>
      <c r="J382" s="29" t="s">
        <v>1535</v>
      </c>
      <c r="K382" s="26" t="s">
        <v>4214</v>
      </c>
      <c r="L382" s="25">
        <v>2.0</v>
      </c>
      <c r="M382" s="27" t="s">
        <v>1137</v>
      </c>
      <c r="N382" s="166" t="s">
        <v>1174</v>
      </c>
      <c r="O382" s="26" t="s">
        <v>4862</v>
      </c>
      <c r="P382" s="26" t="s">
        <v>4863</v>
      </c>
      <c r="Q382" s="26" t="s">
        <v>4858</v>
      </c>
      <c r="R382" s="26" t="s">
        <v>3991</v>
      </c>
      <c r="S382" s="26" t="str">
        <f t="shared" si="96"/>
        <v>กลุ่มงานการพยาบาลผู้ป่วยศัลยกรรม</v>
      </c>
      <c r="T382" s="26" t="s">
        <v>4858</v>
      </c>
      <c r="U382" s="26" t="s">
        <v>1302</v>
      </c>
      <c r="V382" s="25">
        <v>8.0</v>
      </c>
      <c r="W382" s="26" t="s">
        <v>3991</v>
      </c>
      <c r="X382" s="98" t="s">
        <v>1312</v>
      </c>
      <c r="Y382" s="31">
        <v>6.0</v>
      </c>
      <c r="Z382" s="31">
        <v>8.0</v>
      </c>
      <c r="AA382" s="31">
        <v>139.0</v>
      </c>
      <c r="AB382" s="31">
        <v>160.0</v>
      </c>
      <c r="AC382" s="32">
        <v>1.0</v>
      </c>
      <c r="AD382" s="26"/>
      <c r="AE382" s="26"/>
      <c r="AF382" s="32">
        <v>47.0</v>
      </c>
      <c r="AG382" s="37">
        <v>1.501800057982E12</v>
      </c>
      <c r="AH382" s="37" t="s">
        <v>3238</v>
      </c>
      <c r="AI382" s="38" t="s">
        <v>5163</v>
      </c>
    </row>
    <row r="383" ht="38.25" hidden="1" customHeight="1">
      <c r="A383" s="25">
        <v>380.0</v>
      </c>
      <c r="B383" s="26" t="s">
        <v>1037</v>
      </c>
      <c r="C383" s="26" t="s">
        <v>5164</v>
      </c>
      <c r="D383" s="26" t="s">
        <v>5165</v>
      </c>
      <c r="E383" s="26" t="s">
        <v>5114</v>
      </c>
      <c r="F383" s="26" t="s">
        <v>5114</v>
      </c>
      <c r="G383" s="27" t="s">
        <v>1110</v>
      </c>
      <c r="H383" s="27" t="s">
        <v>1110</v>
      </c>
      <c r="I383" s="29">
        <v>4490.0</v>
      </c>
      <c r="J383" s="29" t="s">
        <v>1535</v>
      </c>
      <c r="K383" s="26" t="s">
        <v>4214</v>
      </c>
      <c r="L383" s="25">
        <v>2.0</v>
      </c>
      <c r="M383" s="27" t="s">
        <v>1137</v>
      </c>
      <c r="N383" s="165" t="s">
        <v>3981</v>
      </c>
      <c r="O383" s="26" t="s">
        <v>4867</v>
      </c>
      <c r="P383" s="26" t="s">
        <v>4868</v>
      </c>
      <c r="Q383" s="26" t="s">
        <v>4869</v>
      </c>
      <c r="R383" s="26" t="s">
        <v>3991</v>
      </c>
      <c r="S383" s="26" t="str">
        <f t="shared" si="96"/>
        <v>กลุ่มงานการพยาบาลตรวจรักษาพิเศษ</v>
      </c>
      <c r="T383" s="26" t="s">
        <v>4028</v>
      </c>
      <c r="U383" s="26" t="s">
        <v>1302</v>
      </c>
      <c r="V383" s="25">
        <v>12.0</v>
      </c>
      <c r="W383" s="26" t="s">
        <v>3991</v>
      </c>
      <c r="X383" s="98" t="s">
        <v>1312</v>
      </c>
      <c r="Y383" s="31">
        <v>3.0</v>
      </c>
      <c r="Z383" s="31">
        <v>5.0</v>
      </c>
      <c r="AA383" s="31">
        <v>139.0</v>
      </c>
      <c r="AB383" s="31">
        <v>160.0</v>
      </c>
      <c r="AC383" s="32">
        <v>1.0</v>
      </c>
      <c r="AD383" s="26"/>
      <c r="AE383" s="26"/>
      <c r="AF383" s="32">
        <v>47.0</v>
      </c>
      <c r="AG383" s="46"/>
      <c r="AH383" s="46"/>
      <c r="AI383" s="47"/>
    </row>
    <row r="384" ht="38.25" hidden="1" customHeight="1">
      <c r="A384" s="25">
        <v>381.0</v>
      </c>
      <c r="B384" s="26" t="s">
        <v>806</v>
      </c>
      <c r="C384" s="26" t="s">
        <v>5166</v>
      </c>
      <c r="D384" s="26" t="s">
        <v>5167</v>
      </c>
      <c r="E384" s="26" t="s">
        <v>5114</v>
      </c>
      <c r="F384" s="26" t="s">
        <v>5114</v>
      </c>
      <c r="G384" s="27" t="s">
        <v>1110</v>
      </c>
      <c r="H384" s="27" t="s">
        <v>1110</v>
      </c>
      <c r="I384" s="29">
        <v>4488.0</v>
      </c>
      <c r="J384" s="29" t="s">
        <v>1535</v>
      </c>
      <c r="K384" s="26" t="s">
        <v>4214</v>
      </c>
      <c r="L384" s="25">
        <v>2.0</v>
      </c>
      <c r="M384" s="27" t="s">
        <v>1137</v>
      </c>
      <c r="N384" s="166" t="s">
        <v>1174</v>
      </c>
      <c r="O384" s="26" t="s">
        <v>4894</v>
      </c>
      <c r="P384" s="26" t="s">
        <v>4895</v>
      </c>
      <c r="Q384" s="26" t="s">
        <v>4028</v>
      </c>
      <c r="R384" s="26" t="s">
        <v>3991</v>
      </c>
      <c r="S384" s="26" t="str">
        <f t="shared" si="96"/>
        <v>กลุ่มงานการพยาบาลตรวจรักษาพิเศษ</v>
      </c>
      <c r="T384" s="26" t="s">
        <v>4028</v>
      </c>
      <c r="U384" s="26" t="s">
        <v>1302</v>
      </c>
      <c r="V384" s="25">
        <v>15.0</v>
      </c>
      <c r="W384" s="26" t="s">
        <v>3991</v>
      </c>
      <c r="X384" s="98" t="s">
        <v>1312</v>
      </c>
      <c r="Y384" s="31">
        <v>7.0</v>
      </c>
      <c r="Z384" s="31">
        <v>9.0</v>
      </c>
      <c r="AA384" s="31">
        <v>139.0</v>
      </c>
      <c r="AB384" s="31">
        <v>160.0</v>
      </c>
      <c r="AC384" s="32">
        <v>1.0</v>
      </c>
      <c r="AD384" s="26"/>
      <c r="AE384" s="26"/>
      <c r="AF384" s="32">
        <v>47.0</v>
      </c>
      <c r="AG384" s="33">
        <v>1.500300056005E12</v>
      </c>
      <c r="AH384" s="33" t="s">
        <v>3194</v>
      </c>
      <c r="AI384" s="34" t="s">
        <v>5168</v>
      </c>
    </row>
    <row r="385" ht="38.25" hidden="1" customHeight="1">
      <c r="A385" s="32">
        <v>382.0</v>
      </c>
      <c r="B385" s="26" t="s">
        <v>1037</v>
      </c>
      <c r="C385" s="26" t="s">
        <v>5169</v>
      </c>
      <c r="D385" s="26" t="s">
        <v>5170</v>
      </c>
      <c r="E385" s="26" t="s">
        <v>5114</v>
      </c>
      <c r="F385" s="26" t="s">
        <v>5114</v>
      </c>
      <c r="G385" s="27" t="s">
        <v>1110</v>
      </c>
      <c r="H385" s="27" t="s">
        <v>1110</v>
      </c>
      <c r="I385" s="29">
        <v>4463.0</v>
      </c>
      <c r="J385" s="29" t="s">
        <v>1535</v>
      </c>
      <c r="K385" s="26" t="s">
        <v>4214</v>
      </c>
      <c r="L385" s="25">
        <v>2.0</v>
      </c>
      <c r="M385" s="27" t="s">
        <v>1137</v>
      </c>
      <c r="N385" s="166" t="s">
        <v>1174</v>
      </c>
      <c r="O385" s="26" t="s">
        <v>4917</v>
      </c>
      <c r="P385" s="26" t="s">
        <v>4918</v>
      </c>
      <c r="Q385" s="26" t="s">
        <v>4919</v>
      </c>
      <c r="R385" s="26" t="s">
        <v>3991</v>
      </c>
      <c r="S385" s="26" t="str">
        <f t="shared" si="96"/>
        <v>กลุ่มงานการพยาบาลผู้ป่วยสูติ - นรีเวช</v>
      </c>
      <c r="T385" s="26" t="s">
        <v>4920</v>
      </c>
      <c r="U385" s="26" t="s">
        <v>1302</v>
      </c>
      <c r="V385" s="25">
        <v>9.0</v>
      </c>
      <c r="W385" s="26" t="s">
        <v>3991</v>
      </c>
      <c r="X385" s="98" t="s">
        <v>1312</v>
      </c>
      <c r="Y385" s="31">
        <v>6.0</v>
      </c>
      <c r="Z385" s="31">
        <v>9.0</v>
      </c>
      <c r="AA385" s="31">
        <v>139.0</v>
      </c>
      <c r="AB385" s="31">
        <v>160.0</v>
      </c>
      <c r="AC385" s="32">
        <v>1.0</v>
      </c>
      <c r="AD385" s="26"/>
      <c r="AE385" s="26"/>
      <c r="AF385" s="32">
        <v>47.0</v>
      </c>
      <c r="AG385" s="61"/>
      <c r="AH385" s="61"/>
      <c r="AI385" s="62"/>
    </row>
    <row r="386" ht="38.25" hidden="1" customHeight="1">
      <c r="A386" s="25">
        <v>383.0</v>
      </c>
      <c r="B386" s="26" t="s">
        <v>1037</v>
      </c>
      <c r="C386" s="26" t="s">
        <v>5171</v>
      </c>
      <c r="D386" s="26" t="s">
        <v>5172</v>
      </c>
      <c r="E386" s="26" t="s">
        <v>5114</v>
      </c>
      <c r="F386" s="26" t="s">
        <v>5114</v>
      </c>
      <c r="G386" s="27" t="s">
        <v>1110</v>
      </c>
      <c r="H386" s="27" t="s">
        <v>1110</v>
      </c>
      <c r="I386" s="29">
        <v>4440.0</v>
      </c>
      <c r="J386" s="29" t="s">
        <v>1535</v>
      </c>
      <c r="K386" s="26" t="s">
        <v>4214</v>
      </c>
      <c r="L386" s="25">
        <v>2.0</v>
      </c>
      <c r="M386" s="27" t="s">
        <v>1137</v>
      </c>
      <c r="N386" s="166" t="s">
        <v>1174</v>
      </c>
      <c r="O386" s="26" t="s">
        <v>5173</v>
      </c>
      <c r="P386" s="26" t="s">
        <v>5174</v>
      </c>
      <c r="Q386" s="26" t="s">
        <v>5115</v>
      </c>
      <c r="R386" s="26" t="s">
        <v>3991</v>
      </c>
      <c r="S386" s="26" t="str">
        <f t="shared" si="96"/>
        <v>กลุ่มงานการพยาบาลผู้คลอด</v>
      </c>
      <c r="T386" s="26" t="s">
        <v>5115</v>
      </c>
      <c r="U386" s="26" t="s">
        <v>1302</v>
      </c>
      <c r="V386" s="25">
        <v>4.0</v>
      </c>
      <c r="W386" s="26" t="s">
        <v>3991</v>
      </c>
      <c r="X386" s="98" t="s">
        <v>1312</v>
      </c>
      <c r="Y386" s="31">
        <v>5.0</v>
      </c>
      <c r="Z386" s="31">
        <v>6.0</v>
      </c>
      <c r="AA386" s="31">
        <v>139.0</v>
      </c>
      <c r="AB386" s="31">
        <v>160.0</v>
      </c>
      <c r="AC386" s="32">
        <v>1.0</v>
      </c>
      <c r="AD386" s="26"/>
      <c r="AE386" s="26"/>
      <c r="AF386" s="32">
        <v>47.0</v>
      </c>
      <c r="AG386" s="33">
        <v>1.500800062241E12</v>
      </c>
      <c r="AH386" s="33" t="s">
        <v>3142</v>
      </c>
      <c r="AI386" s="40">
        <v>232542.0</v>
      </c>
    </row>
    <row r="387" ht="38.25" hidden="1" customHeight="1">
      <c r="A387" s="25">
        <v>384.0</v>
      </c>
      <c r="B387" s="26" t="s">
        <v>1037</v>
      </c>
      <c r="C387" s="26" t="s">
        <v>5175</v>
      </c>
      <c r="D387" s="26" t="s">
        <v>5176</v>
      </c>
      <c r="E387" s="26" t="s">
        <v>5114</v>
      </c>
      <c r="F387" s="26" t="s">
        <v>5114</v>
      </c>
      <c r="G387" s="27" t="s">
        <v>1110</v>
      </c>
      <c r="H387" s="27" t="s">
        <v>1110</v>
      </c>
      <c r="I387" s="29">
        <v>4441.0</v>
      </c>
      <c r="J387" s="29" t="s">
        <v>1535</v>
      </c>
      <c r="K387" s="26" t="s">
        <v>4214</v>
      </c>
      <c r="L387" s="25">
        <v>2.0</v>
      </c>
      <c r="M387" s="27" t="s">
        <v>1137</v>
      </c>
      <c r="N387" s="166" t="s">
        <v>1174</v>
      </c>
      <c r="O387" s="26" t="s">
        <v>5173</v>
      </c>
      <c r="P387" s="26" t="s">
        <v>5174</v>
      </c>
      <c r="Q387" s="26" t="s">
        <v>5115</v>
      </c>
      <c r="R387" s="26" t="s">
        <v>3991</v>
      </c>
      <c r="S387" s="26" t="str">
        <f t="shared" si="96"/>
        <v>กลุ่มงานการพยาบาลผู้คลอด</v>
      </c>
      <c r="T387" s="26" t="s">
        <v>5115</v>
      </c>
      <c r="U387" s="26" t="s">
        <v>1302</v>
      </c>
      <c r="V387" s="25">
        <v>4.0</v>
      </c>
      <c r="W387" s="26" t="s">
        <v>3991</v>
      </c>
      <c r="X387" s="98" t="s">
        <v>1312</v>
      </c>
      <c r="Y387" s="31">
        <v>5.0</v>
      </c>
      <c r="Z387" s="31">
        <v>6.0</v>
      </c>
      <c r="AA387" s="31">
        <v>139.0</v>
      </c>
      <c r="AB387" s="31">
        <v>160.0</v>
      </c>
      <c r="AC387" s="32">
        <v>1.0</v>
      </c>
      <c r="AD387" s="26"/>
      <c r="AE387" s="26"/>
      <c r="AF387" s="32">
        <v>47.0</v>
      </c>
      <c r="AG387" s="37">
        <v>1.580400161706E12</v>
      </c>
      <c r="AH387" s="37" t="s">
        <v>3147</v>
      </c>
      <c r="AI387" s="38" t="s">
        <v>5177</v>
      </c>
    </row>
    <row r="388" ht="38.25" hidden="1" customHeight="1">
      <c r="A388" s="32">
        <v>385.0</v>
      </c>
      <c r="B388" s="26" t="s">
        <v>1037</v>
      </c>
      <c r="C388" s="26" t="s">
        <v>5178</v>
      </c>
      <c r="D388" s="26" t="s">
        <v>5179</v>
      </c>
      <c r="E388" s="26" t="s">
        <v>5114</v>
      </c>
      <c r="F388" s="26" t="s">
        <v>5114</v>
      </c>
      <c r="G388" s="27" t="s">
        <v>1110</v>
      </c>
      <c r="H388" s="27" t="s">
        <v>1110</v>
      </c>
      <c r="I388" s="29">
        <v>4378.0</v>
      </c>
      <c r="J388" s="29" t="s">
        <v>1535</v>
      </c>
      <c r="K388" s="26" t="s">
        <v>4214</v>
      </c>
      <c r="L388" s="25">
        <v>2.0</v>
      </c>
      <c r="M388" s="27" t="s">
        <v>1137</v>
      </c>
      <c r="N388" s="165" t="s">
        <v>3981</v>
      </c>
      <c r="O388" s="26" t="s">
        <v>5173</v>
      </c>
      <c r="P388" s="26" t="s">
        <v>5174</v>
      </c>
      <c r="Q388" s="26" t="s">
        <v>5115</v>
      </c>
      <c r="R388" s="26" t="s">
        <v>3991</v>
      </c>
      <c r="S388" s="26" t="str">
        <f t="shared" si="96"/>
        <v>กลุ่มงานวิสัญญีวิทยา</v>
      </c>
      <c r="T388" s="26" t="s">
        <v>4649</v>
      </c>
      <c r="U388" s="26" t="s">
        <v>1302</v>
      </c>
      <c r="V388" s="25">
        <v>4.0</v>
      </c>
      <c r="W388" s="26" t="s">
        <v>3991</v>
      </c>
      <c r="X388" s="98" t="s">
        <v>1312</v>
      </c>
      <c r="Y388" s="31">
        <v>5.0</v>
      </c>
      <c r="Z388" s="31">
        <v>6.0</v>
      </c>
      <c r="AA388" s="31">
        <v>139.0</v>
      </c>
      <c r="AB388" s="31">
        <v>160.0</v>
      </c>
      <c r="AC388" s="32">
        <v>1.0</v>
      </c>
      <c r="AD388" s="26"/>
      <c r="AE388" s="26"/>
      <c r="AF388" s="32">
        <v>47.0</v>
      </c>
      <c r="AG388" s="33">
        <v>1.500301249818E12</v>
      </c>
      <c r="AH388" s="46"/>
      <c r="AI388" s="40">
        <v>235859.0</v>
      </c>
    </row>
    <row r="389" ht="38.25" hidden="1" customHeight="1">
      <c r="A389" s="25">
        <v>386.0</v>
      </c>
      <c r="B389" s="26" t="s">
        <v>2692</v>
      </c>
      <c r="C389" s="26" t="s">
        <v>5180</v>
      </c>
      <c r="D389" s="26" t="s">
        <v>5181</v>
      </c>
      <c r="E389" s="26" t="s">
        <v>5114</v>
      </c>
      <c r="F389" s="26" t="s">
        <v>5114</v>
      </c>
      <c r="G389" s="27" t="s">
        <v>1110</v>
      </c>
      <c r="H389" s="27" t="s">
        <v>1110</v>
      </c>
      <c r="I389" s="29">
        <v>4418.0</v>
      </c>
      <c r="J389" s="29" t="s">
        <v>1535</v>
      </c>
      <c r="K389" s="26" t="s">
        <v>4214</v>
      </c>
      <c r="L389" s="25">
        <v>2.0</v>
      </c>
      <c r="M389" s="27" t="s">
        <v>1137</v>
      </c>
      <c r="N389" s="165" t="s">
        <v>3981</v>
      </c>
      <c r="O389" s="26" t="s">
        <v>5182</v>
      </c>
      <c r="P389" s="26" t="s">
        <v>5183</v>
      </c>
      <c r="Q389" s="26" t="s">
        <v>5184</v>
      </c>
      <c r="R389" s="26" t="s">
        <v>3991</v>
      </c>
      <c r="S389" s="26" t="str">
        <f t="shared" si="96"/>
        <v>กลุ่มงานการพยาบาลผู้ป่วยนอก</v>
      </c>
      <c r="T389" s="26" t="s">
        <v>4887</v>
      </c>
      <c r="U389" s="26" t="s">
        <v>1302</v>
      </c>
      <c r="V389" s="25">
        <v>5.0</v>
      </c>
      <c r="W389" s="26" t="s">
        <v>3991</v>
      </c>
      <c r="X389" s="98" t="s">
        <v>1312</v>
      </c>
      <c r="Y389" s="31">
        <v>8.0</v>
      </c>
      <c r="Z389" s="31">
        <v>9.0</v>
      </c>
      <c r="AA389" s="31">
        <v>139.0</v>
      </c>
      <c r="AB389" s="31">
        <v>160.0</v>
      </c>
      <c r="AC389" s="32">
        <v>1.0</v>
      </c>
      <c r="AD389" s="26"/>
      <c r="AE389" s="26"/>
      <c r="AF389" s="32">
        <v>47.0</v>
      </c>
      <c r="AG389" s="33">
        <v>1.500801097898E12</v>
      </c>
      <c r="AH389" s="46"/>
      <c r="AI389" s="40">
        <v>235742.0</v>
      </c>
    </row>
    <row r="390" ht="38.25" hidden="1" customHeight="1">
      <c r="A390" s="25">
        <v>387.0</v>
      </c>
      <c r="B390" s="26" t="s">
        <v>2692</v>
      </c>
      <c r="C390" s="26" t="s">
        <v>5185</v>
      </c>
      <c r="D390" s="26" t="s">
        <v>5186</v>
      </c>
      <c r="E390" s="26" t="s">
        <v>5114</v>
      </c>
      <c r="F390" s="26" t="s">
        <v>5114</v>
      </c>
      <c r="G390" s="27" t="s">
        <v>1110</v>
      </c>
      <c r="H390" s="27" t="s">
        <v>1110</v>
      </c>
      <c r="I390" s="29">
        <v>4431.0</v>
      </c>
      <c r="J390" s="29" t="s">
        <v>1535</v>
      </c>
      <c r="K390" s="26" t="s">
        <v>4214</v>
      </c>
      <c r="L390" s="25">
        <v>2.0</v>
      </c>
      <c r="M390" s="27" t="s">
        <v>1137</v>
      </c>
      <c r="N390" s="166" t="s">
        <v>1174</v>
      </c>
      <c r="O390" s="26" t="s">
        <v>4957</v>
      </c>
      <c r="P390" s="26" t="s">
        <v>4958</v>
      </c>
      <c r="Q390" s="26" t="s">
        <v>4959</v>
      </c>
      <c r="R390" s="26" t="s">
        <v>3991</v>
      </c>
      <c r="S390" s="26" t="str">
        <f t="shared" si="96"/>
        <v>กลุ่มงานการพยาบาลผู้ป่วยหนัก</v>
      </c>
      <c r="T390" s="26" t="s">
        <v>4959</v>
      </c>
      <c r="U390" s="26" t="s">
        <v>1302</v>
      </c>
      <c r="V390" s="25">
        <v>3.0</v>
      </c>
      <c r="W390" s="26" t="s">
        <v>3991</v>
      </c>
      <c r="X390" s="98" t="s">
        <v>1312</v>
      </c>
      <c r="Y390" s="31">
        <v>10.0</v>
      </c>
      <c r="Z390" s="31">
        <v>12.0</v>
      </c>
      <c r="AA390" s="31">
        <v>139.0</v>
      </c>
      <c r="AB390" s="31">
        <v>160.0</v>
      </c>
      <c r="AC390" s="32">
        <v>1.0</v>
      </c>
      <c r="AD390" s="26"/>
      <c r="AE390" s="26"/>
      <c r="AF390" s="32">
        <v>47.0</v>
      </c>
      <c r="AG390" s="37">
        <v>5.501490000221E12</v>
      </c>
      <c r="AH390" s="37" t="s">
        <v>3338</v>
      </c>
      <c r="AI390" s="38" t="s">
        <v>5187</v>
      </c>
    </row>
    <row r="391" ht="38.25" hidden="1" customHeight="1">
      <c r="A391" s="32">
        <v>388.0</v>
      </c>
      <c r="B391" s="26" t="s">
        <v>1037</v>
      </c>
      <c r="C391" s="26" t="s">
        <v>5188</v>
      </c>
      <c r="D391" s="26" t="s">
        <v>5189</v>
      </c>
      <c r="E391" s="26" t="s">
        <v>5114</v>
      </c>
      <c r="F391" s="26" t="s">
        <v>5114</v>
      </c>
      <c r="G391" s="27" t="s">
        <v>1110</v>
      </c>
      <c r="H391" s="27" t="s">
        <v>1110</v>
      </c>
      <c r="I391" s="29">
        <v>4433.0</v>
      </c>
      <c r="J391" s="29" t="s">
        <v>1535</v>
      </c>
      <c r="K391" s="26" t="s">
        <v>4214</v>
      </c>
      <c r="L391" s="25">
        <v>2.0</v>
      </c>
      <c r="M391" s="27" t="s">
        <v>1137</v>
      </c>
      <c r="N391" s="166" t="s">
        <v>1174</v>
      </c>
      <c r="O391" s="26" t="s">
        <v>4957</v>
      </c>
      <c r="P391" s="26" t="s">
        <v>4958</v>
      </c>
      <c r="Q391" s="26" t="s">
        <v>4959</v>
      </c>
      <c r="R391" s="26" t="s">
        <v>3991</v>
      </c>
      <c r="S391" s="26" t="str">
        <f t="shared" si="96"/>
        <v>กลุ่มงานการพยาบาลผู้ป่วยหนัก</v>
      </c>
      <c r="T391" s="26" t="s">
        <v>4959</v>
      </c>
      <c r="U391" s="26" t="s">
        <v>1302</v>
      </c>
      <c r="V391" s="25">
        <v>3.0</v>
      </c>
      <c r="W391" s="26" t="s">
        <v>3991</v>
      </c>
      <c r="X391" s="98" t="s">
        <v>1312</v>
      </c>
      <c r="Y391" s="31">
        <v>10.0</v>
      </c>
      <c r="Z391" s="31">
        <v>12.0</v>
      </c>
      <c r="AA391" s="31">
        <v>139.0</v>
      </c>
      <c r="AB391" s="31">
        <v>160.0</v>
      </c>
      <c r="AC391" s="32">
        <v>1.0</v>
      </c>
      <c r="AD391" s="26"/>
      <c r="AE391" s="26"/>
      <c r="AF391" s="32">
        <v>47.0</v>
      </c>
      <c r="AG391" s="33">
        <v>1.50990063301E12</v>
      </c>
      <c r="AH391" s="33" t="s">
        <v>3258</v>
      </c>
      <c r="AI391" s="40">
        <v>230477.0</v>
      </c>
    </row>
    <row r="392" ht="38.25" hidden="1" customHeight="1">
      <c r="A392" s="25">
        <v>389.0</v>
      </c>
      <c r="B392" s="26" t="s">
        <v>1037</v>
      </c>
      <c r="C392" s="26" t="s">
        <v>5190</v>
      </c>
      <c r="D392" s="26" t="s">
        <v>5191</v>
      </c>
      <c r="E392" s="26" t="s">
        <v>5114</v>
      </c>
      <c r="F392" s="26" t="s">
        <v>5114</v>
      </c>
      <c r="G392" s="27" t="s">
        <v>1110</v>
      </c>
      <c r="H392" s="27" t="s">
        <v>1110</v>
      </c>
      <c r="I392" s="29">
        <v>4403.0</v>
      </c>
      <c r="J392" s="29" t="s">
        <v>1535</v>
      </c>
      <c r="K392" s="26" t="s">
        <v>4214</v>
      </c>
      <c r="L392" s="25">
        <v>2.0</v>
      </c>
      <c r="M392" s="27" t="s">
        <v>1137</v>
      </c>
      <c r="N392" s="165" t="s">
        <v>3981</v>
      </c>
      <c r="O392" s="26" t="s">
        <v>4957</v>
      </c>
      <c r="P392" s="26" t="s">
        <v>4958</v>
      </c>
      <c r="Q392" s="26" t="s">
        <v>4959</v>
      </c>
      <c r="R392" s="26" t="s">
        <v>3991</v>
      </c>
      <c r="S392" s="26" t="str">
        <f t="shared" si="96"/>
        <v>กลุ่มงานการพยาบาลผู้ป่วยอุบัติเหตุและฉุกเฉิน</v>
      </c>
      <c r="T392" s="26" t="s">
        <v>4398</v>
      </c>
      <c r="U392" s="26" t="s">
        <v>1302</v>
      </c>
      <c r="V392" s="25">
        <v>3.0</v>
      </c>
      <c r="W392" s="26" t="s">
        <v>3991</v>
      </c>
      <c r="X392" s="98" t="s">
        <v>1312</v>
      </c>
      <c r="Y392" s="31">
        <v>10.0</v>
      </c>
      <c r="Z392" s="31">
        <v>12.0</v>
      </c>
      <c r="AA392" s="31">
        <v>139.0</v>
      </c>
      <c r="AB392" s="31">
        <v>160.0</v>
      </c>
      <c r="AC392" s="32">
        <v>1.0</v>
      </c>
      <c r="AD392" s="26"/>
      <c r="AE392" s="26"/>
      <c r="AF392" s="32">
        <v>47.0</v>
      </c>
      <c r="AG392" s="33">
        <v>1.501801140158E12</v>
      </c>
      <c r="AH392" s="33" t="s">
        <v>2277</v>
      </c>
      <c r="AI392" s="40">
        <v>235189.0</v>
      </c>
    </row>
    <row r="393" ht="38.25" hidden="1" customHeight="1">
      <c r="A393" s="25">
        <v>390.0</v>
      </c>
      <c r="B393" s="26" t="s">
        <v>1037</v>
      </c>
      <c r="C393" s="26" t="s">
        <v>5192</v>
      </c>
      <c r="D393" s="26" t="s">
        <v>5193</v>
      </c>
      <c r="E393" s="26" t="s">
        <v>5114</v>
      </c>
      <c r="F393" s="26" t="s">
        <v>5114</v>
      </c>
      <c r="G393" s="27" t="s">
        <v>1110</v>
      </c>
      <c r="H393" s="27" t="s">
        <v>1110</v>
      </c>
      <c r="I393" s="29">
        <v>4478.0</v>
      </c>
      <c r="J393" s="29" t="s">
        <v>1535</v>
      </c>
      <c r="K393" s="26" t="s">
        <v>4214</v>
      </c>
      <c r="L393" s="25">
        <v>2.0</v>
      </c>
      <c r="M393" s="27" t="s">
        <v>1137</v>
      </c>
      <c r="N393" s="165" t="s">
        <v>3981</v>
      </c>
      <c r="O393" s="26" t="s">
        <v>4928</v>
      </c>
      <c r="P393" s="26" t="s">
        <v>4929</v>
      </c>
      <c r="Q393" s="26" t="s">
        <v>4858</v>
      </c>
      <c r="R393" s="26" t="s">
        <v>3991</v>
      </c>
      <c r="S393" s="26" t="str">
        <f t="shared" si="96"/>
        <v>กลุ่มงานการพยาบาลผู้ป่วยออร์โธปิดิกส์</v>
      </c>
      <c r="T393" s="26" t="s">
        <v>4869</v>
      </c>
      <c r="U393" s="26" t="s">
        <v>1302</v>
      </c>
      <c r="V393" s="25">
        <v>8.0</v>
      </c>
      <c r="W393" s="26" t="s">
        <v>3991</v>
      </c>
      <c r="X393" s="98" t="s">
        <v>1312</v>
      </c>
      <c r="Y393" s="31">
        <v>6.0</v>
      </c>
      <c r="Z393" s="31">
        <v>8.0</v>
      </c>
      <c r="AA393" s="31">
        <v>139.0</v>
      </c>
      <c r="AB393" s="31">
        <v>160.0</v>
      </c>
      <c r="AC393" s="32">
        <v>1.0</v>
      </c>
      <c r="AD393" s="26"/>
      <c r="AE393" s="26"/>
      <c r="AF393" s="32">
        <v>47.0</v>
      </c>
      <c r="AG393" s="33">
        <v>1.509901425356E12</v>
      </c>
      <c r="AH393" s="33" t="s">
        <v>2408</v>
      </c>
      <c r="AI393" s="40">
        <v>232907.0</v>
      </c>
    </row>
    <row r="394" ht="38.25" hidden="1" customHeight="1">
      <c r="A394" s="32">
        <v>391.0</v>
      </c>
      <c r="B394" s="26" t="s">
        <v>2692</v>
      </c>
      <c r="C394" s="26" t="s">
        <v>4743</v>
      </c>
      <c r="D394" s="26" t="s">
        <v>5194</v>
      </c>
      <c r="E394" s="26" t="s">
        <v>5114</v>
      </c>
      <c r="F394" s="26" t="s">
        <v>5114</v>
      </c>
      <c r="G394" s="27" t="s">
        <v>1110</v>
      </c>
      <c r="H394" s="27" t="s">
        <v>1110</v>
      </c>
      <c r="I394" s="29">
        <v>4452.0</v>
      </c>
      <c r="J394" s="29" t="s">
        <v>1535</v>
      </c>
      <c r="K394" s="26" t="s">
        <v>4214</v>
      </c>
      <c r="L394" s="25">
        <v>2.0</v>
      </c>
      <c r="M394" s="27" t="s">
        <v>1137</v>
      </c>
      <c r="N394" s="166" t="s">
        <v>1174</v>
      </c>
      <c r="O394" s="26" t="s">
        <v>4872</v>
      </c>
      <c r="P394" s="26" t="s">
        <v>4873</v>
      </c>
      <c r="Q394" s="26" t="s">
        <v>4874</v>
      </c>
      <c r="R394" s="26" t="s">
        <v>3991</v>
      </c>
      <c r="S394" s="26" t="str">
        <f t="shared" si="96"/>
        <v>กลุ่มงานการพยาบาลผู้ป่วยอายุรกรรม</v>
      </c>
      <c r="T394" s="26" t="s">
        <v>4874</v>
      </c>
      <c r="U394" s="26" t="s">
        <v>1302</v>
      </c>
      <c r="V394" s="25">
        <v>7.0</v>
      </c>
      <c r="W394" s="26" t="s">
        <v>3991</v>
      </c>
      <c r="X394" s="98" t="s">
        <v>1312</v>
      </c>
      <c r="Y394" s="31">
        <v>6.0</v>
      </c>
      <c r="Z394" s="31">
        <v>16.0</v>
      </c>
      <c r="AA394" s="31">
        <v>139.0</v>
      </c>
      <c r="AB394" s="31">
        <v>160.0</v>
      </c>
      <c r="AC394" s="32">
        <v>1.0</v>
      </c>
      <c r="AD394" s="26"/>
      <c r="AE394" s="26"/>
      <c r="AF394" s="32">
        <v>47.0</v>
      </c>
      <c r="AG394" s="37">
        <v>1.520100131313E12</v>
      </c>
      <c r="AH394" s="37" t="s">
        <v>2395</v>
      </c>
      <c r="AI394" s="44">
        <v>234709.0</v>
      </c>
    </row>
    <row r="395" ht="38.25" hidden="1" customHeight="1">
      <c r="A395" s="25">
        <v>392.0</v>
      </c>
      <c r="B395" s="26" t="s">
        <v>1037</v>
      </c>
      <c r="C395" s="26" t="s">
        <v>5195</v>
      </c>
      <c r="D395" s="26" t="s">
        <v>5196</v>
      </c>
      <c r="E395" s="26" t="s">
        <v>5114</v>
      </c>
      <c r="F395" s="26" t="s">
        <v>5114</v>
      </c>
      <c r="G395" s="27" t="s">
        <v>1110</v>
      </c>
      <c r="H395" s="27" t="s">
        <v>1110</v>
      </c>
      <c r="I395" s="29">
        <v>4402.0</v>
      </c>
      <c r="J395" s="29" t="s">
        <v>1535</v>
      </c>
      <c r="K395" s="26" t="s">
        <v>4214</v>
      </c>
      <c r="L395" s="25">
        <v>2.0</v>
      </c>
      <c r="M395" s="27" t="s">
        <v>1137</v>
      </c>
      <c r="N395" s="165" t="s">
        <v>3981</v>
      </c>
      <c r="O395" s="26" t="s">
        <v>4872</v>
      </c>
      <c r="P395" s="26" t="s">
        <v>4873</v>
      </c>
      <c r="Q395" s="26" t="s">
        <v>4874</v>
      </c>
      <c r="R395" s="26" t="s">
        <v>3991</v>
      </c>
      <c r="S395" s="26" t="str">
        <f t="shared" si="96"/>
        <v>กลุ่มงานการพยาบาลผู้ป่วยอุบัติเหตุและฉุกเฉิน</v>
      </c>
      <c r="T395" s="26" t="s">
        <v>4398</v>
      </c>
      <c r="U395" s="26" t="s">
        <v>1302</v>
      </c>
      <c r="V395" s="25">
        <v>7.0</v>
      </c>
      <c r="W395" s="26" t="s">
        <v>3991</v>
      </c>
      <c r="X395" s="98" t="s">
        <v>1312</v>
      </c>
      <c r="Y395" s="31">
        <v>6.0</v>
      </c>
      <c r="Z395" s="31">
        <v>16.0</v>
      </c>
      <c r="AA395" s="31">
        <v>139.0</v>
      </c>
      <c r="AB395" s="31">
        <v>160.0</v>
      </c>
      <c r="AC395" s="32">
        <v>1.0</v>
      </c>
      <c r="AD395" s="26"/>
      <c r="AE395" s="26"/>
      <c r="AF395" s="32">
        <v>47.0</v>
      </c>
      <c r="AG395" s="37">
        <v>1.570400219933E12</v>
      </c>
      <c r="AH395" s="37" t="s">
        <v>2416</v>
      </c>
      <c r="AI395" s="44">
        <v>234035.0</v>
      </c>
    </row>
    <row r="396" ht="38.25" hidden="1" customHeight="1">
      <c r="A396" s="25">
        <v>393.0</v>
      </c>
      <c r="B396" s="26" t="s">
        <v>2692</v>
      </c>
      <c r="C396" s="26" t="s">
        <v>5197</v>
      </c>
      <c r="D396" s="26" t="s">
        <v>5198</v>
      </c>
      <c r="E396" s="26" t="s">
        <v>5114</v>
      </c>
      <c r="F396" s="26" t="s">
        <v>5114</v>
      </c>
      <c r="G396" s="27" t="s">
        <v>1110</v>
      </c>
      <c r="H396" s="27" t="s">
        <v>1110</v>
      </c>
      <c r="I396" s="29">
        <v>4417.0</v>
      </c>
      <c r="J396" s="29" t="s">
        <v>1535</v>
      </c>
      <c r="K396" s="26" t="s">
        <v>4214</v>
      </c>
      <c r="L396" s="25">
        <v>2.0</v>
      </c>
      <c r="M396" s="27" t="s">
        <v>1137</v>
      </c>
      <c r="N396" s="165" t="s">
        <v>3981</v>
      </c>
      <c r="O396" s="26" t="s">
        <v>4396</v>
      </c>
      <c r="P396" s="26" t="s">
        <v>4397</v>
      </c>
      <c r="Q396" s="26" t="s">
        <v>4398</v>
      </c>
      <c r="R396" s="26" t="s">
        <v>3991</v>
      </c>
      <c r="S396" s="26" t="str">
        <f t="shared" si="96"/>
        <v>กลุ่มงานการพยาบาลผู้ป่วยนอก</v>
      </c>
      <c r="T396" s="26" t="s">
        <v>4887</v>
      </c>
      <c r="U396" s="26" t="s">
        <v>1302</v>
      </c>
      <c r="V396" s="25">
        <v>2.0</v>
      </c>
      <c r="W396" s="26" t="s">
        <v>3991</v>
      </c>
      <c r="X396" s="98" t="s">
        <v>1312</v>
      </c>
      <c r="Y396" s="31">
        <v>5.0</v>
      </c>
      <c r="Z396" s="31">
        <v>8.0</v>
      </c>
      <c r="AA396" s="31">
        <v>139.0</v>
      </c>
      <c r="AB396" s="31">
        <v>160.0</v>
      </c>
      <c r="AC396" s="32">
        <v>1.0</v>
      </c>
      <c r="AD396" s="26"/>
      <c r="AE396" s="26"/>
      <c r="AF396" s="32">
        <v>47.0</v>
      </c>
      <c r="AG396" s="33">
        <v>1.500700135581E12</v>
      </c>
      <c r="AH396" s="33" t="s">
        <v>3089</v>
      </c>
      <c r="AI396" s="40">
        <v>232115.0</v>
      </c>
    </row>
    <row r="397" ht="38.25" hidden="1" customHeight="1">
      <c r="A397" s="32">
        <v>394.0</v>
      </c>
      <c r="B397" s="26" t="s">
        <v>2692</v>
      </c>
      <c r="C397" s="26" t="s">
        <v>5199</v>
      </c>
      <c r="D397" s="26" t="s">
        <v>5200</v>
      </c>
      <c r="E397" s="26" t="s">
        <v>5114</v>
      </c>
      <c r="F397" s="26" t="s">
        <v>5114</v>
      </c>
      <c r="G397" s="27" t="s">
        <v>1110</v>
      </c>
      <c r="H397" s="27" t="s">
        <v>1110</v>
      </c>
      <c r="I397" s="28" t="s">
        <v>5201</v>
      </c>
      <c r="J397" s="29" t="s">
        <v>3949</v>
      </c>
      <c r="K397" s="26" t="s">
        <v>4214</v>
      </c>
      <c r="L397" s="25">
        <v>2.0</v>
      </c>
      <c r="M397" s="27" t="s">
        <v>1137</v>
      </c>
      <c r="N397" s="166" t="s">
        <v>1174</v>
      </c>
      <c r="O397" s="26" t="s">
        <v>4789</v>
      </c>
      <c r="P397" s="26" t="s">
        <v>4886</v>
      </c>
      <c r="Q397" s="26" t="s">
        <v>4887</v>
      </c>
      <c r="R397" s="26" t="s">
        <v>3991</v>
      </c>
      <c r="S397" s="26" t="str">
        <f t="shared" si="96"/>
        <v>กลุ่มงานการพยาบาลผู้ป่วยนอก</v>
      </c>
      <c r="T397" s="26" t="s">
        <v>4887</v>
      </c>
      <c r="U397" s="26" t="s">
        <v>1302</v>
      </c>
      <c r="V397" s="25">
        <v>2.0</v>
      </c>
      <c r="W397" s="26" t="s">
        <v>3991</v>
      </c>
      <c r="X397" s="98" t="s">
        <v>1312</v>
      </c>
      <c r="Y397" s="31">
        <v>12.0</v>
      </c>
      <c r="Z397" s="31">
        <v>17.0</v>
      </c>
      <c r="AA397" s="31">
        <v>139.0</v>
      </c>
      <c r="AB397" s="31">
        <v>160.0</v>
      </c>
      <c r="AC397" s="32">
        <v>1.0</v>
      </c>
      <c r="AD397" s="26"/>
      <c r="AE397" s="26"/>
      <c r="AF397" s="32">
        <v>47.0</v>
      </c>
      <c r="AG397" s="37">
        <v>2.560101039591E12</v>
      </c>
      <c r="AH397" s="61"/>
      <c r="AI397" s="38" t="s">
        <v>5202</v>
      </c>
    </row>
    <row r="398" ht="38.25" hidden="1" customHeight="1">
      <c r="A398" s="25">
        <v>395.0</v>
      </c>
      <c r="B398" s="26" t="s">
        <v>1037</v>
      </c>
      <c r="C398" s="26" t="s">
        <v>5203</v>
      </c>
      <c r="D398" s="26" t="s">
        <v>5204</v>
      </c>
      <c r="E398" s="26" t="s">
        <v>5114</v>
      </c>
      <c r="F398" s="26" t="s">
        <v>5114</v>
      </c>
      <c r="G398" s="27" t="s">
        <v>1110</v>
      </c>
      <c r="H398" s="27" t="s">
        <v>1110</v>
      </c>
      <c r="I398" s="28" t="s">
        <v>5205</v>
      </c>
      <c r="J398" s="29" t="s">
        <v>3949</v>
      </c>
      <c r="K398" s="26" t="s">
        <v>4214</v>
      </c>
      <c r="L398" s="25">
        <v>2.0</v>
      </c>
      <c r="M398" s="27" t="s">
        <v>1137</v>
      </c>
      <c r="N398" s="166" t="s">
        <v>1174</v>
      </c>
      <c r="O398" s="26" t="s">
        <v>4396</v>
      </c>
      <c r="P398" s="26" t="s">
        <v>4397</v>
      </c>
      <c r="Q398" s="26" t="s">
        <v>4398</v>
      </c>
      <c r="R398" s="26" t="s">
        <v>3991</v>
      </c>
      <c r="S398" s="26" t="str">
        <f t="shared" si="96"/>
        <v>กลุ่มงานการพยาบาลผู้ป่วยอุบัติเหตุและฉุกเฉิน</v>
      </c>
      <c r="T398" s="26" t="s">
        <v>4398</v>
      </c>
      <c r="U398" s="26" t="s">
        <v>1302</v>
      </c>
      <c r="V398" s="25">
        <v>1.0</v>
      </c>
      <c r="W398" s="26" t="s">
        <v>3991</v>
      </c>
      <c r="X398" s="98" t="s">
        <v>1312</v>
      </c>
      <c r="Y398" s="31">
        <v>5.0</v>
      </c>
      <c r="Z398" s="31">
        <v>8.0</v>
      </c>
      <c r="AA398" s="31">
        <v>139.0</v>
      </c>
      <c r="AB398" s="31">
        <v>160.0</v>
      </c>
      <c r="AC398" s="32">
        <v>1.0</v>
      </c>
      <c r="AD398" s="26"/>
      <c r="AE398" s="26"/>
      <c r="AF398" s="32">
        <v>47.0</v>
      </c>
      <c r="AG398" s="33">
        <v>1.529900533759E12</v>
      </c>
      <c r="AH398" s="33" t="s">
        <v>1816</v>
      </c>
      <c r="AI398" s="40">
        <v>231819.0</v>
      </c>
    </row>
    <row r="399" ht="38.25" hidden="1" customHeight="1">
      <c r="A399" s="32">
        <v>396.0</v>
      </c>
      <c r="B399" s="26" t="s">
        <v>1037</v>
      </c>
      <c r="C399" s="26" t="s">
        <v>5094</v>
      </c>
      <c r="D399" s="26" t="s">
        <v>5206</v>
      </c>
      <c r="E399" s="26" t="s">
        <v>5114</v>
      </c>
      <c r="F399" s="26" t="s">
        <v>5114</v>
      </c>
      <c r="G399" s="27" t="s">
        <v>1110</v>
      </c>
      <c r="H399" s="27" t="s">
        <v>1110</v>
      </c>
      <c r="I399" s="28" t="s">
        <v>5207</v>
      </c>
      <c r="J399" s="29" t="s">
        <v>3949</v>
      </c>
      <c r="K399" s="26" t="s">
        <v>4214</v>
      </c>
      <c r="L399" s="25">
        <v>2.0</v>
      </c>
      <c r="M399" s="27" t="s">
        <v>1137</v>
      </c>
      <c r="N399" s="166" t="s">
        <v>1174</v>
      </c>
      <c r="O399" s="26" t="s">
        <v>4904</v>
      </c>
      <c r="P399" s="26" t="s">
        <v>4905</v>
      </c>
      <c r="Q399" s="26" t="s">
        <v>4874</v>
      </c>
      <c r="R399" s="26" t="s">
        <v>3991</v>
      </c>
      <c r="S399" s="26" t="str">
        <f t="shared" si="96"/>
        <v>กลุ่มงานการพยาบาลผู้ป่วยอายุรกรรม</v>
      </c>
      <c r="T399" s="26" t="s">
        <v>4874</v>
      </c>
      <c r="U399" s="26" t="s">
        <v>1302</v>
      </c>
      <c r="V399" s="25">
        <v>7.0</v>
      </c>
      <c r="W399" s="26" t="s">
        <v>3991</v>
      </c>
      <c r="X399" s="98" t="s">
        <v>1312</v>
      </c>
      <c r="Y399" s="31">
        <v>6.0</v>
      </c>
      <c r="Z399" s="31">
        <v>16.0</v>
      </c>
      <c r="AA399" s="31">
        <v>139.0</v>
      </c>
      <c r="AB399" s="31">
        <v>160.0</v>
      </c>
      <c r="AC399" s="32">
        <v>1.0</v>
      </c>
      <c r="AD399" s="26"/>
      <c r="AE399" s="26"/>
      <c r="AF399" s="32">
        <v>47.0</v>
      </c>
      <c r="AG399" s="33">
        <v>1.630500189181E12</v>
      </c>
      <c r="AH399" s="46"/>
      <c r="AI399" s="40">
        <v>236354.0</v>
      </c>
    </row>
    <row r="400" ht="38.25" hidden="1" customHeight="1">
      <c r="A400" s="25">
        <v>397.0</v>
      </c>
      <c r="B400" s="26" t="s">
        <v>1037</v>
      </c>
      <c r="C400" s="26" t="s">
        <v>5208</v>
      </c>
      <c r="D400" s="26" t="s">
        <v>5209</v>
      </c>
      <c r="E400" s="26" t="s">
        <v>5114</v>
      </c>
      <c r="F400" s="26" t="s">
        <v>5114</v>
      </c>
      <c r="G400" s="27" t="s">
        <v>1110</v>
      </c>
      <c r="H400" s="27" t="s">
        <v>1110</v>
      </c>
      <c r="I400" s="28" t="s">
        <v>5210</v>
      </c>
      <c r="J400" s="29" t="s">
        <v>3949</v>
      </c>
      <c r="K400" s="26" t="s">
        <v>4214</v>
      </c>
      <c r="L400" s="25">
        <v>2.0</v>
      </c>
      <c r="M400" s="27" t="s">
        <v>1137</v>
      </c>
      <c r="N400" s="166" t="s">
        <v>1174</v>
      </c>
      <c r="O400" s="26" t="s">
        <v>4937</v>
      </c>
      <c r="P400" s="26" t="s">
        <v>4938</v>
      </c>
      <c r="Q400" s="26" t="s">
        <v>4939</v>
      </c>
      <c r="R400" s="26" t="s">
        <v>3991</v>
      </c>
      <c r="S400" s="26" t="str">
        <f t="shared" si="96"/>
        <v>กลุ่มงานการพยาบาลผู้ป่วยโสต ศอ นาสิก จักษุ</v>
      </c>
      <c r="T400" s="26" t="s">
        <v>4939</v>
      </c>
      <c r="U400" s="26" t="s">
        <v>1302</v>
      </c>
      <c r="V400" s="25">
        <v>13.0</v>
      </c>
      <c r="W400" s="26" t="s">
        <v>3991</v>
      </c>
      <c r="X400" s="98" t="s">
        <v>1312</v>
      </c>
      <c r="Y400" s="31">
        <v>5.0</v>
      </c>
      <c r="Z400" s="31">
        <v>8.0</v>
      </c>
      <c r="AA400" s="31">
        <v>139.0</v>
      </c>
      <c r="AB400" s="31">
        <v>160.0</v>
      </c>
      <c r="AC400" s="32">
        <v>1.0</v>
      </c>
      <c r="AD400" s="26"/>
      <c r="AE400" s="26"/>
      <c r="AF400" s="32">
        <v>47.0</v>
      </c>
      <c r="AG400" s="33">
        <v>1.500801098835E12</v>
      </c>
      <c r="AH400" s="46"/>
      <c r="AI400" s="40">
        <v>236531.0</v>
      </c>
    </row>
    <row r="401" ht="38.25" hidden="1" customHeight="1">
      <c r="A401" s="25">
        <v>398.0</v>
      </c>
      <c r="B401" s="26" t="s">
        <v>1037</v>
      </c>
      <c r="C401" s="26" t="s">
        <v>5211</v>
      </c>
      <c r="D401" s="26" t="s">
        <v>5212</v>
      </c>
      <c r="E401" s="26" t="s">
        <v>5114</v>
      </c>
      <c r="F401" s="26" t="s">
        <v>5114</v>
      </c>
      <c r="G401" s="27" t="s">
        <v>1110</v>
      </c>
      <c r="H401" s="27" t="s">
        <v>1110</v>
      </c>
      <c r="I401" s="28" t="s">
        <v>5213</v>
      </c>
      <c r="J401" s="29" t="s">
        <v>3949</v>
      </c>
      <c r="K401" s="26" t="s">
        <v>4214</v>
      </c>
      <c r="L401" s="25">
        <v>2.0</v>
      </c>
      <c r="M401" s="27" t="s">
        <v>1137</v>
      </c>
      <c r="N401" s="165" t="s">
        <v>3981</v>
      </c>
      <c r="O401" s="26" t="s">
        <v>4027</v>
      </c>
      <c r="P401" s="26" t="s">
        <v>4027</v>
      </c>
      <c r="Q401" s="26" t="s">
        <v>4028</v>
      </c>
      <c r="R401" s="26" t="s">
        <v>3991</v>
      </c>
      <c r="S401" s="26" t="str">
        <f t="shared" si="96"/>
        <v>กลุ่มงานการพยาบาลผู้ป่วยหนัก</v>
      </c>
      <c r="T401" s="26" t="s">
        <v>4959</v>
      </c>
      <c r="U401" s="26" t="s">
        <v>1302</v>
      </c>
      <c r="V401" s="25">
        <v>15.0</v>
      </c>
      <c r="W401" s="26" t="s">
        <v>3991</v>
      </c>
      <c r="X401" s="98" t="s">
        <v>1312</v>
      </c>
      <c r="Y401" s="31">
        <v>7.0</v>
      </c>
      <c r="Z401" s="31">
        <v>9.0</v>
      </c>
      <c r="AA401" s="31">
        <v>139.0</v>
      </c>
      <c r="AB401" s="31">
        <v>160.0</v>
      </c>
      <c r="AC401" s="32">
        <v>1.0</v>
      </c>
      <c r="AD401" s="26"/>
      <c r="AE401" s="26"/>
      <c r="AF401" s="32">
        <v>47.0</v>
      </c>
      <c r="AG401" s="33">
        <v>1.580401272803E12</v>
      </c>
      <c r="AH401" s="33" t="s">
        <v>915</v>
      </c>
      <c r="AI401" s="34" t="s">
        <v>5214</v>
      </c>
    </row>
    <row r="402" ht="38.25" hidden="1" customHeight="1">
      <c r="A402" s="32">
        <v>399.0</v>
      </c>
      <c r="B402" s="26" t="s">
        <v>2692</v>
      </c>
      <c r="C402" s="26" t="s">
        <v>5215</v>
      </c>
      <c r="D402" s="26" t="s">
        <v>5216</v>
      </c>
      <c r="E402" s="26" t="s">
        <v>5114</v>
      </c>
      <c r="F402" s="26" t="s">
        <v>5114</v>
      </c>
      <c r="G402" s="27" t="s">
        <v>1110</v>
      </c>
      <c r="H402" s="27" t="s">
        <v>1110</v>
      </c>
      <c r="I402" s="28" t="s">
        <v>5217</v>
      </c>
      <c r="J402" s="29" t="s">
        <v>3949</v>
      </c>
      <c r="K402" s="26" t="s">
        <v>4214</v>
      </c>
      <c r="L402" s="25">
        <v>2.0</v>
      </c>
      <c r="M402" s="27" t="s">
        <v>1137</v>
      </c>
      <c r="N402" s="166" t="s">
        <v>1174</v>
      </c>
      <c r="O402" s="26" t="s">
        <v>5182</v>
      </c>
      <c r="P402" s="26" t="s">
        <v>5183</v>
      </c>
      <c r="Q402" s="26" t="s">
        <v>5184</v>
      </c>
      <c r="R402" s="26" t="s">
        <v>3991</v>
      </c>
      <c r="S402" s="26" t="str">
        <f t="shared" si="96"/>
        <v>กลุ่มงานการพยาบาลผู้ป่วยห้องผ่าตัด</v>
      </c>
      <c r="T402" s="26" t="s">
        <v>5184</v>
      </c>
      <c r="U402" s="26" t="s">
        <v>1302</v>
      </c>
      <c r="V402" s="25">
        <v>5.0</v>
      </c>
      <c r="W402" s="26" t="s">
        <v>3991</v>
      </c>
      <c r="X402" s="98" t="s">
        <v>1312</v>
      </c>
      <c r="Y402" s="31">
        <v>8.0</v>
      </c>
      <c r="Z402" s="31">
        <v>9.0</v>
      </c>
      <c r="AA402" s="31">
        <v>139.0</v>
      </c>
      <c r="AB402" s="31">
        <v>160.0</v>
      </c>
      <c r="AC402" s="32">
        <v>1.0</v>
      </c>
      <c r="AD402" s="26"/>
      <c r="AE402" s="26"/>
      <c r="AF402" s="32">
        <v>47.0</v>
      </c>
      <c r="AG402" s="33">
        <v>1.508500009784E12</v>
      </c>
      <c r="AH402" s="46"/>
      <c r="AI402" s="34" t="s">
        <v>5218</v>
      </c>
    </row>
    <row r="403" ht="38.25" hidden="1" customHeight="1">
      <c r="A403" s="25">
        <v>400.0</v>
      </c>
      <c r="B403" s="26" t="s">
        <v>1037</v>
      </c>
      <c r="C403" s="26" t="s">
        <v>5219</v>
      </c>
      <c r="D403" s="26" t="s">
        <v>5220</v>
      </c>
      <c r="E403" s="26" t="s">
        <v>5114</v>
      </c>
      <c r="F403" s="26" t="s">
        <v>5114</v>
      </c>
      <c r="G403" s="27" t="s">
        <v>1110</v>
      </c>
      <c r="H403" s="27" t="s">
        <v>1110</v>
      </c>
      <c r="I403" s="28" t="s">
        <v>5221</v>
      </c>
      <c r="J403" s="29" t="s">
        <v>3949</v>
      </c>
      <c r="K403" s="26" t="s">
        <v>4214</v>
      </c>
      <c r="L403" s="25">
        <v>2.0</v>
      </c>
      <c r="M403" s="27" t="s">
        <v>1137</v>
      </c>
      <c r="N403" s="166" t="s">
        <v>1174</v>
      </c>
      <c r="O403" s="26" t="s">
        <v>4872</v>
      </c>
      <c r="P403" s="26" t="s">
        <v>4873</v>
      </c>
      <c r="Q403" s="26" t="s">
        <v>4874</v>
      </c>
      <c r="R403" s="26" t="s">
        <v>3991</v>
      </c>
      <c r="S403" s="26" t="str">
        <f t="shared" si="96"/>
        <v>กลุ่มงานการพยาบาลผู้ป่วยอายุรกรรม</v>
      </c>
      <c r="T403" s="26" t="s">
        <v>4874</v>
      </c>
      <c r="U403" s="26" t="s">
        <v>1302</v>
      </c>
      <c r="V403" s="25">
        <v>7.0</v>
      </c>
      <c r="W403" s="26" t="s">
        <v>3991</v>
      </c>
      <c r="X403" s="98" t="s">
        <v>1312</v>
      </c>
      <c r="Y403" s="31">
        <v>6.0</v>
      </c>
      <c r="Z403" s="31">
        <v>16.0</v>
      </c>
      <c r="AA403" s="31">
        <v>139.0</v>
      </c>
      <c r="AB403" s="31">
        <v>160.0</v>
      </c>
      <c r="AC403" s="32">
        <v>1.0</v>
      </c>
      <c r="AD403" s="26"/>
      <c r="AE403" s="26"/>
      <c r="AF403" s="32">
        <v>47.0</v>
      </c>
      <c r="AG403" s="33">
        <v>1.577900000571E12</v>
      </c>
      <c r="AH403" s="33" t="s">
        <v>1864</v>
      </c>
      <c r="AI403" s="34" t="s">
        <v>5222</v>
      </c>
    </row>
    <row r="404" ht="38.25" hidden="1" customHeight="1">
      <c r="A404" s="25">
        <v>401.0</v>
      </c>
      <c r="B404" s="26" t="s">
        <v>1037</v>
      </c>
      <c r="C404" s="26" t="s">
        <v>5223</v>
      </c>
      <c r="D404" s="26" t="s">
        <v>5224</v>
      </c>
      <c r="E404" s="26" t="s">
        <v>5114</v>
      </c>
      <c r="F404" s="26" t="s">
        <v>5114</v>
      </c>
      <c r="G404" s="27" t="s">
        <v>1110</v>
      </c>
      <c r="H404" s="27" t="s">
        <v>1110</v>
      </c>
      <c r="I404" s="28" t="s">
        <v>5225</v>
      </c>
      <c r="J404" s="29" t="s">
        <v>3949</v>
      </c>
      <c r="K404" s="26" t="s">
        <v>4214</v>
      </c>
      <c r="L404" s="25">
        <v>2.0</v>
      </c>
      <c r="M404" s="27" t="s">
        <v>1137</v>
      </c>
      <c r="N404" s="166" t="s">
        <v>1174</v>
      </c>
      <c r="O404" s="26" t="s">
        <v>4877</v>
      </c>
      <c r="P404" s="26" t="s">
        <v>4878</v>
      </c>
      <c r="Q404" s="26" t="s">
        <v>4874</v>
      </c>
      <c r="R404" s="26" t="s">
        <v>3991</v>
      </c>
      <c r="S404" s="26" t="str">
        <f t="shared" si="96"/>
        <v>กลุ่มงานการพยาบาลผู้ป่วยออร์โธปิดิกส์</v>
      </c>
      <c r="T404" s="26" t="s">
        <v>4869</v>
      </c>
      <c r="U404" s="26" t="s">
        <v>1302</v>
      </c>
      <c r="V404" s="25">
        <v>7.0</v>
      </c>
      <c r="W404" s="26" t="s">
        <v>3991</v>
      </c>
      <c r="X404" s="98" t="s">
        <v>1312</v>
      </c>
      <c r="Y404" s="31">
        <v>6.0</v>
      </c>
      <c r="Z404" s="31">
        <v>16.0</v>
      </c>
      <c r="AA404" s="31">
        <v>139.0</v>
      </c>
      <c r="AB404" s="31">
        <v>160.0</v>
      </c>
      <c r="AC404" s="32">
        <v>1.0</v>
      </c>
      <c r="AD404" s="26"/>
      <c r="AE404" s="26"/>
      <c r="AF404" s="32">
        <v>47.0</v>
      </c>
      <c r="AG404" s="37">
        <v>1.580401302508E12</v>
      </c>
      <c r="AH404" s="37" t="s">
        <v>562</v>
      </c>
      <c r="AI404" s="38" t="s">
        <v>5226</v>
      </c>
    </row>
    <row r="405" ht="38.25" hidden="1" customHeight="1">
      <c r="A405" s="32">
        <v>402.0</v>
      </c>
      <c r="B405" s="26" t="s">
        <v>1037</v>
      </c>
      <c r="C405" s="26" t="s">
        <v>1049</v>
      </c>
      <c r="D405" s="26" t="s">
        <v>5227</v>
      </c>
      <c r="E405" s="26" t="s">
        <v>5114</v>
      </c>
      <c r="F405" s="26" t="s">
        <v>5114</v>
      </c>
      <c r="G405" s="27" t="s">
        <v>1110</v>
      </c>
      <c r="H405" s="27" t="s">
        <v>1110</v>
      </c>
      <c r="I405" s="28" t="s">
        <v>5228</v>
      </c>
      <c r="J405" s="29" t="s">
        <v>3949</v>
      </c>
      <c r="K405" s="26" t="s">
        <v>4214</v>
      </c>
      <c r="L405" s="25">
        <v>2.0</v>
      </c>
      <c r="M405" s="27" t="s">
        <v>1137</v>
      </c>
      <c r="N405" s="165" t="s">
        <v>3981</v>
      </c>
      <c r="O405" s="26" t="s">
        <v>4867</v>
      </c>
      <c r="P405" s="26" t="s">
        <v>4868</v>
      </c>
      <c r="Q405" s="26" t="s">
        <v>4869</v>
      </c>
      <c r="R405" s="26" t="s">
        <v>3991</v>
      </c>
      <c r="S405" s="26" t="str">
        <f t="shared" si="96"/>
        <v>กลุ่มงานการพยาบาลผู้ป่วยออร์โธปิดิกส์</v>
      </c>
      <c r="T405" s="26" t="s">
        <v>4869</v>
      </c>
      <c r="U405" s="26" t="s">
        <v>1302</v>
      </c>
      <c r="V405" s="25">
        <v>12.0</v>
      </c>
      <c r="W405" s="26" t="s">
        <v>3991</v>
      </c>
      <c r="X405" s="98" t="s">
        <v>1312</v>
      </c>
      <c r="Y405" s="31">
        <v>3.0</v>
      </c>
      <c r="Z405" s="31">
        <v>5.0</v>
      </c>
      <c r="AA405" s="31">
        <v>139.0</v>
      </c>
      <c r="AB405" s="31">
        <v>160.0</v>
      </c>
      <c r="AC405" s="32">
        <v>1.0</v>
      </c>
      <c r="AD405" s="26"/>
      <c r="AE405" s="26"/>
      <c r="AF405" s="32">
        <v>47.0</v>
      </c>
      <c r="AG405" s="37">
        <v>1.401300078396E12</v>
      </c>
      <c r="AH405" s="61"/>
      <c r="AI405" s="44">
        <v>235380.0</v>
      </c>
    </row>
    <row r="406" ht="38.25" hidden="1" customHeight="1">
      <c r="A406" s="25">
        <v>403.0</v>
      </c>
      <c r="B406" s="26" t="s">
        <v>1037</v>
      </c>
      <c r="C406" s="26" t="s">
        <v>5229</v>
      </c>
      <c r="D406" s="26" t="s">
        <v>5230</v>
      </c>
      <c r="E406" s="26" t="s">
        <v>5114</v>
      </c>
      <c r="F406" s="26" t="s">
        <v>5114</v>
      </c>
      <c r="G406" s="27" t="s">
        <v>1110</v>
      </c>
      <c r="H406" s="27" t="s">
        <v>1110</v>
      </c>
      <c r="I406" s="28" t="s">
        <v>5231</v>
      </c>
      <c r="J406" s="29" t="s">
        <v>3949</v>
      </c>
      <c r="K406" s="26" t="s">
        <v>4214</v>
      </c>
      <c r="L406" s="25">
        <v>2.0</v>
      </c>
      <c r="M406" s="27" t="s">
        <v>1137</v>
      </c>
      <c r="N406" s="166" t="s">
        <v>1174</v>
      </c>
      <c r="O406" s="26" t="s">
        <v>5153</v>
      </c>
      <c r="P406" s="26" t="s">
        <v>5154</v>
      </c>
      <c r="Q406" s="26" t="s">
        <v>4959</v>
      </c>
      <c r="R406" s="26" t="s">
        <v>3991</v>
      </c>
      <c r="S406" s="26" t="str">
        <f t="shared" si="96"/>
        <v>กลุ่มงานการพยาบาลผู้ป่วยหนัก</v>
      </c>
      <c r="T406" s="26" t="s">
        <v>4959</v>
      </c>
      <c r="U406" s="26" t="s">
        <v>1302</v>
      </c>
      <c r="V406" s="25">
        <v>3.0</v>
      </c>
      <c r="W406" s="26" t="s">
        <v>3991</v>
      </c>
      <c r="X406" s="98" t="s">
        <v>1312</v>
      </c>
      <c r="Y406" s="31">
        <v>10.0</v>
      </c>
      <c r="Z406" s="31">
        <v>12.0</v>
      </c>
      <c r="AA406" s="31">
        <v>139.0</v>
      </c>
      <c r="AB406" s="31">
        <v>160.0</v>
      </c>
      <c r="AC406" s="32">
        <v>1.0</v>
      </c>
      <c r="AD406" s="26"/>
      <c r="AE406" s="26"/>
      <c r="AF406" s="32">
        <v>47.0</v>
      </c>
      <c r="AG406" s="37">
        <v>1.749900787198E12</v>
      </c>
      <c r="AH406" s="61"/>
      <c r="AI406" s="38" t="s">
        <v>5232</v>
      </c>
    </row>
    <row r="407" ht="38.25" hidden="1" customHeight="1">
      <c r="A407" s="25">
        <v>404.0</v>
      </c>
      <c r="B407" s="26" t="s">
        <v>1037</v>
      </c>
      <c r="C407" s="26" t="s">
        <v>5233</v>
      </c>
      <c r="D407" s="26" t="s">
        <v>5234</v>
      </c>
      <c r="E407" s="26" t="s">
        <v>5114</v>
      </c>
      <c r="F407" s="26" t="s">
        <v>5114</v>
      </c>
      <c r="G407" s="27" t="s">
        <v>1110</v>
      </c>
      <c r="H407" s="27" t="s">
        <v>1110</v>
      </c>
      <c r="I407" s="28" t="s">
        <v>5235</v>
      </c>
      <c r="J407" s="29" t="s">
        <v>3949</v>
      </c>
      <c r="K407" s="26" t="s">
        <v>4214</v>
      </c>
      <c r="L407" s="25">
        <v>2.0</v>
      </c>
      <c r="M407" s="27" t="s">
        <v>1137</v>
      </c>
      <c r="N407" s="166" t="s">
        <v>1174</v>
      </c>
      <c r="O407" s="26" t="s">
        <v>4027</v>
      </c>
      <c r="P407" s="26" t="s">
        <v>4027</v>
      </c>
      <c r="Q407" s="26" t="s">
        <v>4028</v>
      </c>
      <c r="R407" s="26" t="s">
        <v>3991</v>
      </c>
      <c r="S407" s="26" t="str">
        <f t="shared" si="96"/>
        <v>กลุ่มงานการพยาบาลตรวจรักษาพิเศษ</v>
      </c>
      <c r="T407" s="26" t="s">
        <v>4028</v>
      </c>
      <c r="U407" s="26" t="s">
        <v>1302</v>
      </c>
      <c r="V407" s="25">
        <v>15.0</v>
      </c>
      <c r="W407" s="26" t="s">
        <v>3991</v>
      </c>
      <c r="X407" s="98" t="s">
        <v>1312</v>
      </c>
      <c r="Y407" s="31">
        <v>7.0</v>
      </c>
      <c r="Z407" s="31">
        <v>9.0</v>
      </c>
      <c r="AA407" s="31">
        <v>139.0</v>
      </c>
      <c r="AB407" s="31">
        <v>160.0</v>
      </c>
      <c r="AC407" s="32">
        <v>1.0</v>
      </c>
      <c r="AD407" s="26"/>
      <c r="AE407" s="26"/>
      <c r="AF407" s="32">
        <v>47.0</v>
      </c>
      <c r="AG407" s="37">
        <v>1.580200087197E12</v>
      </c>
      <c r="AH407" s="61"/>
      <c r="AI407" s="44">
        <v>234641.0</v>
      </c>
    </row>
    <row r="408" ht="38.25" hidden="1" customHeight="1">
      <c r="A408" s="25">
        <v>405.0</v>
      </c>
      <c r="B408" s="26" t="s">
        <v>1037</v>
      </c>
      <c r="C408" s="26" t="s">
        <v>5236</v>
      </c>
      <c r="D408" s="26" t="s">
        <v>5234</v>
      </c>
      <c r="E408" s="26" t="s">
        <v>5114</v>
      </c>
      <c r="F408" s="26" t="s">
        <v>5114</v>
      </c>
      <c r="G408" s="27" t="s">
        <v>1110</v>
      </c>
      <c r="H408" s="27" t="s">
        <v>1110</v>
      </c>
      <c r="I408" s="28" t="s">
        <v>5237</v>
      </c>
      <c r="J408" s="29" t="s">
        <v>3949</v>
      </c>
      <c r="K408" s="26" t="s">
        <v>4214</v>
      </c>
      <c r="L408" s="25">
        <v>2.0</v>
      </c>
      <c r="M408" s="27" t="s">
        <v>1137</v>
      </c>
      <c r="N408" s="166" t="s">
        <v>1174</v>
      </c>
      <c r="O408" s="26" t="s">
        <v>4904</v>
      </c>
      <c r="P408" s="26" t="s">
        <v>4905</v>
      </c>
      <c r="Q408" s="26" t="s">
        <v>4874</v>
      </c>
      <c r="R408" s="26" t="s">
        <v>3991</v>
      </c>
      <c r="S408" s="26" t="str">
        <f t="shared" si="96"/>
        <v>กลุ่มงานการพยาบาลผู้ป่วยอายุรกรรม</v>
      </c>
      <c r="T408" s="26" t="s">
        <v>4874</v>
      </c>
      <c r="U408" s="26" t="s">
        <v>1302</v>
      </c>
      <c r="V408" s="25">
        <v>7.0</v>
      </c>
      <c r="W408" s="26" t="s">
        <v>3991</v>
      </c>
      <c r="X408" s="98" t="s">
        <v>1312</v>
      </c>
      <c r="Y408" s="31">
        <v>6.0</v>
      </c>
      <c r="Z408" s="31">
        <v>16.0</v>
      </c>
      <c r="AA408" s="31">
        <v>139.0</v>
      </c>
      <c r="AB408" s="31">
        <v>160.0</v>
      </c>
      <c r="AC408" s="32">
        <v>1.0</v>
      </c>
      <c r="AD408" s="26"/>
      <c r="AE408" s="26"/>
      <c r="AF408" s="32">
        <v>47.0</v>
      </c>
      <c r="AG408" s="37">
        <v>1.580200084058E12</v>
      </c>
      <c r="AH408" s="37" t="s">
        <v>2505</v>
      </c>
      <c r="AI408" s="44">
        <v>234038.0</v>
      </c>
    </row>
    <row r="409" ht="38.25" hidden="1" customHeight="1">
      <c r="A409" s="32">
        <v>406.0</v>
      </c>
      <c r="B409" s="26" t="s">
        <v>1037</v>
      </c>
      <c r="C409" s="26" t="s">
        <v>5238</v>
      </c>
      <c r="D409" s="26" t="s">
        <v>5239</v>
      </c>
      <c r="E409" s="26" t="s">
        <v>5114</v>
      </c>
      <c r="F409" s="26" t="s">
        <v>5114</v>
      </c>
      <c r="G409" s="27" t="s">
        <v>1110</v>
      </c>
      <c r="H409" s="27" t="s">
        <v>1110</v>
      </c>
      <c r="I409" s="28" t="s">
        <v>5240</v>
      </c>
      <c r="J409" s="29" t="s">
        <v>3949</v>
      </c>
      <c r="K409" s="26" t="s">
        <v>4214</v>
      </c>
      <c r="L409" s="25">
        <v>2.0</v>
      </c>
      <c r="M409" s="27" t="s">
        <v>1137</v>
      </c>
      <c r="N409" s="165" t="s">
        <v>3981</v>
      </c>
      <c r="O409" s="26" t="s">
        <v>4904</v>
      </c>
      <c r="P409" s="26" t="s">
        <v>4905</v>
      </c>
      <c r="Q409" s="26" t="s">
        <v>4874</v>
      </c>
      <c r="R409" s="26" t="s">
        <v>3991</v>
      </c>
      <c r="S409" s="26" t="str">
        <f t="shared" si="96"/>
        <v>กลุ่มงานการพยาบาลผู้ป่วยสูติ - นรีเวช</v>
      </c>
      <c r="T409" s="26" t="s">
        <v>4920</v>
      </c>
      <c r="U409" s="26" t="s">
        <v>1302</v>
      </c>
      <c r="V409" s="25">
        <v>7.0</v>
      </c>
      <c r="W409" s="26" t="s">
        <v>3991</v>
      </c>
      <c r="X409" s="98" t="s">
        <v>1312</v>
      </c>
      <c r="Y409" s="31">
        <v>6.0</v>
      </c>
      <c r="Z409" s="31">
        <v>9.0</v>
      </c>
      <c r="AA409" s="31">
        <v>139.0</v>
      </c>
      <c r="AB409" s="31">
        <v>160.0</v>
      </c>
      <c r="AC409" s="32">
        <v>1.0</v>
      </c>
      <c r="AD409" s="26"/>
      <c r="AE409" s="26"/>
      <c r="AF409" s="32">
        <v>47.0</v>
      </c>
      <c r="AG409" s="33">
        <v>1.580401307178E12</v>
      </c>
      <c r="AH409" s="33" t="s">
        <v>575</v>
      </c>
      <c r="AI409" s="34" t="s">
        <v>5241</v>
      </c>
    </row>
    <row r="410" ht="38.25" hidden="1" customHeight="1">
      <c r="A410" s="25">
        <v>407.0</v>
      </c>
      <c r="B410" s="26" t="s">
        <v>1037</v>
      </c>
      <c r="C410" s="26" t="s">
        <v>5242</v>
      </c>
      <c r="D410" s="26" t="s">
        <v>5243</v>
      </c>
      <c r="E410" s="26" t="s">
        <v>5114</v>
      </c>
      <c r="F410" s="26" t="s">
        <v>5114</v>
      </c>
      <c r="G410" s="27" t="s">
        <v>1110</v>
      </c>
      <c r="H410" s="27" t="s">
        <v>1110</v>
      </c>
      <c r="I410" s="28" t="s">
        <v>5244</v>
      </c>
      <c r="J410" s="29" t="s">
        <v>3949</v>
      </c>
      <c r="K410" s="26" t="s">
        <v>4214</v>
      </c>
      <c r="L410" s="25">
        <v>2.0</v>
      </c>
      <c r="M410" s="27" t="s">
        <v>1137</v>
      </c>
      <c r="N410" s="166" t="s">
        <v>1174</v>
      </c>
      <c r="O410" s="26" t="s">
        <v>4904</v>
      </c>
      <c r="P410" s="26" t="s">
        <v>4905</v>
      </c>
      <c r="Q410" s="26" t="s">
        <v>4874</v>
      </c>
      <c r="R410" s="26" t="s">
        <v>3991</v>
      </c>
      <c r="S410" s="26" t="str">
        <f t="shared" si="96"/>
        <v>กลุ่มงานการพยาบาลผู้ป่วยอายุรกรรม</v>
      </c>
      <c r="T410" s="26" t="s">
        <v>4874</v>
      </c>
      <c r="U410" s="26" t="s">
        <v>1302</v>
      </c>
      <c r="V410" s="25">
        <v>7.0</v>
      </c>
      <c r="W410" s="26" t="s">
        <v>3991</v>
      </c>
      <c r="X410" s="98" t="s">
        <v>1312</v>
      </c>
      <c r="Y410" s="31">
        <v>6.0</v>
      </c>
      <c r="Z410" s="31">
        <v>16.0</v>
      </c>
      <c r="AA410" s="31">
        <v>139.0</v>
      </c>
      <c r="AB410" s="31">
        <v>160.0</v>
      </c>
      <c r="AC410" s="32">
        <v>1.0</v>
      </c>
      <c r="AD410" s="26"/>
      <c r="AE410" s="26"/>
      <c r="AF410" s="32">
        <v>47.0</v>
      </c>
      <c r="AG410" s="37">
        <v>1.500100073046E12</v>
      </c>
      <c r="AH410" s="37" t="s">
        <v>1772</v>
      </c>
      <c r="AI410" s="38" t="s">
        <v>5245</v>
      </c>
    </row>
    <row r="411" ht="38.25" hidden="1" customHeight="1">
      <c r="A411" s="25">
        <v>408.0</v>
      </c>
      <c r="B411" s="26" t="s">
        <v>1037</v>
      </c>
      <c r="C411" s="26" t="s">
        <v>4300</v>
      </c>
      <c r="D411" s="26" t="s">
        <v>5246</v>
      </c>
      <c r="E411" s="26" t="s">
        <v>5114</v>
      </c>
      <c r="F411" s="26" t="s">
        <v>5114</v>
      </c>
      <c r="G411" s="27" t="s">
        <v>1110</v>
      </c>
      <c r="H411" s="27" t="s">
        <v>1110</v>
      </c>
      <c r="I411" s="28" t="s">
        <v>5247</v>
      </c>
      <c r="J411" s="29" t="s">
        <v>3949</v>
      </c>
      <c r="K411" s="26" t="s">
        <v>4214</v>
      </c>
      <c r="L411" s="25">
        <v>2.0</v>
      </c>
      <c r="M411" s="27" t="s">
        <v>1137</v>
      </c>
      <c r="N411" s="166" t="s">
        <v>1174</v>
      </c>
      <c r="O411" s="26" t="s">
        <v>4867</v>
      </c>
      <c r="P411" s="26" t="s">
        <v>4868</v>
      </c>
      <c r="Q411" s="26" t="s">
        <v>4869</v>
      </c>
      <c r="R411" s="26" t="s">
        <v>3991</v>
      </c>
      <c r="S411" s="26" t="str">
        <f t="shared" si="96"/>
        <v>กลุ่มงานการพยาบาลผู้ป่วยศัลยกรรม</v>
      </c>
      <c r="T411" s="26" t="s">
        <v>4858</v>
      </c>
      <c r="U411" s="26" t="s">
        <v>1302</v>
      </c>
      <c r="V411" s="25">
        <v>12.0</v>
      </c>
      <c r="W411" s="26" t="s">
        <v>3991</v>
      </c>
      <c r="X411" s="98" t="s">
        <v>1312</v>
      </c>
      <c r="Y411" s="31">
        <v>3.0</v>
      </c>
      <c r="Z411" s="31">
        <v>5.0</v>
      </c>
      <c r="AA411" s="31">
        <v>139.0</v>
      </c>
      <c r="AB411" s="31">
        <v>160.0</v>
      </c>
      <c r="AC411" s="32">
        <v>1.0</v>
      </c>
      <c r="AD411" s="26"/>
      <c r="AE411" s="26"/>
      <c r="AF411" s="32">
        <v>47.0</v>
      </c>
      <c r="AG411" s="37">
        <v>1.500801098215E12</v>
      </c>
      <c r="AH411" s="37" t="s">
        <v>1767</v>
      </c>
      <c r="AI411" s="44">
        <v>236040.0</v>
      </c>
    </row>
    <row r="412" ht="38.25" hidden="1" customHeight="1">
      <c r="A412" s="32">
        <v>409.0</v>
      </c>
      <c r="B412" s="26" t="s">
        <v>1037</v>
      </c>
      <c r="C412" s="26" t="s">
        <v>5248</v>
      </c>
      <c r="D412" s="26" t="s">
        <v>5249</v>
      </c>
      <c r="E412" s="26" t="s">
        <v>5114</v>
      </c>
      <c r="F412" s="26" t="s">
        <v>5114</v>
      </c>
      <c r="G412" s="27" t="s">
        <v>1110</v>
      </c>
      <c r="H412" s="27" t="s">
        <v>1110</v>
      </c>
      <c r="I412" s="28" t="s">
        <v>5250</v>
      </c>
      <c r="J412" s="29" t="s">
        <v>3949</v>
      </c>
      <c r="K412" s="26" t="s">
        <v>4214</v>
      </c>
      <c r="L412" s="25">
        <v>2.0</v>
      </c>
      <c r="M412" s="27" t="s">
        <v>1137</v>
      </c>
      <c r="N412" s="165" t="s">
        <v>3981</v>
      </c>
      <c r="O412" s="26" t="s">
        <v>4917</v>
      </c>
      <c r="P412" s="26" t="s">
        <v>4918</v>
      </c>
      <c r="Q412" s="26" t="s">
        <v>4919</v>
      </c>
      <c r="R412" s="26" t="s">
        <v>3991</v>
      </c>
      <c r="S412" s="26" t="str">
        <f t="shared" si="96"/>
        <v>กลุ่มงานการพยาบาลผู้ป่วยอุบัติเหตุและฉุกเฉิน</v>
      </c>
      <c r="T412" s="26" t="s">
        <v>4398</v>
      </c>
      <c r="U412" s="26" t="s">
        <v>1302</v>
      </c>
      <c r="V412" s="25">
        <v>9.0</v>
      </c>
      <c r="W412" s="26" t="s">
        <v>3991</v>
      </c>
      <c r="X412" s="98" t="s">
        <v>1312</v>
      </c>
      <c r="Y412" s="31">
        <v>6.0</v>
      </c>
      <c r="Z412" s="31">
        <v>9.0</v>
      </c>
      <c r="AA412" s="31">
        <v>139.0</v>
      </c>
      <c r="AB412" s="31">
        <v>160.0</v>
      </c>
      <c r="AC412" s="32">
        <v>1.0</v>
      </c>
      <c r="AD412" s="26"/>
      <c r="AE412" s="26"/>
      <c r="AF412" s="32">
        <v>47.0</v>
      </c>
      <c r="AG412" s="37">
        <v>1.580500172742E12</v>
      </c>
      <c r="AH412" s="37" t="s">
        <v>1119</v>
      </c>
      <c r="AI412" s="38" t="s">
        <v>5251</v>
      </c>
    </row>
    <row r="413" ht="38.25" hidden="1" customHeight="1">
      <c r="A413" s="25">
        <v>410.0</v>
      </c>
      <c r="B413" s="26" t="s">
        <v>1037</v>
      </c>
      <c r="C413" s="26" t="s">
        <v>1477</v>
      </c>
      <c r="D413" s="26" t="s">
        <v>4207</v>
      </c>
      <c r="E413" s="26" t="s">
        <v>5114</v>
      </c>
      <c r="F413" s="26" t="s">
        <v>5114</v>
      </c>
      <c r="G413" s="27" t="s">
        <v>1110</v>
      </c>
      <c r="H413" s="27" t="s">
        <v>1110</v>
      </c>
      <c r="I413" s="28" t="s">
        <v>5252</v>
      </c>
      <c r="J413" s="29" t="s">
        <v>3949</v>
      </c>
      <c r="K413" s="26" t="s">
        <v>4214</v>
      </c>
      <c r="L413" s="25">
        <v>2.0</v>
      </c>
      <c r="M413" s="27" t="s">
        <v>1137</v>
      </c>
      <c r="N413" s="165" t="s">
        <v>3981</v>
      </c>
      <c r="O413" s="26" t="s">
        <v>4937</v>
      </c>
      <c r="P413" s="26" t="s">
        <v>4938</v>
      </c>
      <c r="Q413" s="26" t="s">
        <v>4939</v>
      </c>
      <c r="R413" s="26" t="s">
        <v>3991</v>
      </c>
      <c r="S413" s="26" t="str">
        <f t="shared" si="96"/>
        <v>กลุ่มงานการพยาบาลผู้ป่วยกุมารเวชกรรม</v>
      </c>
      <c r="T413" s="26" t="s">
        <v>4879</v>
      </c>
      <c r="U413" s="26" t="s">
        <v>1302</v>
      </c>
      <c r="V413" s="25">
        <v>13.0</v>
      </c>
      <c r="W413" s="26" t="s">
        <v>3991</v>
      </c>
      <c r="X413" s="98" t="s">
        <v>1312</v>
      </c>
      <c r="Y413" s="31">
        <v>5.0</v>
      </c>
      <c r="Z413" s="31">
        <v>8.0</v>
      </c>
      <c r="AA413" s="31">
        <v>139.0</v>
      </c>
      <c r="AB413" s="31">
        <v>160.0</v>
      </c>
      <c r="AC413" s="32">
        <v>1.0</v>
      </c>
      <c r="AD413" s="26"/>
      <c r="AE413" s="26"/>
      <c r="AF413" s="32">
        <v>47.0</v>
      </c>
      <c r="AG413" s="37">
        <v>1.50010007249E12</v>
      </c>
      <c r="AH413" s="37" t="s">
        <v>1479</v>
      </c>
      <c r="AI413" s="44">
        <v>231749.0</v>
      </c>
    </row>
    <row r="414" ht="38.25" hidden="1" customHeight="1">
      <c r="A414" s="25">
        <v>411.0</v>
      </c>
      <c r="B414" s="26" t="s">
        <v>1037</v>
      </c>
      <c r="C414" s="26" t="s">
        <v>5253</v>
      </c>
      <c r="D414" s="26" t="s">
        <v>5254</v>
      </c>
      <c r="E414" s="26" t="s">
        <v>5114</v>
      </c>
      <c r="F414" s="26" t="s">
        <v>5114</v>
      </c>
      <c r="G414" s="27" t="s">
        <v>1110</v>
      </c>
      <c r="H414" s="27" t="s">
        <v>1110</v>
      </c>
      <c r="I414" s="28" t="s">
        <v>5255</v>
      </c>
      <c r="J414" s="29" t="s">
        <v>3949</v>
      </c>
      <c r="K414" s="26" t="s">
        <v>4214</v>
      </c>
      <c r="L414" s="25">
        <v>2.0</v>
      </c>
      <c r="M414" s="27" t="s">
        <v>1137</v>
      </c>
      <c r="N414" s="165" t="s">
        <v>3981</v>
      </c>
      <c r="O414" s="26" t="s">
        <v>4944</v>
      </c>
      <c r="P414" s="26" t="s">
        <v>4945</v>
      </c>
      <c r="Q414" s="26" t="s">
        <v>4869</v>
      </c>
      <c r="R414" s="26" t="s">
        <v>3991</v>
      </c>
      <c r="S414" s="26" t="str">
        <f t="shared" si="96"/>
        <v>กลุ่มงานการพยาบาลผู้ป่วยสูติ - นรีเวช</v>
      </c>
      <c r="T414" s="26" t="s">
        <v>4920</v>
      </c>
      <c r="U414" s="26" t="s">
        <v>1302</v>
      </c>
      <c r="V414" s="25">
        <v>12.0</v>
      </c>
      <c r="W414" s="26" t="s">
        <v>3991</v>
      </c>
      <c r="X414" s="98" t="s">
        <v>1312</v>
      </c>
      <c r="Y414" s="31">
        <v>3.0</v>
      </c>
      <c r="Z414" s="31">
        <v>5.0</v>
      </c>
      <c r="AA414" s="31">
        <v>139.0</v>
      </c>
      <c r="AB414" s="31">
        <v>160.0</v>
      </c>
      <c r="AC414" s="32">
        <v>1.0</v>
      </c>
      <c r="AD414" s="26"/>
      <c r="AE414" s="26"/>
      <c r="AF414" s="32">
        <v>47.0</v>
      </c>
      <c r="AG414" s="37">
        <v>1.571100201061E12</v>
      </c>
      <c r="AH414" s="37" t="s">
        <v>1545</v>
      </c>
      <c r="AI414" s="38" t="s">
        <v>5256</v>
      </c>
    </row>
    <row r="415" ht="38.25" hidden="1" customHeight="1">
      <c r="A415" s="32">
        <v>412.0</v>
      </c>
      <c r="B415" s="26" t="s">
        <v>2692</v>
      </c>
      <c r="C415" s="26" t="s">
        <v>5257</v>
      </c>
      <c r="D415" s="26" t="s">
        <v>5258</v>
      </c>
      <c r="E415" s="26" t="s">
        <v>5114</v>
      </c>
      <c r="F415" s="26" t="s">
        <v>5114</v>
      </c>
      <c r="G415" s="27" t="s">
        <v>1110</v>
      </c>
      <c r="H415" s="27" t="s">
        <v>1110</v>
      </c>
      <c r="I415" s="28" t="s">
        <v>5259</v>
      </c>
      <c r="J415" s="29" t="s">
        <v>3949</v>
      </c>
      <c r="K415" s="26" t="s">
        <v>4214</v>
      </c>
      <c r="L415" s="25">
        <v>2.0</v>
      </c>
      <c r="M415" s="27" t="s">
        <v>1137</v>
      </c>
      <c r="N415" s="166" t="s">
        <v>1174</v>
      </c>
      <c r="O415" s="26" t="s">
        <v>5182</v>
      </c>
      <c r="P415" s="26" t="s">
        <v>5183</v>
      </c>
      <c r="Q415" s="26" t="s">
        <v>5184</v>
      </c>
      <c r="R415" s="26" t="s">
        <v>3991</v>
      </c>
      <c r="S415" s="26" t="str">
        <f t="shared" si="96"/>
        <v>กลุ่มงานการพยาบาลผู้ป่วยห้องผ่าตัด</v>
      </c>
      <c r="T415" s="26" t="s">
        <v>5184</v>
      </c>
      <c r="U415" s="26" t="s">
        <v>1302</v>
      </c>
      <c r="V415" s="25">
        <v>5.0</v>
      </c>
      <c r="W415" s="26" t="s">
        <v>3991</v>
      </c>
      <c r="X415" s="98" t="s">
        <v>1312</v>
      </c>
      <c r="Y415" s="31">
        <v>8.0</v>
      </c>
      <c r="Z415" s="31">
        <v>9.0</v>
      </c>
      <c r="AA415" s="31">
        <v>139.0</v>
      </c>
      <c r="AB415" s="31">
        <v>160.0</v>
      </c>
      <c r="AC415" s="32">
        <v>1.0</v>
      </c>
      <c r="AD415" s="26"/>
      <c r="AE415" s="26"/>
      <c r="AF415" s="32">
        <v>47.0</v>
      </c>
      <c r="AG415" s="33">
        <v>1.58030014334E12</v>
      </c>
      <c r="AH415" s="33" t="s">
        <v>1160</v>
      </c>
      <c r="AI415" s="34" t="s">
        <v>5260</v>
      </c>
    </row>
    <row r="416" ht="38.25" hidden="1" customHeight="1">
      <c r="A416" s="25">
        <v>413.0</v>
      </c>
      <c r="B416" s="26" t="s">
        <v>2692</v>
      </c>
      <c r="C416" s="26" t="s">
        <v>5261</v>
      </c>
      <c r="D416" s="26" t="s">
        <v>5262</v>
      </c>
      <c r="E416" s="26" t="s">
        <v>5114</v>
      </c>
      <c r="F416" s="26" t="s">
        <v>5114</v>
      </c>
      <c r="G416" s="27" t="s">
        <v>1110</v>
      </c>
      <c r="H416" s="27" t="s">
        <v>1110</v>
      </c>
      <c r="I416" s="28" t="s">
        <v>5263</v>
      </c>
      <c r="J416" s="29" t="s">
        <v>3949</v>
      </c>
      <c r="K416" s="26" t="s">
        <v>4214</v>
      </c>
      <c r="L416" s="25">
        <v>2.0</v>
      </c>
      <c r="M416" s="27" t="s">
        <v>1137</v>
      </c>
      <c r="N416" s="166" t="s">
        <v>1174</v>
      </c>
      <c r="O416" s="26" t="s">
        <v>5182</v>
      </c>
      <c r="P416" s="26" t="s">
        <v>5183</v>
      </c>
      <c r="Q416" s="26" t="s">
        <v>5184</v>
      </c>
      <c r="R416" s="26" t="s">
        <v>3991</v>
      </c>
      <c r="S416" s="26" t="str">
        <f t="shared" si="96"/>
        <v>กลุ่มงานการพยาบาลผู้ป่วยห้องผ่าตัด</v>
      </c>
      <c r="T416" s="26" t="s">
        <v>5184</v>
      </c>
      <c r="U416" s="26" t="s">
        <v>1302</v>
      </c>
      <c r="V416" s="25">
        <v>5.0</v>
      </c>
      <c r="W416" s="26" t="s">
        <v>3991</v>
      </c>
      <c r="X416" s="98" t="s">
        <v>1312</v>
      </c>
      <c r="Y416" s="31">
        <v>8.0</v>
      </c>
      <c r="Z416" s="31">
        <v>9.0</v>
      </c>
      <c r="AA416" s="31">
        <v>139.0</v>
      </c>
      <c r="AB416" s="31">
        <v>160.0</v>
      </c>
      <c r="AC416" s="32">
        <v>1.0</v>
      </c>
      <c r="AD416" s="26"/>
      <c r="AE416" s="26"/>
      <c r="AF416" s="32">
        <v>47.0</v>
      </c>
      <c r="AG416" s="37">
        <v>1.50990171398E12</v>
      </c>
      <c r="AH416" s="37" t="s">
        <v>2024</v>
      </c>
      <c r="AI416" s="38" t="s">
        <v>5264</v>
      </c>
    </row>
    <row r="417" ht="38.25" hidden="1" customHeight="1">
      <c r="A417" s="25">
        <v>414.0</v>
      </c>
      <c r="B417" s="26" t="s">
        <v>1037</v>
      </c>
      <c r="C417" s="26" t="s">
        <v>5265</v>
      </c>
      <c r="D417" s="26" t="s">
        <v>5266</v>
      </c>
      <c r="E417" s="26" t="s">
        <v>5114</v>
      </c>
      <c r="F417" s="26" t="s">
        <v>5114</v>
      </c>
      <c r="G417" s="27" t="s">
        <v>1110</v>
      </c>
      <c r="H417" s="27" t="s">
        <v>1110</v>
      </c>
      <c r="I417" s="28" t="s">
        <v>5267</v>
      </c>
      <c r="J417" s="29" t="s">
        <v>3949</v>
      </c>
      <c r="K417" s="26" t="s">
        <v>4214</v>
      </c>
      <c r="L417" s="25">
        <v>2.0</v>
      </c>
      <c r="M417" s="27" t="s">
        <v>1137</v>
      </c>
      <c r="N417" s="165" t="s">
        <v>3981</v>
      </c>
      <c r="O417" s="26" t="s">
        <v>5118</v>
      </c>
      <c r="P417" s="26" t="s">
        <v>5118</v>
      </c>
      <c r="Q417" s="26" t="s">
        <v>4879</v>
      </c>
      <c r="R417" s="26" t="s">
        <v>3991</v>
      </c>
      <c r="S417" s="26" t="str">
        <f t="shared" si="96"/>
        <v>กลุ่มงานการพยาบาลผู้ป่วยอุบัติเหตุและฉุกเฉิน</v>
      </c>
      <c r="T417" s="26" t="s">
        <v>4398</v>
      </c>
      <c r="U417" s="26" t="s">
        <v>1302</v>
      </c>
      <c r="V417" s="25">
        <v>11.0</v>
      </c>
      <c r="W417" s="26" t="s">
        <v>3991</v>
      </c>
      <c r="X417" s="98" t="s">
        <v>1312</v>
      </c>
      <c r="Y417" s="31">
        <v>11.0</v>
      </c>
      <c r="Z417" s="31">
        <v>15.0</v>
      </c>
      <c r="AA417" s="31">
        <v>139.0</v>
      </c>
      <c r="AB417" s="31">
        <v>160.0</v>
      </c>
      <c r="AC417" s="32">
        <v>1.0</v>
      </c>
      <c r="AD417" s="26"/>
      <c r="AE417" s="26"/>
      <c r="AF417" s="32">
        <v>47.0</v>
      </c>
      <c r="AG417" s="33">
        <v>1.508900008661E12</v>
      </c>
      <c r="AH417" s="46"/>
      <c r="AI417" s="40">
        <v>236834.0</v>
      </c>
    </row>
    <row r="418" ht="38.25" hidden="1" customHeight="1">
      <c r="A418" s="25">
        <v>415.0</v>
      </c>
      <c r="B418" s="26" t="s">
        <v>2692</v>
      </c>
      <c r="C418" s="26" t="s">
        <v>5268</v>
      </c>
      <c r="D418" s="26" t="s">
        <v>5269</v>
      </c>
      <c r="E418" s="26" t="s">
        <v>5114</v>
      </c>
      <c r="F418" s="26" t="s">
        <v>5114</v>
      </c>
      <c r="G418" s="27" t="s">
        <v>1110</v>
      </c>
      <c r="H418" s="27" t="s">
        <v>1110</v>
      </c>
      <c r="I418" s="28" t="s">
        <v>5270</v>
      </c>
      <c r="J418" s="29" t="s">
        <v>3949</v>
      </c>
      <c r="K418" s="26" t="s">
        <v>4214</v>
      </c>
      <c r="L418" s="25">
        <v>2.0</v>
      </c>
      <c r="M418" s="27" t="s">
        <v>1137</v>
      </c>
      <c r="N418" s="166" t="s">
        <v>1174</v>
      </c>
      <c r="O418" s="26" t="s">
        <v>5153</v>
      </c>
      <c r="P418" s="26" t="s">
        <v>5154</v>
      </c>
      <c r="Q418" s="26" t="s">
        <v>4959</v>
      </c>
      <c r="R418" s="26" t="s">
        <v>3991</v>
      </c>
      <c r="S418" s="26" t="str">
        <f t="shared" si="96"/>
        <v>กลุ่มงานการพยาบาลผู้ป่วยหนัก</v>
      </c>
      <c r="T418" s="26" t="s">
        <v>4959</v>
      </c>
      <c r="U418" s="26" t="s">
        <v>1302</v>
      </c>
      <c r="V418" s="25">
        <v>3.0</v>
      </c>
      <c r="W418" s="26" t="s">
        <v>3991</v>
      </c>
      <c r="X418" s="98" t="s">
        <v>1312</v>
      </c>
      <c r="Y418" s="31">
        <v>10.0</v>
      </c>
      <c r="Z418" s="31">
        <v>12.0</v>
      </c>
      <c r="AA418" s="31">
        <v>139.0</v>
      </c>
      <c r="AB418" s="31">
        <v>160.0</v>
      </c>
      <c r="AC418" s="32">
        <v>1.0</v>
      </c>
      <c r="AD418" s="26"/>
      <c r="AE418" s="26"/>
      <c r="AF418" s="32">
        <v>47.0</v>
      </c>
      <c r="AG418" s="33">
        <v>1.500401148703E12</v>
      </c>
      <c r="AH418" s="33" t="s">
        <v>1538</v>
      </c>
      <c r="AI418" s="34" t="s">
        <v>4070</v>
      </c>
    </row>
    <row r="419" ht="38.25" hidden="1" customHeight="1">
      <c r="A419" s="25">
        <v>416.0</v>
      </c>
      <c r="B419" s="26" t="s">
        <v>1037</v>
      </c>
      <c r="C419" s="26" t="s">
        <v>1239</v>
      </c>
      <c r="D419" s="26" t="s">
        <v>5271</v>
      </c>
      <c r="E419" s="26" t="s">
        <v>5114</v>
      </c>
      <c r="F419" s="26" t="s">
        <v>5114</v>
      </c>
      <c r="G419" s="27" t="s">
        <v>1110</v>
      </c>
      <c r="H419" s="27" t="s">
        <v>1110</v>
      </c>
      <c r="I419" s="28" t="s">
        <v>5272</v>
      </c>
      <c r="J419" s="29" t="s">
        <v>3949</v>
      </c>
      <c r="K419" s="26" t="s">
        <v>4214</v>
      </c>
      <c r="L419" s="25">
        <v>2.0</v>
      </c>
      <c r="M419" s="27" t="s">
        <v>1137</v>
      </c>
      <c r="N419" s="166" t="s">
        <v>1174</v>
      </c>
      <c r="O419" s="26" t="s">
        <v>4937</v>
      </c>
      <c r="P419" s="26" t="s">
        <v>4938</v>
      </c>
      <c r="Q419" s="26" t="s">
        <v>4939</v>
      </c>
      <c r="R419" s="26" t="s">
        <v>3991</v>
      </c>
      <c r="S419" s="26" t="str">
        <f t="shared" si="96"/>
        <v>กลุ่มงานการพยาบาลผู้ป่วยโสต ศอ นาสิก จักษุ</v>
      </c>
      <c r="T419" s="26" t="s">
        <v>4939</v>
      </c>
      <c r="U419" s="26" t="s">
        <v>1302</v>
      </c>
      <c r="V419" s="25">
        <v>13.0</v>
      </c>
      <c r="W419" s="26" t="s">
        <v>3991</v>
      </c>
      <c r="X419" s="98" t="s">
        <v>1312</v>
      </c>
      <c r="Y419" s="31">
        <v>5.0</v>
      </c>
      <c r="Z419" s="31">
        <v>8.0</v>
      </c>
      <c r="AA419" s="31">
        <v>139.0</v>
      </c>
      <c r="AB419" s="31">
        <v>160.0</v>
      </c>
      <c r="AC419" s="32">
        <v>1.0</v>
      </c>
      <c r="AD419" s="26"/>
      <c r="AE419" s="26"/>
      <c r="AF419" s="32">
        <v>47.0</v>
      </c>
      <c r="AG419" s="37">
        <v>1.969800268545E12</v>
      </c>
      <c r="AH419" s="37" t="s">
        <v>1241</v>
      </c>
      <c r="AI419" s="38" t="s">
        <v>5273</v>
      </c>
    </row>
    <row r="420" ht="38.25" hidden="1" customHeight="1">
      <c r="A420" s="32">
        <v>417.0</v>
      </c>
      <c r="B420" s="26" t="s">
        <v>1037</v>
      </c>
      <c r="C420" s="26" t="s">
        <v>1482</v>
      </c>
      <c r="D420" s="26" t="s">
        <v>5274</v>
      </c>
      <c r="E420" s="26" t="s">
        <v>5114</v>
      </c>
      <c r="F420" s="26" t="s">
        <v>5114</v>
      </c>
      <c r="G420" s="27" t="s">
        <v>1110</v>
      </c>
      <c r="H420" s="27" t="s">
        <v>1110</v>
      </c>
      <c r="I420" s="28" t="s">
        <v>5275</v>
      </c>
      <c r="J420" s="29" t="s">
        <v>3949</v>
      </c>
      <c r="K420" s="26" t="s">
        <v>4214</v>
      </c>
      <c r="L420" s="25">
        <v>2.0</v>
      </c>
      <c r="M420" s="27" t="s">
        <v>1137</v>
      </c>
      <c r="N420" s="165" t="s">
        <v>3981</v>
      </c>
      <c r="O420" s="26" t="s">
        <v>4917</v>
      </c>
      <c r="P420" s="26" t="s">
        <v>4918</v>
      </c>
      <c r="Q420" s="26" t="s">
        <v>4919</v>
      </c>
      <c r="R420" s="26" t="s">
        <v>3991</v>
      </c>
      <c r="S420" s="26" t="str">
        <f t="shared" si="96"/>
        <v>กลุ่มงานการพยาบาลผู้ป่วยกุมารเวชกรรม</v>
      </c>
      <c r="T420" s="26" t="s">
        <v>4879</v>
      </c>
      <c r="U420" s="26" t="s">
        <v>1302</v>
      </c>
      <c r="V420" s="25">
        <v>9.0</v>
      </c>
      <c r="W420" s="26" t="s">
        <v>3991</v>
      </c>
      <c r="X420" s="98" t="s">
        <v>1312</v>
      </c>
      <c r="Y420" s="31">
        <v>6.0</v>
      </c>
      <c r="Z420" s="31">
        <v>9.0</v>
      </c>
      <c r="AA420" s="31">
        <v>139.0</v>
      </c>
      <c r="AB420" s="31">
        <v>160.0</v>
      </c>
      <c r="AC420" s="32">
        <v>1.0</v>
      </c>
      <c r="AD420" s="26"/>
      <c r="AE420" s="26"/>
      <c r="AF420" s="32">
        <v>47.0</v>
      </c>
      <c r="AG420" s="37">
        <v>1.50890000657E12</v>
      </c>
      <c r="AH420" s="37" t="s">
        <v>1485</v>
      </c>
      <c r="AI420" s="38" t="s">
        <v>5276</v>
      </c>
    </row>
    <row r="421" ht="38.25" hidden="1" customHeight="1">
      <c r="A421" s="25">
        <v>418.0</v>
      </c>
      <c r="B421" s="26" t="s">
        <v>2692</v>
      </c>
      <c r="C421" s="26" t="s">
        <v>5277</v>
      </c>
      <c r="D421" s="26" t="s">
        <v>5278</v>
      </c>
      <c r="E421" s="26" t="s">
        <v>5114</v>
      </c>
      <c r="F421" s="26" t="s">
        <v>5114</v>
      </c>
      <c r="G421" s="27" t="s">
        <v>1110</v>
      </c>
      <c r="H421" s="27" t="s">
        <v>1110</v>
      </c>
      <c r="I421" s="28" t="s">
        <v>5279</v>
      </c>
      <c r="J421" s="29" t="s">
        <v>3949</v>
      </c>
      <c r="K421" s="26" t="s">
        <v>4214</v>
      </c>
      <c r="L421" s="25">
        <v>2.0</v>
      </c>
      <c r="M421" s="27" t="s">
        <v>1137</v>
      </c>
      <c r="N421" s="166" t="s">
        <v>1174</v>
      </c>
      <c r="O421" s="26" t="s">
        <v>4027</v>
      </c>
      <c r="P421" s="26" t="s">
        <v>4027</v>
      </c>
      <c r="Q421" s="26" t="s">
        <v>4028</v>
      </c>
      <c r="R421" s="26" t="s">
        <v>3991</v>
      </c>
      <c r="S421" s="26" t="str">
        <f t="shared" si="96"/>
        <v>กลุ่มงานการพยาบาลตรวจรักษาพิเศษ</v>
      </c>
      <c r="T421" s="26" t="s">
        <v>4028</v>
      </c>
      <c r="U421" s="26" t="s">
        <v>1302</v>
      </c>
      <c r="V421" s="25">
        <v>15.0</v>
      </c>
      <c r="W421" s="26" t="s">
        <v>3991</v>
      </c>
      <c r="X421" s="98" t="s">
        <v>1312</v>
      </c>
      <c r="Y421" s="31">
        <v>7.0</v>
      </c>
      <c r="Z421" s="31">
        <v>9.0</v>
      </c>
      <c r="AA421" s="31">
        <v>139.0</v>
      </c>
      <c r="AB421" s="31">
        <v>160.0</v>
      </c>
      <c r="AC421" s="32">
        <v>1.0</v>
      </c>
      <c r="AD421" s="26"/>
      <c r="AE421" s="26"/>
      <c r="AF421" s="32">
        <v>47.0</v>
      </c>
      <c r="AG421" s="33">
        <v>1.579900459664E12</v>
      </c>
      <c r="AH421" s="33" t="s">
        <v>732</v>
      </c>
      <c r="AI421" s="40">
        <v>231973.0</v>
      </c>
    </row>
    <row r="422" ht="38.25" hidden="1" customHeight="1">
      <c r="A422" s="25">
        <v>419.0</v>
      </c>
      <c r="B422" s="26" t="s">
        <v>1037</v>
      </c>
      <c r="C422" s="26" t="s">
        <v>5280</v>
      </c>
      <c r="D422" s="26" t="s">
        <v>5281</v>
      </c>
      <c r="E422" s="26" t="s">
        <v>5114</v>
      </c>
      <c r="F422" s="26" t="s">
        <v>5114</v>
      </c>
      <c r="G422" s="27" t="s">
        <v>1110</v>
      </c>
      <c r="H422" s="27" t="s">
        <v>1110</v>
      </c>
      <c r="I422" s="28" t="s">
        <v>5282</v>
      </c>
      <c r="J422" s="29" t="s">
        <v>3949</v>
      </c>
      <c r="K422" s="26" t="s">
        <v>4214</v>
      </c>
      <c r="L422" s="25">
        <v>2.0</v>
      </c>
      <c r="M422" s="27" t="s">
        <v>1137</v>
      </c>
      <c r="N422" s="166" t="s">
        <v>1174</v>
      </c>
      <c r="O422" s="26" t="s">
        <v>4872</v>
      </c>
      <c r="P422" s="26" t="s">
        <v>4873</v>
      </c>
      <c r="Q422" s="26" t="s">
        <v>4874</v>
      </c>
      <c r="R422" s="26" t="s">
        <v>3991</v>
      </c>
      <c r="S422" s="26" t="str">
        <f t="shared" si="96"/>
        <v>กลุ่มงานการพยาบาลผู้ป่วยอายุรกรรม</v>
      </c>
      <c r="T422" s="26" t="s">
        <v>4874</v>
      </c>
      <c r="U422" s="26" t="s">
        <v>1302</v>
      </c>
      <c r="V422" s="25">
        <v>7.0</v>
      </c>
      <c r="W422" s="26" t="s">
        <v>3991</v>
      </c>
      <c r="X422" s="98" t="s">
        <v>1312</v>
      </c>
      <c r="Y422" s="31">
        <v>6.0</v>
      </c>
      <c r="Z422" s="31">
        <v>16.0</v>
      </c>
      <c r="AA422" s="31">
        <v>139.0</v>
      </c>
      <c r="AB422" s="31">
        <v>160.0</v>
      </c>
      <c r="AC422" s="32">
        <v>1.0</v>
      </c>
      <c r="AD422" s="26"/>
      <c r="AE422" s="26"/>
      <c r="AF422" s="32">
        <v>47.0</v>
      </c>
      <c r="AG422" s="33">
        <v>1.500601138264E12</v>
      </c>
      <c r="AH422" s="46"/>
      <c r="AI422" s="34" t="s">
        <v>5283</v>
      </c>
    </row>
    <row r="423" ht="38.25" hidden="1" customHeight="1">
      <c r="A423" s="32">
        <v>420.0</v>
      </c>
      <c r="B423" s="26" t="s">
        <v>2692</v>
      </c>
      <c r="C423" s="26" t="s">
        <v>5284</v>
      </c>
      <c r="D423" s="26" t="s">
        <v>5285</v>
      </c>
      <c r="E423" s="26" t="s">
        <v>5114</v>
      </c>
      <c r="F423" s="26" t="s">
        <v>5114</v>
      </c>
      <c r="G423" s="27" t="s">
        <v>1110</v>
      </c>
      <c r="H423" s="27" t="s">
        <v>1110</v>
      </c>
      <c r="I423" s="28" t="s">
        <v>5286</v>
      </c>
      <c r="J423" s="29" t="s">
        <v>3949</v>
      </c>
      <c r="K423" s="26" t="s">
        <v>4214</v>
      </c>
      <c r="L423" s="25">
        <v>2.0</v>
      </c>
      <c r="M423" s="27" t="s">
        <v>1137</v>
      </c>
      <c r="N423" s="165" t="s">
        <v>3981</v>
      </c>
      <c r="O423" s="26" t="s">
        <v>4944</v>
      </c>
      <c r="P423" s="26" t="s">
        <v>4945</v>
      </c>
      <c r="Q423" s="26" t="s">
        <v>4869</v>
      </c>
      <c r="R423" s="26" t="s">
        <v>3991</v>
      </c>
      <c r="S423" s="26" t="str">
        <f t="shared" si="96"/>
        <v>กลุ่มงานการพยาบาลผู้ป่วยกุมารเวชกรรม</v>
      </c>
      <c r="T423" s="26" t="s">
        <v>4879</v>
      </c>
      <c r="U423" s="26" t="s">
        <v>1302</v>
      </c>
      <c r="V423" s="25">
        <v>12.0</v>
      </c>
      <c r="W423" s="26" t="s">
        <v>3991</v>
      </c>
      <c r="X423" s="98" t="s">
        <v>1312</v>
      </c>
      <c r="Y423" s="31">
        <v>3.0</v>
      </c>
      <c r="Z423" s="31">
        <v>5.0</v>
      </c>
      <c r="AA423" s="31">
        <v>139.0</v>
      </c>
      <c r="AB423" s="31">
        <v>160.0</v>
      </c>
      <c r="AC423" s="32">
        <v>1.0</v>
      </c>
      <c r="AD423" s="26"/>
      <c r="AE423" s="26"/>
      <c r="AF423" s="32">
        <v>47.0</v>
      </c>
      <c r="AG423" s="33">
        <v>1.580401264959E12</v>
      </c>
      <c r="AH423" s="33" t="s">
        <v>2068</v>
      </c>
      <c r="AI423" s="34" t="s">
        <v>5287</v>
      </c>
    </row>
    <row r="424" ht="38.25" hidden="1" customHeight="1">
      <c r="A424" s="25">
        <v>421.0</v>
      </c>
      <c r="B424" s="26" t="s">
        <v>2692</v>
      </c>
      <c r="C424" s="26" t="s">
        <v>5288</v>
      </c>
      <c r="D424" s="26" t="s">
        <v>5289</v>
      </c>
      <c r="E424" s="26" t="s">
        <v>5114</v>
      </c>
      <c r="F424" s="26" t="s">
        <v>5114</v>
      </c>
      <c r="G424" s="27" t="s">
        <v>1110</v>
      </c>
      <c r="H424" s="27" t="s">
        <v>1110</v>
      </c>
      <c r="I424" s="28" t="s">
        <v>5290</v>
      </c>
      <c r="J424" s="29" t="s">
        <v>3949</v>
      </c>
      <c r="K424" s="26" t="s">
        <v>4214</v>
      </c>
      <c r="L424" s="25">
        <v>2.0</v>
      </c>
      <c r="M424" s="27" t="s">
        <v>1137</v>
      </c>
      <c r="N424" s="166" t="s">
        <v>1174</v>
      </c>
      <c r="O424" s="26" t="s">
        <v>5182</v>
      </c>
      <c r="P424" s="26" t="s">
        <v>5183</v>
      </c>
      <c r="Q424" s="26" t="s">
        <v>5184</v>
      </c>
      <c r="R424" s="26" t="s">
        <v>3991</v>
      </c>
      <c r="S424" s="26" t="str">
        <f t="shared" si="96"/>
        <v>กลุ่มงานการพยาบาลผู้ป่วยห้องผ่าตัด</v>
      </c>
      <c r="T424" s="26" t="s">
        <v>5184</v>
      </c>
      <c r="U424" s="26" t="s">
        <v>1302</v>
      </c>
      <c r="V424" s="25">
        <v>5.0</v>
      </c>
      <c r="W424" s="26" t="s">
        <v>3991</v>
      </c>
      <c r="X424" s="98" t="s">
        <v>1312</v>
      </c>
      <c r="Y424" s="31">
        <v>8.0</v>
      </c>
      <c r="Z424" s="31">
        <v>9.0</v>
      </c>
      <c r="AA424" s="31">
        <v>139.0</v>
      </c>
      <c r="AB424" s="31">
        <v>160.0</v>
      </c>
      <c r="AC424" s="32">
        <v>1.0</v>
      </c>
      <c r="AD424" s="26"/>
      <c r="AE424" s="26"/>
      <c r="AF424" s="32">
        <v>47.0</v>
      </c>
      <c r="AG424" s="33">
        <v>1.10070321771E12</v>
      </c>
      <c r="AH424" s="33" t="s">
        <v>803</v>
      </c>
      <c r="AI424" s="34" t="s">
        <v>5291</v>
      </c>
    </row>
    <row r="425" ht="38.25" hidden="1" customHeight="1">
      <c r="A425" s="25">
        <v>422.0</v>
      </c>
      <c r="B425" s="26" t="s">
        <v>1037</v>
      </c>
      <c r="C425" s="26" t="s">
        <v>5292</v>
      </c>
      <c r="D425" s="26" t="s">
        <v>5293</v>
      </c>
      <c r="E425" s="26" t="s">
        <v>5114</v>
      </c>
      <c r="F425" s="26" t="s">
        <v>5114</v>
      </c>
      <c r="G425" s="27" t="s">
        <v>1110</v>
      </c>
      <c r="H425" s="27" t="s">
        <v>1110</v>
      </c>
      <c r="I425" s="28" t="s">
        <v>5294</v>
      </c>
      <c r="J425" s="29" t="s">
        <v>3949</v>
      </c>
      <c r="K425" s="26" t="s">
        <v>4214</v>
      </c>
      <c r="L425" s="25">
        <v>2.0</v>
      </c>
      <c r="M425" s="27" t="s">
        <v>1137</v>
      </c>
      <c r="N425" s="166" t="s">
        <v>1174</v>
      </c>
      <c r="O425" s="26" t="s">
        <v>4396</v>
      </c>
      <c r="P425" s="26" t="s">
        <v>4397</v>
      </c>
      <c r="Q425" s="26" t="s">
        <v>4398</v>
      </c>
      <c r="R425" s="26" t="s">
        <v>3991</v>
      </c>
      <c r="S425" s="26" t="str">
        <f t="shared" si="96"/>
        <v>กลุ่มงานการพยาบาลผู้ป่วยอุบัติเหตุและฉุกเฉิน</v>
      </c>
      <c r="T425" s="26" t="s">
        <v>4398</v>
      </c>
      <c r="U425" s="26" t="s">
        <v>1302</v>
      </c>
      <c r="V425" s="25">
        <v>1.0</v>
      </c>
      <c r="W425" s="26" t="s">
        <v>3991</v>
      </c>
      <c r="X425" s="98" t="s">
        <v>1312</v>
      </c>
      <c r="Y425" s="31">
        <v>5.0</v>
      </c>
      <c r="Z425" s="31">
        <v>8.0</v>
      </c>
      <c r="AA425" s="31">
        <v>139.0</v>
      </c>
      <c r="AB425" s="31">
        <v>160.0</v>
      </c>
      <c r="AC425" s="32">
        <v>1.0</v>
      </c>
      <c r="AD425" s="26"/>
      <c r="AE425" s="26"/>
      <c r="AF425" s="32">
        <v>47.0</v>
      </c>
      <c r="AG425" s="37">
        <v>1.500201272613E12</v>
      </c>
      <c r="AH425" s="37" t="s">
        <v>1156</v>
      </c>
      <c r="AI425" s="38" t="s">
        <v>5226</v>
      </c>
    </row>
    <row r="426" ht="38.25" hidden="1" customHeight="1">
      <c r="A426" s="32">
        <v>423.0</v>
      </c>
      <c r="B426" s="26" t="s">
        <v>1037</v>
      </c>
      <c r="C426" s="26" t="s">
        <v>5295</v>
      </c>
      <c r="D426" s="26" t="s">
        <v>5296</v>
      </c>
      <c r="E426" s="26" t="s">
        <v>5114</v>
      </c>
      <c r="F426" s="26" t="s">
        <v>5114</v>
      </c>
      <c r="G426" s="27" t="s">
        <v>1110</v>
      </c>
      <c r="H426" s="27" t="s">
        <v>1110</v>
      </c>
      <c r="I426" s="28" t="s">
        <v>5297</v>
      </c>
      <c r="J426" s="29" t="s">
        <v>3949</v>
      </c>
      <c r="K426" s="26" t="s">
        <v>4214</v>
      </c>
      <c r="L426" s="25">
        <v>2.0</v>
      </c>
      <c r="M426" s="27" t="s">
        <v>1137</v>
      </c>
      <c r="N426" s="165" t="s">
        <v>3981</v>
      </c>
      <c r="O426" s="26" t="s">
        <v>5182</v>
      </c>
      <c r="P426" s="26" t="s">
        <v>5183</v>
      </c>
      <c r="Q426" s="26" t="s">
        <v>5184</v>
      </c>
      <c r="R426" s="26" t="s">
        <v>3991</v>
      </c>
      <c r="S426" s="26" t="str">
        <f t="shared" si="96"/>
        <v>กลุ่มงานการพยาบาลผู้ป่วยนอก</v>
      </c>
      <c r="T426" s="26" t="s">
        <v>4887</v>
      </c>
      <c r="U426" s="26" t="s">
        <v>1302</v>
      </c>
      <c r="V426" s="25">
        <v>5.0</v>
      </c>
      <c r="W426" s="26" t="s">
        <v>3991</v>
      </c>
      <c r="X426" s="98" t="s">
        <v>1312</v>
      </c>
      <c r="Y426" s="31">
        <v>8.0</v>
      </c>
      <c r="Z426" s="31">
        <v>9.0</v>
      </c>
      <c r="AA426" s="31">
        <v>139.0</v>
      </c>
      <c r="AB426" s="31">
        <v>160.0</v>
      </c>
      <c r="AC426" s="32">
        <v>1.0</v>
      </c>
      <c r="AD426" s="26"/>
      <c r="AE426" s="26"/>
      <c r="AF426" s="32">
        <v>47.0</v>
      </c>
      <c r="AG426" s="37">
        <v>1.580401293665E12</v>
      </c>
      <c r="AH426" s="37" t="s">
        <v>1101</v>
      </c>
      <c r="AI426" s="38" t="s">
        <v>5298</v>
      </c>
    </row>
    <row r="427" ht="38.25" hidden="1" customHeight="1">
      <c r="A427" s="25">
        <v>424.0</v>
      </c>
      <c r="B427" s="26" t="s">
        <v>1037</v>
      </c>
      <c r="C427" s="26" t="s">
        <v>5299</v>
      </c>
      <c r="D427" s="26" t="s">
        <v>5300</v>
      </c>
      <c r="E427" s="26" t="s">
        <v>5114</v>
      </c>
      <c r="F427" s="26" t="s">
        <v>5114</v>
      </c>
      <c r="G427" s="27" t="s">
        <v>1110</v>
      </c>
      <c r="H427" s="27" t="s">
        <v>1110</v>
      </c>
      <c r="I427" s="28" t="s">
        <v>5301</v>
      </c>
      <c r="J427" s="29" t="s">
        <v>3949</v>
      </c>
      <c r="K427" s="26" t="s">
        <v>4214</v>
      </c>
      <c r="L427" s="25">
        <v>2.0</v>
      </c>
      <c r="M427" s="27" t="s">
        <v>1137</v>
      </c>
      <c r="N427" s="165" t="s">
        <v>3981</v>
      </c>
      <c r="O427" s="26" t="s">
        <v>4928</v>
      </c>
      <c r="P427" s="26" t="s">
        <v>4929</v>
      </c>
      <c r="Q427" s="26" t="s">
        <v>4858</v>
      </c>
      <c r="R427" s="26" t="s">
        <v>3991</v>
      </c>
      <c r="S427" s="26" t="str">
        <f t="shared" si="96"/>
        <v>กลุ่มงานการพยาบาลผู้ป่วยกุมารเวชกรรม</v>
      </c>
      <c r="T427" s="26" t="s">
        <v>4879</v>
      </c>
      <c r="U427" s="26" t="s">
        <v>1302</v>
      </c>
      <c r="V427" s="25">
        <v>8.0</v>
      </c>
      <c r="W427" s="26" t="s">
        <v>3991</v>
      </c>
      <c r="X427" s="98" t="s">
        <v>1312</v>
      </c>
      <c r="Y427" s="31">
        <v>6.0</v>
      </c>
      <c r="Z427" s="31">
        <v>8.0</v>
      </c>
      <c r="AA427" s="31">
        <v>139.0</v>
      </c>
      <c r="AB427" s="31">
        <v>160.0</v>
      </c>
      <c r="AC427" s="32">
        <v>1.0</v>
      </c>
      <c r="AD427" s="26"/>
      <c r="AE427" s="26"/>
      <c r="AF427" s="32">
        <v>47.0</v>
      </c>
      <c r="AG427" s="37">
        <v>1.549500001091E12</v>
      </c>
      <c r="AH427" s="37" t="s">
        <v>2083</v>
      </c>
      <c r="AI427" s="38" t="s">
        <v>5302</v>
      </c>
    </row>
    <row r="428" ht="38.25" hidden="1" customHeight="1">
      <c r="A428" s="25">
        <v>425.0</v>
      </c>
      <c r="B428" s="26" t="s">
        <v>1037</v>
      </c>
      <c r="C428" s="26" t="s">
        <v>5303</v>
      </c>
      <c r="D428" s="26" t="s">
        <v>5304</v>
      </c>
      <c r="E428" s="26" t="s">
        <v>5114</v>
      </c>
      <c r="F428" s="26" t="s">
        <v>5114</v>
      </c>
      <c r="G428" s="27" t="s">
        <v>1110</v>
      </c>
      <c r="H428" s="27" t="s">
        <v>1110</v>
      </c>
      <c r="I428" s="28" t="s">
        <v>5305</v>
      </c>
      <c r="J428" s="29" t="s">
        <v>3949</v>
      </c>
      <c r="K428" s="26" t="s">
        <v>4214</v>
      </c>
      <c r="L428" s="25">
        <v>2.0</v>
      </c>
      <c r="M428" s="27" t="s">
        <v>1137</v>
      </c>
      <c r="N428" s="166" t="s">
        <v>1174</v>
      </c>
      <c r="O428" s="26" t="s">
        <v>4917</v>
      </c>
      <c r="P428" s="26" t="s">
        <v>4918</v>
      </c>
      <c r="Q428" s="26" t="s">
        <v>4919</v>
      </c>
      <c r="R428" s="26" t="s">
        <v>3991</v>
      </c>
      <c r="S428" s="26" t="str">
        <f t="shared" si="96"/>
        <v>กลุ่มงานการพยาบาลผู้ป่วยสูติ - นรีเวช</v>
      </c>
      <c r="T428" s="26" t="s">
        <v>4920</v>
      </c>
      <c r="U428" s="26" t="s">
        <v>1302</v>
      </c>
      <c r="V428" s="25">
        <v>9.0</v>
      </c>
      <c r="W428" s="26" t="s">
        <v>3991</v>
      </c>
      <c r="X428" s="98" t="s">
        <v>1312</v>
      </c>
      <c r="Y428" s="31">
        <v>6.0</v>
      </c>
      <c r="Z428" s="31">
        <v>9.0</v>
      </c>
      <c r="AA428" s="31">
        <v>139.0</v>
      </c>
      <c r="AB428" s="31">
        <v>160.0</v>
      </c>
      <c r="AC428" s="32">
        <v>1.0</v>
      </c>
      <c r="AD428" s="26"/>
      <c r="AE428" s="26"/>
      <c r="AF428" s="32">
        <v>47.0</v>
      </c>
      <c r="AG428" s="33">
        <v>1.579900387612E12</v>
      </c>
      <c r="AH428" s="33" t="s">
        <v>1378</v>
      </c>
      <c r="AI428" s="60">
        <v>231879.0</v>
      </c>
    </row>
    <row r="429" ht="38.25" hidden="1" customHeight="1">
      <c r="A429" s="32">
        <v>426.0</v>
      </c>
      <c r="B429" s="26" t="s">
        <v>1037</v>
      </c>
      <c r="C429" s="26" t="s">
        <v>5306</v>
      </c>
      <c r="D429" s="64" t="s">
        <v>5307</v>
      </c>
      <c r="E429" s="26" t="s">
        <v>5114</v>
      </c>
      <c r="F429" s="26" t="s">
        <v>5114</v>
      </c>
      <c r="G429" s="27" t="s">
        <v>1110</v>
      </c>
      <c r="H429" s="27" t="s">
        <v>1110</v>
      </c>
      <c r="I429" s="28" t="s">
        <v>5308</v>
      </c>
      <c r="J429" s="29" t="s">
        <v>3949</v>
      </c>
      <c r="K429" s="26" t="s">
        <v>4214</v>
      </c>
      <c r="L429" s="25">
        <v>2.0</v>
      </c>
      <c r="M429" s="27" t="s">
        <v>1137</v>
      </c>
      <c r="N429" s="165" t="s">
        <v>3981</v>
      </c>
      <c r="O429" s="26" t="s">
        <v>4957</v>
      </c>
      <c r="P429" s="26" t="s">
        <v>4958</v>
      </c>
      <c r="Q429" s="26" t="s">
        <v>4959</v>
      </c>
      <c r="R429" s="26" t="s">
        <v>3991</v>
      </c>
      <c r="S429" s="26" t="str">
        <f t="shared" si="96"/>
        <v>กลุ่มงานการพยาบาลผู้ป่วยกุมารเวชกรรม</v>
      </c>
      <c r="T429" s="26" t="s">
        <v>4879</v>
      </c>
      <c r="U429" s="26" t="s">
        <v>1302</v>
      </c>
      <c r="V429" s="25">
        <v>3.0</v>
      </c>
      <c r="W429" s="26" t="s">
        <v>3991</v>
      </c>
      <c r="X429" s="98" t="s">
        <v>1312</v>
      </c>
      <c r="Y429" s="31">
        <v>10.0</v>
      </c>
      <c r="Z429" s="31">
        <v>12.0</v>
      </c>
      <c r="AA429" s="31">
        <v>139.0</v>
      </c>
      <c r="AB429" s="31">
        <v>160.0</v>
      </c>
      <c r="AC429" s="32">
        <v>1.0</v>
      </c>
      <c r="AD429" s="26"/>
      <c r="AE429" s="26"/>
      <c r="AF429" s="32">
        <v>47.0</v>
      </c>
      <c r="AG429" s="33">
        <v>1.509966236345E12</v>
      </c>
      <c r="AH429" s="33" t="s">
        <v>1474</v>
      </c>
      <c r="AI429" s="34" t="s">
        <v>5309</v>
      </c>
    </row>
    <row r="430" ht="38.25" hidden="1" customHeight="1">
      <c r="A430" s="25">
        <v>427.0</v>
      </c>
      <c r="B430" s="26" t="s">
        <v>1037</v>
      </c>
      <c r="C430" s="26" t="s">
        <v>5310</v>
      </c>
      <c r="D430" s="26" t="s">
        <v>5181</v>
      </c>
      <c r="E430" s="26" t="s">
        <v>5114</v>
      </c>
      <c r="F430" s="26" t="s">
        <v>5114</v>
      </c>
      <c r="G430" s="27" t="s">
        <v>1110</v>
      </c>
      <c r="H430" s="27" t="s">
        <v>1110</v>
      </c>
      <c r="I430" s="28" t="s">
        <v>5311</v>
      </c>
      <c r="J430" s="29" t="s">
        <v>3949</v>
      </c>
      <c r="K430" s="26" t="s">
        <v>4214</v>
      </c>
      <c r="L430" s="25">
        <v>2.0</v>
      </c>
      <c r="M430" s="27" t="s">
        <v>1137</v>
      </c>
      <c r="N430" s="166" t="s">
        <v>1174</v>
      </c>
      <c r="O430" s="26" t="s">
        <v>4877</v>
      </c>
      <c r="P430" s="26" t="s">
        <v>4878</v>
      </c>
      <c r="Q430" s="26" t="s">
        <v>4874</v>
      </c>
      <c r="R430" s="26" t="s">
        <v>3991</v>
      </c>
      <c r="S430" s="26" t="str">
        <f t="shared" si="96"/>
        <v>กลุ่มงานการพยาบาลผู้ป่วยกุมารเวชกรรม</v>
      </c>
      <c r="T430" s="26" t="s">
        <v>4879</v>
      </c>
      <c r="U430" s="26" t="s">
        <v>1302</v>
      </c>
      <c r="V430" s="25">
        <v>7.0</v>
      </c>
      <c r="W430" s="26" t="s">
        <v>3991</v>
      </c>
      <c r="X430" s="98" t="s">
        <v>1312</v>
      </c>
      <c r="Y430" s="31">
        <v>6.0</v>
      </c>
      <c r="Z430" s="31">
        <v>16.0</v>
      </c>
      <c r="AA430" s="31">
        <v>139.0</v>
      </c>
      <c r="AB430" s="31">
        <v>160.0</v>
      </c>
      <c r="AC430" s="32">
        <v>1.0</v>
      </c>
      <c r="AD430" s="26"/>
      <c r="AE430" s="26"/>
      <c r="AF430" s="32">
        <v>47.0</v>
      </c>
      <c r="AG430" s="33">
        <v>1.500801096875E12</v>
      </c>
      <c r="AH430" s="33" t="s">
        <v>2088</v>
      </c>
      <c r="AI430" s="40">
        <v>235404.0</v>
      </c>
    </row>
    <row r="431" ht="38.25" hidden="1" customHeight="1">
      <c r="A431" s="25">
        <v>428.0</v>
      </c>
      <c r="B431" s="26" t="s">
        <v>1037</v>
      </c>
      <c r="C431" s="26" t="s">
        <v>5312</v>
      </c>
      <c r="D431" s="26" t="s">
        <v>5313</v>
      </c>
      <c r="E431" s="26" t="s">
        <v>5114</v>
      </c>
      <c r="F431" s="26" t="s">
        <v>5114</v>
      </c>
      <c r="G431" s="27" t="s">
        <v>1110</v>
      </c>
      <c r="H431" s="27" t="s">
        <v>1110</v>
      </c>
      <c r="I431" s="28" t="s">
        <v>5314</v>
      </c>
      <c r="J431" s="29" t="s">
        <v>3949</v>
      </c>
      <c r="K431" s="26" t="s">
        <v>4214</v>
      </c>
      <c r="L431" s="25">
        <v>2.0</v>
      </c>
      <c r="M431" s="27" t="s">
        <v>1137</v>
      </c>
      <c r="N431" s="165" t="s">
        <v>3981</v>
      </c>
      <c r="O431" s="26" t="s">
        <v>4882</v>
      </c>
      <c r="P431" s="26" t="s">
        <v>4883</v>
      </c>
      <c r="Q431" s="26" t="s">
        <v>4874</v>
      </c>
      <c r="R431" s="26" t="s">
        <v>3991</v>
      </c>
      <c r="S431" s="26" t="str">
        <f t="shared" si="96"/>
        <v>กลุ่มงานการพยาบาลผู้ป่วยกุมารเวชกรรม</v>
      </c>
      <c r="T431" s="26" t="s">
        <v>4879</v>
      </c>
      <c r="U431" s="26" t="s">
        <v>1302</v>
      </c>
      <c r="V431" s="25">
        <v>7.0</v>
      </c>
      <c r="W431" s="26" t="s">
        <v>3991</v>
      </c>
      <c r="X431" s="98" t="s">
        <v>1312</v>
      </c>
      <c r="Y431" s="31">
        <v>6.0</v>
      </c>
      <c r="Z431" s="31">
        <v>16.0</v>
      </c>
      <c r="AA431" s="31">
        <v>139.0</v>
      </c>
      <c r="AB431" s="31">
        <v>160.0</v>
      </c>
      <c r="AC431" s="32">
        <v>1.0</v>
      </c>
      <c r="AD431" s="26"/>
      <c r="AE431" s="26"/>
      <c r="AF431" s="32">
        <v>47.0</v>
      </c>
      <c r="AG431" s="37">
        <v>1.508900002264E12</v>
      </c>
      <c r="AH431" s="61"/>
      <c r="AI431" s="44">
        <v>235797.0</v>
      </c>
    </row>
    <row r="432" ht="38.25" hidden="1" customHeight="1">
      <c r="A432" s="32">
        <v>429.0</v>
      </c>
      <c r="B432" s="26" t="s">
        <v>2692</v>
      </c>
      <c r="C432" s="26" t="s">
        <v>5315</v>
      </c>
      <c r="D432" s="26" t="s">
        <v>5316</v>
      </c>
      <c r="E432" s="26" t="s">
        <v>5114</v>
      </c>
      <c r="F432" s="26" t="s">
        <v>5114</v>
      </c>
      <c r="G432" s="27" t="s">
        <v>1110</v>
      </c>
      <c r="H432" s="27" t="s">
        <v>1110</v>
      </c>
      <c r="I432" s="28" t="s">
        <v>5317</v>
      </c>
      <c r="J432" s="29" t="s">
        <v>3949</v>
      </c>
      <c r="K432" s="26" t="s">
        <v>4214</v>
      </c>
      <c r="L432" s="25">
        <v>2.0</v>
      </c>
      <c r="M432" s="27" t="s">
        <v>1137</v>
      </c>
      <c r="N432" s="166" t="s">
        <v>1174</v>
      </c>
      <c r="O432" s="26" t="s">
        <v>4396</v>
      </c>
      <c r="P432" s="26" t="s">
        <v>4397</v>
      </c>
      <c r="Q432" s="26" t="s">
        <v>4398</v>
      </c>
      <c r="R432" s="26" t="s">
        <v>3991</v>
      </c>
      <c r="S432" s="26" t="str">
        <f t="shared" si="96"/>
        <v>กลุ่มงานการพยาบาลผู้ป่วยอุบัติเหตุและฉุกเฉิน</v>
      </c>
      <c r="T432" s="26" t="s">
        <v>4398</v>
      </c>
      <c r="U432" s="26" t="s">
        <v>1302</v>
      </c>
      <c r="V432" s="25">
        <v>1.0</v>
      </c>
      <c r="W432" s="26" t="s">
        <v>3991</v>
      </c>
      <c r="X432" s="98" t="s">
        <v>1312</v>
      </c>
      <c r="Y432" s="31">
        <v>5.0</v>
      </c>
      <c r="Z432" s="31">
        <v>8.0</v>
      </c>
      <c r="AA432" s="31">
        <v>139.0</v>
      </c>
      <c r="AB432" s="31">
        <v>160.0</v>
      </c>
      <c r="AC432" s="32">
        <v>1.0</v>
      </c>
      <c r="AD432" s="26"/>
      <c r="AE432" s="26"/>
      <c r="AF432" s="32">
        <v>47.0</v>
      </c>
      <c r="AG432" s="33">
        <v>1.548800031068E12</v>
      </c>
      <c r="AH432" s="46"/>
      <c r="AI432" s="40">
        <v>236801.0</v>
      </c>
    </row>
    <row r="433" ht="38.25" hidden="1" customHeight="1">
      <c r="A433" s="25">
        <v>430.0</v>
      </c>
      <c r="B433" s="26"/>
      <c r="C433" s="70"/>
      <c r="D433" s="26"/>
      <c r="E433" s="26" t="s">
        <v>5114</v>
      </c>
      <c r="F433" s="26" t="s">
        <v>5114</v>
      </c>
      <c r="G433" s="27" t="s">
        <v>1110</v>
      </c>
      <c r="H433" s="27" t="s">
        <v>1110</v>
      </c>
      <c r="I433" s="28" t="s">
        <v>5318</v>
      </c>
      <c r="J433" s="29" t="s">
        <v>3949</v>
      </c>
      <c r="K433" s="26" t="s">
        <v>4214</v>
      </c>
      <c r="L433" s="25">
        <v>2.0</v>
      </c>
      <c r="M433" s="27" t="s">
        <v>1137</v>
      </c>
      <c r="N433" s="166" t="s">
        <v>1174</v>
      </c>
      <c r="O433" s="26" t="s">
        <v>5118</v>
      </c>
      <c r="P433" s="26" t="s">
        <v>5118</v>
      </c>
      <c r="Q433" s="26" t="s">
        <v>4879</v>
      </c>
      <c r="R433" s="26" t="s">
        <v>3991</v>
      </c>
      <c r="S433" s="26" t="str">
        <f t="shared" si="96"/>
        <v>กลุ่มงานการพยาบาลผู้ป่วยกุมารเวชกรรม</v>
      </c>
      <c r="T433" s="26" t="s">
        <v>4879</v>
      </c>
      <c r="U433" s="26" t="s">
        <v>1302</v>
      </c>
      <c r="V433" s="25">
        <v>11.0</v>
      </c>
      <c r="W433" s="26" t="s">
        <v>3991</v>
      </c>
      <c r="X433" s="98" t="s">
        <v>1312</v>
      </c>
      <c r="Y433" s="31">
        <v>11.0</v>
      </c>
      <c r="Z433" s="31">
        <v>15.0</v>
      </c>
      <c r="AA433" s="31">
        <v>139.0</v>
      </c>
      <c r="AB433" s="31">
        <v>160.0</v>
      </c>
      <c r="AC433" s="32">
        <v>0.0</v>
      </c>
      <c r="AD433" s="26" t="s">
        <v>4155</v>
      </c>
      <c r="AE433" s="26"/>
      <c r="AF433" s="32">
        <v>47.0</v>
      </c>
      <c r="AG433" s="65"/>
      <c r="AH433" s="65"/>
      <c r="AI433" s="66"/>
    </row>
    <row r="434" ht="38.25" hidden="1" customHeight="1">
      <c r="A434" s="32">
        <v>431.0</v>
      </c>
      <c r="B434" s="26"/>
      <c r="C434" s="70"/>
      <c r="D434" s="26"/>
      <c r="E434" s="26" t="s">
        <v>5114</v>
      </c>
      <c r="F434" s="26" t="s">
        <v>5114</v>
      </c>
      <c r="G434" s="27" t="s">
        <v>1110</v>
      </c>
      <c r="H434" s="27" t="s">
        <v>1110</v>
      </c>
      <c r="I434" s="28" t="s">
        <v>5319</v>
      </c>
      <c r="J434" s="29" t="s">
        <v>3949</v>
      </c>
      <c r="K434" s="26" t="s">
        <v>4214</v>
      </c>
      <c r="L434" s="25">
        <v>2.0</v>
      </c>
      <c r="M434" s="27" t="s">
        <v>1137</v>
      </c>
      <c r="N434" s="166" t="s">
        <v>1174</v>
      </c>
      <c r="O434" s="26" t="s">
        <v>5118</v>
      </c>
      <c r="P434" s="26" t="s">
        <v>5118</v>
      </c>
      <c r="Q434" s="26" t="s">
        <v>4879</v>
      </c>
      <c r="R434" s="26" t="s">
        <v>3991</v>
      </c>
      <c r="S434" s="26" t="str">
        <f t="shared" si="96"/>
        <v>กลุ่มงานการพยาบาลผู้ป่วยกุมารเวชกรรม</v>
      </c>
      <c r="T434" s="26" t="s">
        <v>4879</v>
      </c>
      <c r="U434" s="26" t="s">
        <v>1302</v>
      </c>
      <c r="V434" s="25">
        <v>11.0</v>
      </c>
      <c r="W434" s="26" t="s">
        <v>3991</v>
      </c>
      <c r="X434" s="98" t="s">
        <v>1312</v>
      </c>
      <c r="Y434" s="31">
        <v>11.0</v>
      </c>
      <c r="Z434" s="31">
        <v>15.0</v>
      </c>
      <c r="AA434" s="31">
        <v>139.0</v>
      </c>
      <c r="AB434" s="31">
        <v>160.0</v>
      </c>
      <c r="AC434" s="32">
        <v>0.0</v>
      </c>
      <c r="AD434" s="26" t="s">
        <v>4155</v>
      </c>
      <c r="AE434" s="26"/>
      <c r="AF434" s="32">
        <v>47.0</v>
      </c>
      <c r="AG434" s="65"/>
      <c r="AH434" s="65"/>
      <c r="AI434" s="66"/>
    </row>
    <row r="435" ht="38.25" hidden="1" customHeight="1">
      <c r="A435" s="25">
        <v>432.0</v>
      </c>
      <c r="B435" s="26"/>
      <c r="C435" s="70"/>
      <c r="D435" s="26"/>
      <c r="E435" s="26" t="s">
        <v>5114</v>
      </c>
      <c r="F435" s="26" t="s">
        <v>5114</v>
      </c>
      <c r="G435" s="27" t="s">
        <v>1110</v>
      </c>
      <c r="H435" s="27" t="s">
        <v>1110</v>
      </c>
      <c r="I435" s="28" t="s">
        <v>5320</v>
      </c>
      <c r="J435" s="29" t="s">
        <v>3949</v>
      </c>
      <c r="K435" s="26" t="s">
        <v>4214</v>
      </c>
      <c r="L435" s="25">
        <v>2.0</v>
      </c>
      <c r="M435" s="27" t="s">
        <v>1137</v>
      </c>
      <c r="N435" s="166" t="s">
        <v>1174</v>
      </c>
      <c r="O435" s="26" t="s">
        <v>4396</v>
      </c>
      <c r="P435" s="26" t="s">
        <v>4397</v>
      </c>
      <c r="Q435" s="26" t="s">
        <v>4398</v>
      </c>
      <c r="R435" s="26" t="s">
        <v>3991</v>
      </c>
      <c r="S435" s="26" t="str">
        <f t="shared" si="96"/>
        <v>กลุ่มงานการพยาบาลผู้ป่วยอุบัติเหตุและฉุกเฉิน</v>
      </c>
      <c r="T435" s="26" t="s">
        <v>4398</v>
      </c>
      <c r="U435" s="26" t="s">
        <v>1302</v>
      </c>
      <c r="V435" s="25">
        <v>1.0</v>
      </c>
      <c r="W435" s="26" t="s">
        <v>3991</v>
      </c>
      <c r="X435" s="98" t="s">
        <v>1312</v>
      </c>
      <c r="Y435" s="31">
        <v>5.0</v>
      </c>
      <c r="Z435" s="31">
        <v>8.0</v>
      </c>
      <c r="AA435" s="31">
        <v>139.0</v>
      </c>
      <c r="AB435" s="31">
        <v>160.0</v>
      </c>
      <c r="AC435" s="32">
        <v>0.0</v>
      </c>
      <c r="AD435" s="26" t="s">
        <v>4155</v>
      </c>
      <c r="AE435" s="26"/>
      <c r="AF435" s="32">
        <v>47.0</v>
      </c>
      <c r="AG435" s="65"/>
      <c r="AH435" s="65"/>
      <c r="AI435" s="66"/>
    </row>
    <row r="436" ht="38.25" hidden="1" customHeight="1">
      <c r="A436" s="25">
        <v>433.0</v>
      </c>
      <c r="B436" s="26" t="s">
        <v>1037</v>
      </c>
      <c r="C436" s="26" t="s">
        <v>1482</v>
      </c>
      <c r="D436" s="26" t="s">
        <v>4017</v>
      </c>
      <c r="E436" s="26" t="s">
        <v>5114</v>
      </c>
      <c r="F436" s="26" t="s">
        <v>5114</v>
      </c>
      <c r="G436" s="27" t="s">
        <v>1110</v>
      </c>
      <c r="H436" s="27" t="s">
        <v>1110</v>
      </c>
      <c r="I436" s="29" t="s">
        <v>5321</v>
      </c>
      <c r="J436" s="29" t="s">
        <v>3963</v>
      </c>
      <c r="K436" s="26" t="s">
        <v>4214</v>
      </c>
      <c r="L436" s="25">
        <v>2.0</v>
      </c>
      <c r="M436" s="27" t="s">
        <v>1137</v>
      </c>
      <c r="N436" s="166" t="s">
        <v>1174</v>
      </c>
      <c r="O436" s="26" t="s">
        <v>4396</v>
      </c>
      <c r="P436" s="26" t="s">
        <v>4397</v>
      </c>
      <c r="Q436" s="26" t="s">
        <v>4398</v>
      </c>
      <c r="R436" s="26" t="s">
        <v>3991</v>
      </c>
      <c r="S436" s="26" t="str">
        <f t="shared" si="96"/>
        <v>กลุ่มงานการพยาบาลผู้ป่วยอุบัติเหตุและฉุกเฉิน</v>
      </c>
      <c r="T436" s="26" t="s">
        <v>4398</v>
      </c>
      <c r="U436" s="26" t="s">
        <v>1302</v>
      </c>
      <c r="V436" s="25">
        <v>1.0</v>
      </c>
      <c r="W436" s="26" t="s">
        <v>3991</v>
      </c>
      <c r="X436" s="98" t="s">
        <v>1312</v>
      </c>
      <c r="Y436" s="31">
        <v>5.0</v>
      </c>
      <c r="Z436" s="31">
        <v>8.0</v>
      </c>
      <c r="AA436" s="31">
        <v>139.0</v>
      </c>
      <c r="AB436" s="31">
        <v>160.0</v>
      </c>
      <c r="AC436" s="32">
        <v>1.0</v>
      </c>
      <c r="AD436" s="26"/>
      <c r="AE436" s="26"/>
      <c r="AF436" s="32">
        <v>47.0</v>
      </c>
      <c r="AG436" s="37">
        <v>1.5087000534E12</v>
      </c>
      <c r="AH436" s="37" t="s">
        <v>551</v>
      </c>
      <c r="AI436" s="38" t="s">
        <v>5322</v>
      </c>
    </row>
    <row r="437" ht="38.25" hidden="1" customHeight="1">
      <c r="A437" s="32">
        <v>434.0</v>
      </c>
      <c r="B437" s="26" t="s">
        <v>1037</v>
      </c>
      <c r="C437" s="26" t="s">
        <v>5323</v>
      </c>
      <c r="D437" s="26" t="s">
        <v>5324</v>
      </c>
      <c r="E437" s="26" t="s">
        <v>5114</v>
      </c>
      <c r="F437" s="26" t="s">
        <v>5114</v>
      </c>
      <c r="G437" s="27" t="s">
        <v>1110</v>
      </c>
      <c r="H437" s="27" t="s">
        <v>1110</v>
      </c>
      <c r="I437" s="29" t="s">
        <v>5325</v>
      </c>
      <c r="J437" s="29" t="s">
        <v>3963</v>
      </c>
      <c r="K437" s="26" t="s">
        <v>4214</v>
      </c>
      <c r="L437" s="25">
        <v>2.0</v>
      </c>
      <c r="M437" s="27" t="s">
        <v>1137</v>
      </c>
      <c r="N437" s="166" t="s">
        <v>1174</v>
      </c>
      <c r="O437" s="26" t="s">
        <v>4862</v>
      </c>
      <c r="P437" s="26" t="s">
        <v>4863</v>
      </c>
      <c r="Q437" s="26" t="s">
        <v>4858</v>
      </c>
      <c r="R437" s="26" t="s">
        <v>3991</v>
      </c>
      <c r="S437" s="26" t="str">
        <f t="shared" si="96"/>
        <v>กลุ่มงานการพยาบาลผู้ป่วยศัลยกรรม</v>
      </c>
      <c r="T437" s="26" t="s">
        <v>4858</v>
      </c>
      <c r="U437" s="26" t="s">
        <v>1302</v>
      </c>
      <c r="V437" s="25">
        <v>8.0</v>
      </c>
      <c r="W437" s="26" t="s">
        <v>3991</v>
      </c>
      <c r="X437" s="98" t="s">
        <v>1312</v>
      </c>
      <c r="Y437" s="31">
        <v>6.0</v>
      </c>
      <c r="Z437" s="31">
        <v>8.0</v>
      </c>
      <c r="AA437" s="31">
        <v>139.0</v>
      </c>
      <c r="AB437" s="31">
        <v>160.0</v>
      </c>
      <c r="AC437" s="32">
        <v>1.0</v>
      </c>
      <c r="AD437" s="26"/>
      <c r="AE437" s="26"/>
      <c r="AF437" s="32">
        <v>47.0</v>
      </c>
      <c r="AG437" s="33">
        <v>1.580500176985E12</v>
      </c>
      <c r="AH437" s="33" t="s">
        <v>1114</v>
      </c>
      <c r="AI437" s="34" t="s">
        <v>5326</v>
      </c>
    </row>
    <row r="438" ht="38.25" hidden="1" customHeight="1">
      <c r="A438" s="25">
        <v>435.0</v>
      </c>
      <c r="B438" s="26" t="s">
        <v>1037</v>
      </c>
      <c r="C438" s="26" t="s">
        <v>5327</v>
      </c>
      <c r="D438" s="26" t="s">
        <v>5328</v>
      </c>
      <c r="E438" s="26" t="s">
        <v>5114</v>
      </c>
      <c r="F438" s="26" t="s">
        <v>5114</v>
      </c>
      <c r="G438" s="27" t="s">
        <v>1110</v>
      </c>
      <c r="H438" s="27" t="s">
        <v>1110</v>
      </c>
      <c r="I438" s="29" t="s">
        <v>5329</v>
      </c>
      <c r="J438" s="29" t="s">
        <v>3963</v>
      </c>
      <c r="K438" s="26" t="s">
        <v>4214</v>
      </c>
      <c r="L438" s="25">
        <v>2.0</v>
      </c>
      <c r="M438" s="27" t="s">
        <v>1137</v>
      </c>
      <c r="N438" s="166" t="s">
        <v>1174</v>
      </c>
      <c r="O438" s="26" t="s">
        <v>4789</v>
      </c>
      <c r="P438" s="26" t="s">
        <v>4886</v>
      </c>
      <c r="Q438" s="26" t="s">
        <v>4887</v>
      </c>
      <c r="R438" s="26" t="s">
        <v>3991</v>
      </c>
      <c r="S438" s="26" t="str">
        <f t="shared" si="96"/>
        <v>กลุ่มงานการพยาบาลผู้ป่วยนอก</v>
      </c>
      <c r="T438" s="26" t="s">
        <v>4887</v>
      </c>
      <c r="U438" s="26" t="s">
        <v>1302</v>
      </c>
      <c r="V438" s="25">
        <v>2.0</v>
      </c>
      <c r="W438" s="26" t="s">
        <v>3991</v>
      </c>
      <c r="X438" s="98" t="s">
        <v>1312</v>
      </c>
      <c r="Y438" s="31">
        <v>12.0</v>
      </c>
      <c r="Z438" s="31">
        <v>17.0</v>
      </c>
      <c r="AA438" s="31">
        <v>139.0</v>
      </c>
      <c r="AB438" s="31">
        <v>160.0</v>
      </c>
      <c r="AC438" s="32">
        <v>1.0</v>
      </c>
      <c r="AD438" s="26"/>
      <c r="AE438" s="26"/>
      <c r="AF438" s="32">
        <v>47.0</v>
      </c>
      <c r="AG438" s="37">
        <v>1.589700029607E12</v>
      </c>
      <c r="AH438" s="37" t="s">
        <v>1056</v>
      </c>
      <c r="AI438" s="38" t="s">
        <v>5330</v>
      </c>
    </row>
    <row r="439" ht="38.25" hidden="1" customHeight="1">
      <c r="A439" s="25">
        <v>436.0</v>
      </c>
      <c r="B439" s="26" t="s">
        <v>1037</v>
      </c>
      <c r="C439" s="26" t="s">
        <v>5331</v>
      </c>
      <c r="D439" s="26" t="s">
        <v>5332</v>
      </c>
      <c r="E439" s="26" t="s">
        <v>5114</v>
      </c>
      <c r="F439" s="26" t="s">
        <v>5114</v>
      </c>
      <c r="G439" s="27" t="s">
        <v>1110</v>
      </c>
      <c r="H439" s="27" t="s">
        <v>1110</v>
      </c>
      <c r="I439" s="29" t="s">
        <v>5333</v>
      </c>
      <c r="J439" s="29" t="s">
        <v>3963</v>
      </c>
      <c r="K439" s="26" t="s">
        <v>4214</v>
      </c>
      <c r="L439" s="25">
        <v>2.0</v>
      </c>
      <c r="M439" s="27" t="s">
        <v>1137</v>
      </c>
      <c r="N439" s="166" t="s">
        <v>1174</v>
      </c>
      <c r="O439" s="26" t="s">
        <v>4789</v>
      </c>
      <c r="P439" s="26" t="s">
        <v>4886</v>
      </c>
      <c r="Q439" s="26" t="s">
        <v>4887</v>
      </c>
      <c r="R439" s="26" t="s">
        <v>3991</v>
      </c>
      <c r="S439" s="26" t="str">
        <f t="shared" si="96"/>
        <v>กลุ่มงานการพยาบาลผู้ป่วยนอก</v>
      </c>
      <c r="T439" s="26" t="s">
        <v>4887</v>
      </c>
      <c r="U439" s="26" t="s">
        <v>1302</v>
      </c>
      <c r="V439" s="25">
        <v>2.0</v>
      </c>
      <c r="W439" s="26" t="s">
        <v>3991</v>
      </c>
      <c r="X439" s="98" t="s">
        <v>1312</v>
      </c>
      <c r="Y439" s="31">
        <v>12.0</v>
      </c>
      <c r="Z439" s="31">
        <v>17.0</v>
      </c>
      <c r="AA439" s="31">
        <v>139.0</v>
      </c>
      <c r="AB439" s="31">
        <v>160.0</v>
      </c>
      <c r="AC439" s="32">
        <v>1.0</v>
      </c>
      <c r="AD439" s="26"/>
      <c r="AE439" s="26"/>
      <c r="AF439" s="32">
        <v>47.0</v>
      </c>
      <c r="AG439" s="37">
        <v>1.501801189343E12</v>
      </c>
      <c r="AH439" s="37" t="s">
        <v>1051</v>
      </c>
      <c r="AI439" s="38" t="s">
        <v>5334</v>
      </c>
    </row>
    <row r="440" ht="38.25" hidden="1" customHeight="1">
      <c r="A440" s="32">
        <v>437.0</v>
      </c>
      <c r="B440" s="26" t="s">
        <v>2692</v>
      </c>
      <c r="C440" s="26" t="s">
        <v>5335</v>
      </c>
      <c r="D440" s="26" t="s">
        <v>5336</v>
      </c>
      <c r="E440" s="26" t="s">
        <v>5114</v>
      </c>
      <c r="F440" s="26" t="s">
        <v>5114</v>
      </c>
      <c r="G440" s="27" t="s">
        <v>1110</v>
      </c>
      <c r="H440" s="27" t="s">
        <v>1110</v>
      </c>
      <c r="I440" s="29" t="s">
        <v>5337</v>
      </c>
      <c r="J440" s="29" t="s">
        <v>3963</v>
      </c>
      <c r="K440" s="26" t="s">
        <v>4214</v>
      </c>
      <c r="L440" s="25">
        <v>2.0</v>
      </c>
      <c r="M440" s="27" t="s">
        <v>1137</v>
      </c>
      <c r="N440" s="165" t="s">
        <v>3981</v>
      </c>
      <c r="O440" s="26" t="s">
        <v>4937</v>
      </c>
      <c r="P440" s="26" t="s">
        <v>4938</v>
      </c>
      <c r="Q440" s="26" t="s">
        <v>4939</v>
      </c>
      <c r="R440" s="26" t="s">
        <v>3991</v>
      </c>
      <c r="S440" s="26" t="str">
        <f t="shared" si="96"/>
        <v>กลุ่มงานการพยาบาลผู้ป่วยห้องผ่าตัด</v>
      </c>
      <c r="T440" s="26" t="s">
        <v>5184</v>
      </c>
      <c r="U440" s="26" t="s">
        <v>1302</v>
      </c>
      <c r="V440" s="25">
        <v>13.0</v>
      </c>
      <c r="W440" s="26" t="s">
        <v>3991</v>
      </c>
      <c r="X440" s="98" t="s">
        <v>1312</v>
      </c>
      <c r="Y440" s="31">
        <v>5.0</v>
      </c>
      <c r="Z440" s="31">
        <v>8.0</v>
      </c>
      <c r="AA440" s="31">
        <v>139.0</v>
      </c>
      <c r="AB440" s="31">
        <v>160.0</v>
      </c>
      <c r="AC440" s="32">
        <v>1.0</v>
      </c>
      <c r="AD440" s="26"/>
      <c r="AE440" s="26"/>
      <c r="AF440" s="32">
        <v>47.0</v>
      </c>
      <c r="AG440" s="37">
        <v>1.509966249471E12</v>
      </c>
      <c r="AH440" s="37" t="s">
        <v>799</v>
      </c>
      <c r="AI440" s="38" t="s">
        <v>5338</v>
      </c>
    </row>
    <row r="441" ht="38.25" hidden="1" customHeight="1">
      <c r="A441" s="25">
        <v>438.0</v>
      </c>
      <c r="B441" s="26" t="s">
        <v>1037</v>
      </c>
      <c r="C441" s="26" t="s">
        <v>5339</v>
      </c>
      <c r="D441" s="26" t="s">
        <v>5340</v>
      </c>
      <c r="E441" s="26" t="s">
        <v>5114</v>
      </c>
      <c r="F441" s="26" t="s">
        <v>5114</v>
      </c>
      <c r="G441" s="27" t="s">
        <v>1110</v>
      </c>
      <c r="H441" s="27" t="s">
        <v>1110</v>
      </c>
      <c r="I441" s="29" t="s">
        <v>5341</v>
      </c>
      <c r="J441" s="29" t="s">
        <v>3963</v>
      </c>
      <c r="K441" s="26" t="s">
        <v>4214</v>
      </c>
      <c r="L441" s="25">
        <v>2.0</v>
      </c>
      <c r="M441" s="27" t="s">
        <v>1137</v>
      </c>
      <c r="N441" s="166" t="s">
        <v>1174</v>
      </c>
      <c r="O441" s="26" t="s">
        <v>5173</v>
      </c>
      <c r="P441" s="26" t="s">
        <v>5174</v>
      </c>
      <c r="Q441" s="26" t="s">
        <v>5115</v>
      </c>
      <c r="R441" s="26" t="s">
        <v>3991</v>
      </c>
      <c r="S441" s="26" t="str">
        <f t="shared" si="96"/>
        <v>กลุ่มงานการพยาบาลผู้คลอด</v>
      </c>
      <c r="T441" s="26" t="s">
        <v>5115</v>
      </c>
      <c r="U441" s="26" t="s">
        <v>1302</v>
      </c>
      <c r="V441" s="25">
        <v>4.0</v>
      </c>
      <c r="W441" s="26" t="s">
        <v>3991</v>
      </c>
      <c r="X441" s="98" t="s">
        <v>1312</v>
      </c>
      <c r="Y441" s="31">
        <v>5.0</v>
      </c>
      <c r="Z441" s="31">
        <v>6.0</v>
      </c>
      <c r="AA441" s="31">
        <v>139.0</v>
      </c>
      <c r="AB441" s="31">
        <v>160.0</v>
      </c>
      <c r="AC441" s="32">
        <v>1.0</v>
      </c>
      <c r="AD441" s="26"/>
      <c r="AE441" s="26"/>
      <c r="AF441" s="32">
        <v>47.0</v>
      </c>
      <c r="AG441" s="33">
        <v>1.509100004808E12</v>
      </c>
      <c r="AH441" s="33" t="s">
        <v>1105</v>
      </c>
      <c r="AI441" s="40">
        <v>237196.0</v>
      </c>
    </row>
    <row r="442" ht="38.25" hidden="1" customHeight="1">
      <c r="A442" s="25">
        <v>439.0</v>
      </c>
      <c r="B442" s="64" t="s">
        <v>1037</v>
      </c>
      <c r="C442" s="172" t="s">
        <v>5342</v>
      </c>
      <c r="D442" s="64" t="s">
        <v>5343</v>
      </c>
      <c r="E442" s="26" t="s">
        <v>5114</v>
      </c>
      <c r="F442" s="26" t="s">
        <v>5114</v>
      </c>
      <c r="G442" s="27" t="s">
        <v>1110</v>
      </c>
      <c r="H442" s="27" t="s">
        <v>1110</v>
      </c>
      <c r="I442" s="29" t="s">
        <v>5344</v>
      </c>
      <c r="J442" s="29" t="s">
        <v>3963</v>
      </c>
      <c r="K442" s="26" t="s">
        <v>4214</v>
      </c>
      <c r="L442" s="25">
        <v>2.0</v>
      </c>
      <c r="M442" s="27" t="s">
        <v>1137</v>
      </c>
      <c r="N442" s="166" t="s">
        <v>1174</v>
      </c>
      <c r="O442" s="26" t="s">
        <v>5173</v>
      </c>
      <c r="P442" s="70" t="s">
        <v>5174</v>
      </c>
      <c r="Q442" s="26" t="s">
        <v>5115</v>
      </c>
      <c r="R442" s="26" t="s">
        <v>3991</v>
      </c>
      <c r="S442" s="26" t="str">
        <f t="shared" si="96"/>
        <v>กลุ่มงานการพยาบาลผู้คลอด</v>
      </c>
      <c r="T442" s="26" t="s">
        <v>5115</v>
      </c>
      <c r="U442" s="26" t="s">
        <v>1302</v>
      </c>
      <c r="V442" s="25">
        <v>4.0</v>
      </c>
      <c r="W442" s="26" t="s">
        <v>3991</v>
      </c>
      <c r="X442" s="98" t="s">
        <v>1312</v>
      </c>
      <c r="Y442" s="31">
        <v>5.0</v>
      </c>
      <c r="Z442" s="31">
        <v>6.0</v>
      </c>
      <c r="AA442" s="31">
        <v>139.0</v>
      </c>
      <c r="AB442" s="31">
        <v>160.0</v>
      </c>
      <c r="AC442" s="32">
        <v>0.0</v>
      </c>
      <c r="AD442" s="26" t="s">
        <v>4155</v>
      </c>
      <c r="AE442" s="26"/>
      <c r="AF442" s="32">
        <v>47.0</v>
      </c>
      <c r="AG442" s="65"/>
      <c r="AH442" s="65"/>
      <c r="AI442" s="66"/>
    </row>
    <row r="443" ht="38.25" hidden="1" customHeight="1">
      <c r="A443" s="25">
        <v>440.0</v>
      </c>
      <c r="B443" s="26" t="s">
        <v>1037</v>
      </c>
      <c r="C443" s="26" t="s">
        <v>5345</v>
      </c>
      <c r="D443" s="26" t="s">
        <v>5346</v>
      </c>
      <c r="E443" s="26" t="s">
        <v>5114</v>
      </c>
      <c r="F443" s="26" t="s">
        <v>5114</v>
      </c>
      <c r="G443" s="27" t="s">
        <v>1110</v>
      </c>
      <c r="H443" s="27" t="s">
        <v>1110</v>
      </c>
      <c r="I443" s="90" t="s">
        <v>5347</v>
      </c>
      <c r="J443" s="29" t="s">
        <v>3963</v>
      </c>
      <c r="K443" s="26" t="s">
        <v>4214</v>
      </c>
      <c r="L443" s="25">
        <v>2.0</v>
      </c>
      <c r="M443" s="27" t="s">
        <v>1137</v>
      </c>
      <c r="N443" s="166" t="s">
        <v>1174</v>
      </c>
      <c r="O443" s="26" t="s">
        <v>4644</v>
      </c>
      <c r="P443" s="26" t="s">
        <v>5348</v>
      </c>
      <c r="Q443" s="26" t="s">
        <v>5349</v>
      </c>
      <c r="R443" s="26" t="s">
        <v>3991</v>
      </c>
      <c r="S443" s="26" t="str">
        <f t="shared" si="96"/>
        <v>กลุ่มงานการพยาบาลวิสัญญี</v>
      </c>
      <c r="T443" s="26" t="s">
        <v>5349</v>
      </c>
      <c r="U443" s="26" t="s">
        <v>1302</v>
      </c>
      <c r="V443" s="25">
        <v>6.0</v>
      </c>
      <c r="W443" s="26" t="s">
        <v>3991</v>
      </c>
      <c r="X443" s="98" t="s">
        <v>1312</v>
      </c>
      <c r="Y443" s="31">
        <v>2.0</v>
      </c>
      <c r="Z443" s="31">
        <v>3.0</v>
      </c>
      <c r="AA443" s="31">
        <v>139.0</v>
      </c>
      <c r="AB443" s="31">
        <v>160.0</v>
      </c>
      <c r="AC443" s="32">
        <v>1.0</v>
      </c>
      <c r="AD443" s="26"/>
      <c r="AE443" s="26"/>
      <c r="AF443" s="32">
        <v>47.0</v>
      </c>
      <c r="AG443" s="37">
        <v>1.508900011361E12</v>
      </c>
      <c r="AH443" s="37" t="s">
        <v>612</v>
      </c>
      <c r="AI443" s="38" t="s">
        <v>5350</v>
      </c>
    </row>
    <row r="444" ht="38.25" hidden="1" customHeight="1">
      <c r="A444" s="32">
        <v>441.0</v>
      </c>
      <c r="B444" s="64" t="s">
        <v>2692</v>
      </c>
      <c r="C444" s="172" t="s">
        <v>5351</v>
      </c>
      <c r="D444" s="64" t="s">
        <v>5352</v>
      </c>
      <c r="E444" s="26" t="s">
        <v>5114</v>
      </c>
      <c r="F444" s="26" t="s">
        <v>5114</v>
      </c>
      <c r="G444" s="27" t="s">
        <v>1110</v>
      </c>
      <c r="H444" s="27" t="s">
        <v>1110</v>
      </c>
      <c r="I444" s="29" t="s">
        <v>5353</v>
      </c>
      <c r="J444" s="29" t="s">
        <v>3963</v>
      </c>
      <c r="K444" s="26" t="s">
        <v>4214</v>
      </c>
      <c r="L444" s="25">
        <v>2.0</v>
      </c>
      <c r="M444" s="27" t="s">
        <v>1137</v>
      </c>
      <c r="N444" s="166" t="s">
        <v>1174</v>
      </c>
      <c r="O444" s="26" t="s">
        <v>5182</v>
      </c>
      <c r="P444" s="26" t="s">
        <v>5183</v>
      </c>
      <c r="Q444" s="26" t="s">
        <v>5184</v>
      </c>
      <c r="R444" s="26" t="s">
        <v>3991</v>
      </c>
      <c r="S444" s="26" t="str">
        <f t="shared" si="96"/>
        <v>กลุ่มงานการพยาบาลผู้ป่วยห้องผ่าตัด</v>
      </c>
      <c r="T444" s="26" t="s">
        <v>5184</v>
      </c>
      <c r="U444" s="26" t="s">
        <v>1302</v>
      </c>
      <c r="V444" s="25">
        <v>5.0</v>
      </c>
      <c r="W444" s="26" t="s">
        <v>3991</v>
      </c>
      <c r="X444" s="98" t="s">
        <v>1312</v>
      </c>
      <c r="Y444" s="31">
        <v>8.0</v>
      </c>
      <c r="Z444" s="31">
        <v>9.0</v>
      </c>
      <c r="AA444" s="31">
        <v>139.0</v>
      </c>
      <c r="AB444" s="31">
        <v>160.0</v>
      </c>
      <c r="AC444" s="32">
        <v>0.0</v>
      </c>
      <c r="AD444" s="26" t="s">
        <v>4155</v>
      </c>
      <c r="AE444" s="26"/>
      <c r="AF444" s="32">
        <v>47.0</v>
      </c>
      <c r="AG444" s="65"/>
      <c r="AH444" s="65"/>
      <c r="AI444" s="66"/>
    </row>
    <row r="445" ht="38.25" hidden="1" customHeight="1">
      <c r="A445" s="25">
        <v>442.0</v>
      </c>
      <c r="B445" s="173" t="s">
        <v>2692</v>
      </c>
      <c r="C445" s="173" t="s">
        <v>5354</v>
      </c>
      <c r="D445" s="173" t="s">
        <v>5355</v>
      </c>
      <c r="E445" s="174" t="s">
        <v>5114</v>
      </c>
      <c r="F445" s="174" t="s">
        <v>5114</v>
      </c>
      <c r="G445" s="175" t="s">
        <v>1110</v>
      </c>
      <c r="H445" s="175" t="s">
        <v>1110</v>
      </c>
      <c r="I445" s="176" t="s">
        <v>5356</v>
      </c>
      <c r="J445" s="176" t="s">
        <v>3963</v>
      </c>
      <c r="K445" s="174" t="s">
        <v>4214</v>
      </c>
      <c r="L445" s="177">
        <v>2.0</v>
      </c>
      <c r="M445" s="175" t="s">
        <v>1137</v>
      </c>
      <c r="N445" s="178" t="s">
        <v>1174</v>
      </c>
      <c r="O445" s="174" t="s">
        <v>5153</v>
      </c>
      <c r="P445" s="174" t="s">
        <v>5154</v>
      </c>
      <c r="Q445" s="174" t="s">
        <v>4959</v>
      </c>
      <c r="R445" s="174" t="s">
        <v>3991</v>
      </c>
      <c r="S445" s="174" t="str">
        <f t="shared" si="96"/>
        <v>กลุ่มงานการพยาบาลผู้ป่วยหนัก</v>
      </c>
      <c r="T445" s="174" t="s">
        <v>4959</v>
      </c>
      <c r="U445" s="174" t="s">
        <v>1302</v>
      </c>
      <c r="V445" s="177">
        <v>3.0</v>
      </c>
      <c r="W445" s="174" t="s">
        <v>3991</v>
      </c>
      <c r="X445" s="179" t="s">
        <v>1312</v>
      </c>
      <c r="Y445" s="180">
        <v>10.0</v>
      </c>
      <c r="Z445" s="180">
        <v>12.0</v>
      </c>
      <c r="AA445" s="180">
        <v>139.0</v>
      </c>
      <c r="AB445" s="180">
        <v>160.0</v>
      </c>
      <c r="AC445" s="181">
        <v>1.0</v>
      </c>
      <c r="AD445" s="174"/>
      <c r="AE445" s="174"/>
      <c r="AF445" s="181">
        <v>47.0</v>
      </c>
      <c r="AG445" s="65"/>
      <c r="AH445" s="65"/>
      <c r="AI445" s="66"/>
    </row>
    <row r="446" ht="38.25" hidden="1" customHeight="1">
      <c r="A446" s="25">
        <v>443.0</v>
      </c>
      <c r="B446" s="64" t="s">
        <v>2692</v>
      </c>
      <c r="C446" s="26" t="s">
        <v>5357</v>
      </c>
      <c r="D446" s="26" t="s">
        <v>5358</v>
      </c>
      <c r="E446" s="26" t="s">
        <v>5114</v>
      </c>
      <c r="F446" s="26" t="s">
        <v>5114</v>
      </c>
      <c r="G446" s="27" t="s">
        <v>1110</v>
      </c>
      <c r="H446" s="27" t="s">
        <v>1110</v>
      </c>
      <c r="I446" s="29" t="s">
        <v>5359</v>
      </c>
      <c r="J446" s="29" t="s">
        <v>3963</v>
      </c>
      <c r="K446" s="26" t="s">
        <v>4214</v>
      </c>
      <c r="L446" s="25">
        <v>2.0</v>
      </c>
      <c r="M446" s="27" t="s">
        <v>1137</v>
      </c>
      <c r="N446" s="166" t="s">
        <v>1174</v>
      </c>
      <c r="O446" s="26" t="s">
        <v>5153</v>
      </c>
      <c r="P446" s="26" t="s">
        <v>5154</v>
      </c>
      <c r="Q446" s="26" t="s">
        <v>4959</v>
      </c>
      <c r="R446" s="26" t="s">
        <v>3991</v>
      </c>
      <c r="S446" s="26" t="str">
        <f t="shared" si="96"/>
        <v>กลุ่มงานการพยาบาลผู้ป่วยหนัก</v>
      </c>
      <c r="T446" s="26" t="s">
        <v>4959</v>
      </c>
      <c r="U446" s="26" t="s">
        <v>1302</v>
      </c>
      <c r="V446" s="25">
        <v>3.0</v>
      </c>
      <c r="W446" s="26" t="s">
        <v>3991</v>
      </c>
      <c r="X446" s="98" t="s">
        <v>1312</v>
      </c>
      <c r="Y446" s="31">
        <v>10.0</v>
      </c>
      <c r="Z446" s="31">
        <v>12.0</v>
      </c>
      <c r="AA446" s="31">
        <v>139.0</v>
      </c>
      <c r="AB446" s="31">
        <v>160.0</v>
      </c>
      <c r="AC446" s="32">
        <v>1.0</v>
      </c>
      <c r="AD446" s="26"/>
      <c r="AE446" s="26"/>
      <c r="AF446" s="32">
        <v>47.0</v>
      </c>
      <c r="AG446" s="37"/>
      <c r="AH446" s="37"/>
      <c r="AI446" s="38"/>
    </row>
    <row r="447" ht="38.25" hidden="1" customHeight="1">
      <c r="A447" s="32">
        <v>443.0</v>
      </c>
      <c r="B447" s="170" t="s">
        <v>2692</v>
      </c>
      <c r="C447" s="170" t="s">
        <v>5357</v>
      </c>
      <c r="D447" s="64" t="s">
        <v>5358</v>
      </c>
      <c r="E447" s="26" t="s">
        <v>5114</v>
      </c>
      <c r="F447" s="26" t="s">
        <v>5114</v>
      </c>
      <c r="G447" s="27" t="s">
        <v>1110</v>
      </c>
      <c r="H447" s="27" t="s">
        <v>1110</v>
      </c>
      <c r="I447" s="29" t="s">
        <v>5359</v>
      </c>
      <c r="J447" s="29" t="s">
        <v>3963</v>
      </c>
      <c r="K447" s="26" t="s">
        <v>4214</v>
      </c>
      <c r="L447" s="25">
        <v>2.0</v>
      </c>
      <c r="M447" s="27" t="s">
        <v>1137</v>
      </c>
      <c r="N447" s="166" t="s">
        <v>1174</v>
      </c>
      <c r="O447" s="26" t="s">
        <v>5153</v>
      </c>
      <c r="P447" s="26" t="s">
        <v>5154</v>
      </c>
      <c r="Q447" s="26" t="s">
        <v>4959</v>
      </c>
      <c r="R447" s="26" t="s">
        <v>3991</v>
      </c>
      <c r="S447" s="26" t="str">
        <f t="shared" si="96"/>
        <v>กลุ่มงานการพยาบาลผู้ป่วยหนัก</v>
      </c>
      <c r="T447" s="26" t="s">
        <v>4959</v>
      </c>
      <c r="U447" s="26" t="s">
        <v>1302</v>
      </c>
      <c r="V447" s="25">
        <v>3.0</v>
      </c>
      <c r="W447" s="26" t="s">
        <v>3991</v>
      </c>
      <c r="X447" s="98" t="s">
        <v>1312</v>
      </c>
      <c r="Y447" s="31">
        <v>10.0</v>
      </c>
      <c r="Z447" s="31">
        <v>12.0</v>
      </c>
      <c r="AA447" s="31">
        <v>139.0</v>
      </c>
      <c r="AB447" s="31">
        <v>160.0</v>
      </c>
      <c r="AC447" s="32">
        <v>0.0</v>
      </c>
      <c r="AD447" s="70" t="s">
        <v>5360</v>
      </c>
      <c r="AE447" s="26"/>
      <c r="AF447" s="32">
        <v>47.0</v>
      </c>
      <c r="AG447" s="65"/>
      <c r="AH447" s="65"/>
      <c r="AI447" s="66"/>
    </row>
    <row r="448" ht="38.25" hidden="1" customHeight="1">
      <c r="A448" s="32">
        <v>444.0</v>
      </c>
      <c r="B448" s="64" t="s">
        <v>1037</v>
      </c>
      <c r="C448" s="26" t="s">
        <v>5361</v>
      </c>
      <c r="D448" s="26" t="s">
        <v>5362</v>
      </c>
      <c r="E448" s="26" t="s">
        <v>5114</v>
      </c>
      <c r="F448" s="26" t="s">
        <v>5114</v>
      </c>
      <c r="G448" s="27" t="s">
        <v>1110</v>
      </c>
      <c r="H448" s="27" t="s">
        <v>1110</v>
      </c>
      <c r="I448" s="29" t="s">
        <v>5363</v>
      </c>
      <c r="J448" s="29" t="s">
        <v>3963</v>
      </c>
      <c r="K448" s="26" t="s">
        <v>4214</v>
      </c>
      <c r="L448" s="25">
        <v>2.0</v>
      </c>
      <c r="M448" s="27" t="s">
        <v>1137</v>
      </c>
      <c r="N448" s="166" t="s">
        <v>1174</v>
      </c>
      <c r="O448" s="26" t="s">
        <v>4789</v>
      </c>
      <c r="P448" s="26" t="s">
        <v>4886</v>
      </c>
      <c r="Q448" s="26" t="s">
        <v>4887</v>
      </c>
      <c r="R448" s="26" t="s">
        <v>3991</v>
      </c>
      <c r="S448" s="26" t="str">
        <f t="shared" si="96"/>
        <v>กลุ่มงานการพยาบาลผู้ป่วยนอก</v>
      </c>
      <c r="T448" s="26" t="s">
        <v>4887</v>
      </c>
      <c r="U448" s="26" t="s">
        <v>1302</v>
      </c>
      <c r="V448" s="25">
        <v>2.0</v>
      </c>
      <c r="W448" s="26" t="s">
        <v>3991</v>
      </c>
      <c r="X448" s="98" t="s">
        <v>1312</v>
      </c>
      <c r="Y448" s="31">
        <v>12.0</v>
      </c>
      <c r="Z448" s="31">
        <v>17.0</v>
      </c>
      <c r="AA448" s="31">
        <v>139.0</v>
      </c>
      <c r="AB448" s="31">
        <v>160.0</v>
      </c>
      <c r="AC448" s="32">
        <v>1.0</v>
      </c>
      <c r="AD448" s="26"/>
      <c r="AE448" s="26"/>
      <c r="AF448" s="32">
        <v>47.0</v>
      </c>
      <c r="AG448" s="33">
        <v>1.309902989417E12</v>
      </c>
      <c r="AH448" s="33" t="s">
        <v>421</v>
      </c>
      <c r="AI448" s="34" t="s">
        <v>5364</v>
      </c>
    </row>
    <row r="449" ht="38.25" hidden="1" customHeight="1">
      <c r="A449" s="25">
        <v>445.0</v>
      </c>
      <c r="B449" s="26" t="s">
        <v>1037</v>
      </c>
      <c r="C449" s="26" t="s">
        <v>5365</v>
      </c>
      <c r="D449" s="26" t="s">
        <v>5366</v>
      </c>
      <c r="E449" s="26" t="s">
        <v>5114</v>
      </c>
      <c r="F449" s="26" t="s">
        <v>5114</v>
      </c>
      <c r="G449" s="27" t="s">
        <v>1110</v>
      </c>
      <c r="H449" s="27" t="s">
        <v>1110</v>
      </c>
      <c r="I449" s="29" t="s">
        <v>5367</v>
      </c>
      <c r="J449" s="29" t="s">
        <v>3963</v>
      </c>
      <c r="K449" s="26" t="s">
        <v>4214</v>
      </c>
      <c r="L449" s="25">
        <v>2.0</v>
      </c>
      <c r="M449" s="27" t="s">
        <v>1137</v>
      </c>
      <c r="N449" s="166" t="s">
        <v>1174</v>
      </c>
      <c r="O449" s="26" t="s">
        <v>5153</v>
      </c>
      <c r="P449" s="26" t="s">
        <v>5154</v>
      </c>
      <c r="Q449" s="26" t="s">
        <v>4959</v>
      </c>
      <c r="R449" s="26" t="s">
        <v>3991</v>
      </c>
      <c r="S449" s="26" t="str">
        <f t="shared" si="96"/>
        <v>กลุ่มงานการพยาบาลผู้ป่วยหนัก</v>
      </c>
      <c r="T449" s="26" t="s">
        <v>4959</v>
      </c>
      <c r="U449" s="26" t="s">
        <v>1302</v>
      </c>
      <c r="V449" s="25">
        <v>3.0</v>
      </c>
      <c r="W449" s="26" t="s">
        <v>3991</v>
      </c>
      <c r="X449" s="98" t="s">
        <v>1312</v>
      </c>
      <c r="Y449" s="31">
        <v>10.0</v>
      </c>
      <c r="Z449" s="31">
        <v>12.0</v>
      </c>
      <c r="AA449" s="31">
        <v>139.0</v>
      </c>
      <c r="AB449" s="31">
        <v>160.0</v>
      </c>
      <c r="AC449" s="32">
        <v>1.0</v>
      </c>
      <c r="AD449" s="26"/>
      <c r="AE449" s="26"/>
      <c r="AF449" s="32">
        <v>47.0</v>
      </c>
      <c r="AG449" s="37">
        <v>8.500976000122E12</v>
      </c>
      <c r="AH449" s="37" t="s">
        <v>430</v>
      </c>
      <c r="AI449" s="38" t="s">
        <v>5368</v>
      </c>
    </row>
    <row r="450" ht="38.25" hidden="1" customHeight="1">
      <c r="A450" s="25">
        <v>446.0</v>
      </c>
      <c r="B450" s="26" t="s">
        <v>1037</v>
      </c>
      <c r="C450" s="26" t="s">
        <v>5369</v>
      </c>
      <c r="D450" s="26" t="s">
        <v>5370</v>
      </c>
      <c r="E450" s="26" t="s">
        <v>5114</v>
      </c>
      <c r="F450" s="26" t="s">
        <v>5114</v>
      </c>
      <c r="G450" s="27" t="s">
        <v>1110</v>
      </c>
      <c r="H450" s="27" t="s">
        <v>1110</v>
      </c>
      <c r="I450" s="29" t="s">
        <v>5371</v>
      </c>
      <c r="J450" s="29" t="s">
        <v>3963</v>
      </c>
      <c r="K450" s="26" t="s">
        <v>4214</v>
      </c>
      <c r="L450" s="25">
        <v>2.0</v>
      </c>
      <c r="M450" s="27" t="s">
        <v>1137</v>
      </c>
      <c r="N450" s="166" t="s">
        <v>1174</v>
      </c>
      <c r="O450" s="26" t="s">
        <v>5118</v>
      </c>
      <c r="P450" s="26" t="s">
        <v>5118</v>
      </c>
      <c r="Q450" s="26" t="s">
        <v>4879</v>
      </c>
      <c r="R450" s="26" t="s">
        <v>3991</v>
      </c>
      <c r="S450" s="26" t="str">
        <f t="shared" si="96"/>
        <v>กลุ่มงานการพยาบาลผู้ป่วยกุมารเวชกรรม</v>
      </c>
      <c r="T450" s="26" t="s">
        <v>4879</v>
      </c>
      <c r="U450" s="26" t="s">
        <v>1302</v>
      </c>
      <c r="V450" s="25">
        <v>11.0</v>
      </c>
      <c r="W450" s="26" t="s">
        <v>3991</v>
      </c>
      <c r="X450" s="98" t="s">
        <v>1312</v>
      </c>
      <c r="Y450" s="31">
        <v>11.0</v>
      </c>
      <c r="Z450" s="31">
        <v>15.0</v>
      </c>
      <c r="AA450" s="31">
        <v>139.0</v>
      </c>
      <c r="AB450" s="31">
        <v>160.0</v>
      </c>
      <c r="AC450" s="32">
        <v>1.0</v>
      </c>
      <c r="AD450" s="26"/>
      <c r="AE450" s="26"/>
      <c r="AF450" s="32">
        <v>47.0</v>
      </c>
      <c r="AG450" s="33">
        <v>1.507400010887E12</v>
      </c>
      <c r="AH450" s="33" t="s">
        <v>990</v>
      </c>
      <c r="AI450" s="40">
        <v>236991.0</v>
      </c>
    </row>
    <row r="451" ht="38.25" hidden="1" customHeight="1">
      <c r="A451" s="32">
        <v>447.0</v>
      </c>
      <c r="B451" s="70"/>
      <c r="C451" s="70"/>
      <c r="D451" s="64">
        <v>1.0</v>
      </c>
      <c r="E451" s="70" t="s">
        <v>5114</v>
      </c>
      <c r="F451" s="70" t="s">
        <v>5114</v>
      </c>
      <c r="G451" s="71" t="s">
        <v>1110</v>
      </c>
      <c r="H451" s="71" t="s">
        <v>1110</v>
      </c>
      <c r="I451" s="72" t="s">
        <v>5372</v>
      </c>
      <c r="J451" s="72" t="s">
        <v>3963</v>
      </c>
      <c r="K451" s="70" t="s">
        <v>4214</v>
      </c>
      <c r="L451" s="73">
        <v>2.0</v>
      </c>
      <c r="M451" s="71" t="s">
        <v>1137</v>
      </c>
      <c r="N451" s="73" t="s">
        <v>1174</v>
      </c>
      <c r="O451" s="70" t="s">
        <v>4882</v>
      </c>
      <c r="P451" s="70" t="s">
        <v>4883</v>
      </c>
      <c r="Q451" s="70" t="s">
        <v>4874</v>
      </c>
      <c r="R451" s="70" t="s">
        <v>3991</v>
      </c>
      <c r="S451" s="70" t="str">
        <f t="shared" si="96"/>
        <v>กลุ่มงานการพยาบาลผู้ป่วยอายุรกรรม</v>
      </c>
      <c r="T451" s="70" t="s">
        <v>4874</v>
      </c>
      <c r="U451" s="70" t="s">
        <v>1302</v>
      </c>
      <c r="V451" s="73">
        <v>7.0</v>
      </c>
      <c r="W451" s="70" t="s">
        <v>3991</v>
      </c>
      <c r="X451" s="182" t="s">
        <v>1312</v>
      </c>
      <c r="Y451" s="74">
        <v>6.0</v>
      </c>
      <c r="Z451" s="74">
        <v>16.0</v>
      </c>
      <c r="AA451" s="74">
        <v>139.0</v>
      </c>
      <c r="AB451" s="74">
        <v>160.0</v>
      </c>
      <c r="AC451" s="32">
        <v>0.0</v>
      </c>
      <c r="AD451" s="70" t="s">
        <v>4155</v>
      </c>
      <c r="AE451" s="70"/>
      <c r="AF451" s="75">
        <v>47.0</v>
      </c>
      <c r="AG451" s="65"/>
      <c r="AH451" s="65"/>
      <c r="AI451" s="66"/>
    </row>
    <row r="452" ht="38.25" hidden="1" customHeight="1">
      <c r="A452" s="25">
        <v>448.0</v>
      </c>
      <c r="B452" s="26" t="s">
        <v>2692</v>
      </c>
      <c r="C452" s="26" t="s">
        <v>5373</v>
      </c>
      <c r="D452" s="26" t="s">
        <v>5374</v>
      </c>
      <c r="E452" s="26" t="s">
        <v>5114</v>
      </c>
      <c r="F452" s="26" t="s">
        <v>5114</v>
      </c>
      <c r="G452" s="27" t="s">
        <v>1110</v>
      </c>
      <c r="H452" s="27" t="s">
        <v>1110</v>
      </c>
      <c r="I452" s="29" t="s">
        <v>5375</v>
      </c>
      <c r="J452" s="29" t="s">
        <v>3963</v>
      </c>
      <c r="K452" s="26" t="s">
        <v>4214</v>
      </c>
      <c r="L452" s="25">
        <v>2.0</v>
      </c>
      <c r="M452" s="27" t="s">
        <v>1137</v>
      </c>
      <c r="N452" s="166" t="s">
        <v>1174</v>
      </c>
      <c r="O452" s="26" t="s">
        <v>4789</v>
      </c>
      <c r="P452" s="26" t="s">
        <v>4886</v>
      </c>
      <c r="Q452" s="26" t="s">
        <v>4887</v>
      </c>
      <c r="R452" s="26" t="s">
        <v>3991</v>
      </c>
      <c r="S452" s="26" t="str">
        <f t="shared" si="96"/>
        <v>กลุ่มงานการพยาบาลผู้ป่วยนอก</v>
      </c>
      <c r="T452" s="26" t="s">
        <v>4887</v>
      </c>
      <c r="U452" s="26" t="s">
        <v>1302</v>
      </c>
      <c r="V452" s="25">
        <v>2.0</v>
      </c>
      <c r="W452" s="26" t="s">
        <v>3991</v>
      </c>
      <c r="X452" s="98" t="s">
        <v>1312</v>
      </c>
      <c r="Y452" s="31">
        <v>12.0</v>
      </c>
      <c r="Z452" s="31">
        <v>17.0</v>
      </c>
      <c r="AA452" s="31">
        <v>139.0</v>
      </c>
      <c r="AB452" s="31">
        <v>160.0</v>
      </c>
      <c r="AC452" s="32">
        <v>1.0</v>
      </c>
      <c r="AD452" s="26"/>
      <c r="AE452" s="26"/>
      <c r="AF452" s="32">
        <v>47.0</v>
      </c>
      <c r="AG452" s="37">
        <v>1.502201066519E12</v>
      </c>
      <c r="AH452" s="37" t="s">
        <v>556</v>
      </c>
      <c r="AI452" s="44">
        <v>237146.0</v>
      </c>
    </row>
    <row r="453" ht="38.25" customHeight="1">
      <c r="A453" s="25">
        <v>449.0</v>
      </c>
      <c r="B453" s="26" t="s">
        <v>1037</v>
      </c>
      <c r="C453" s="26" t="s">
        <v>5376</v>
      </c>
      <c r="D453" s="26" t="s">
        <v>5377</v>
      </c>
      <c r="E453" s="26" t="s">
        <v>5114</v>
      </c>
      <c r="F453" s="26" t="str">
        <f>+E453</f>
        <v>พนักงานช่วยเหลือคนไข้</v>
      </c>
      <c r="G453" s="27" t="s">
        <v>1110</v>
      </c>
      <c r="H453" s="27" t="s">
        <v>1110</v>
      </c>
      <c r="I453" s="29" t="s">
        <v>5378</v>
      </c>
      <c r="J453" s="29" t="s">
        <v>3963</v>
      </c>
      <c r="K453" s="27" t="s">
        <v>4214</v>
      </c>
      <c r="L453" s="25">
        <v>2.0</v>
      </c>
      <c r="M453" s="27" t="s">
        <v>1137</v>
      </c>
      <c r="N453" s="30" t="s">
        <v>1174</v>
      </c>
      <c r="O453" s="26"/>
      <c r="P453" s="26" t="s">
        <v>4522</v>
      </c>
      <c r="Q453" s="26" t="s">
        <v>5379</v>
      </c>
      <c r="R453" s="26" t="s">
        <v>4064</v>
      </c>
      <c r="S453" s="26" t="s">
        <v>5380</v>
      </c>
      <c r="T453" s="26" t="s">
        <v>5379</v>
      </c>
      <c r="U453" s="26" t="s">
        <v>1302</v>
      </c>
      <c r="V453" s="98" t="s">
        <v>5381</v>
      </c>
      <c r="W453" s="26" t="s">
        <v>4064</v>
      </c>
      <c r="X453" s="25" t="s">
        <v>3935</v>
      </c>
      <c r="Y453" s="31">
        <v>2.0</v>
      </c>
      <c r="Z453" s="31">
        <v>5.0</v>
      </c>
      <c r="AA453" s="63">
        <v>18.0</v>
      </c>
      <c r="AB453" s="31">
        <v>160.0</v>
      </c>
      <c r="AC453" s="32">
        <v>1.0</v>
      </c>
      <c r="AD453" s="26"/>
      <c r="AE453" s="26"/>
      <c r="AF453" s="32">
        <v>47.0</v>
      </c>
      <c r="AG453" s="37">
        <v>1.601100270771E12</v>
      </c>
      <c r="AH453" s="37" t="s">
        <v>485</v>
      </c>
      <c r="AI453" s="38" t="s">
        <v>5382</v>
      </c>
    </row>
    <row r="454" ht="38.25" hidden="1" customHeight="1">
      <c r="A454" s="25">
        <v>450.0</v>
      </c>
      <c r="B454" s="64" t="s">
        <v>2692</v>
      </c>
      <c r="C454" s="172" t="s">
        <v>5383</v>
      </c>
      <c r="D454" s="64" t="s">
        <v>5384</v>
      </c>
      <c r="E454" s="26" t="s">
        <v>5114</v>
      </c>
      <c r="F454" s="26" t="s">
        <v>5114</v>
      </c>
      <c r="G454" s="27" t="s">
        <v>1110</v>
      </c>
      <c r="H454" s="27" t="s">
        <v>1110</v>
      </c>
      <c r="I454" s="29" t="s">
        <v>5385</v>
      </c>
      <c r="J454" s="29" t="s">
        <v>3963</v>
      </c>
      <c r="K454" s="26" t="s">
        <v>4214</v>
      </c>
      <c r="L454" s="25">
        <v>2.0</v>
      </c>
      <c r="M454" s="27" t="s">
        <v>1137</v>
      </c>
      <c r="N454" s="166" t="s">
        <v>1174</v>
      </c>
      <c r="O454" s="26" t="s">
        <v>5182</v>
      </c>
      <c r="P454" s="26" t="s">
        <v>5183</v>
      </c>
      <c r="Q454" s="26" t="s">
        <v>5184</v>
      </c>
      <c r="R454" s="26" t="s">
        <v>3991</v>
      </c>
      <c r="S454" s="26" t="str">
        <f t="shared" ref="S454:S485" si="97">+T454</f>
        <v>กลุ่มงานการพยาบาลผู้ป่วยห้องผ่าตัด</v>
      </c>
      <c r="T454" s="26" t="s">
        <v>5184</v>
      </c>
      <c r="U454" s="26" t="s">
        <v>1302</v>
      </c>
      <c r="V454" s="25">
        <v>5.0</v>
      </c>
      <c r="W454" s="26" t="s">
        <v>3991</v>
      </c>
      <c r="X454" s="98" t="s">
        <v>1312</v>
      </c>
      <c r="Y454" s="31">
        <v>8.0</v>
      </c>
      <c r="Z454" s="31">
        <v>9.0</v>
      </c>
      <c r="AA454" s="31">
        <v>139.0</v>
      </c>
      <c r="AB454" s="31">
        <v>160.0</v>
      </c>
      <c r="AC454" s="32">
        <v>0.0</v>
      </c>
      <c r="AD454" s="26" t="s">
        <v>4155</v>
      </c>
      <c r="AE454" s="26"/>
      <c r="AF454" s="32">
        <v>47.0</v>
      </c>
      <c r="AG454" s="65"/>
      <c r="AH454" s="65"/>
      <c r="AI454" s="66"/>
    </row>
    <row r="455" ht="38.25" hidden="1" customHeight="1">
      <c r="A455" s="32">
        <v>451.0</v>
      </c>
      <c r="B455" s="26" t="s">
        <v>2692</v>
      </c>
      <c r="C455" s="26" t="s">
        <v>5386</v>
      </c>
      <c r="D455" s="26" t="s">
        <v>5387</v>
      </c>
      <c r="E455" s="26" t="s">
        <v>5114</v>
      </c>
      <c r="F455" s="26" t="s">
        <v>5114</v>
      </c>
      <c r="G455" s="27" t="s">
        <v>1110</v>
      </c>
      <c r="H455" s="27" t="s">
        <v>1110</v>
      </c>
      <c r="I455" s="29" t="s">
        <v>5388</v>
      </c>
      <c r="J455" s="29" t="s">
        <v>3963</v>
      </c>
      <c r="K455" s="26" t="s">
        <v>4214</v>
      </c>
      <c r="L455" s="25">
        <v>2.0</v>
      </c>
      <c r="M455" s="27" t="s">
        <v>1137</v>
      </c>
      <c r="N455" s="166" t="s">
        <v>1174</v>
      </c>
      <c r="O455" s="26" t="s">
        <v>5182</v>
      </c>
      <c r="P455" s="26" t="s">
        <v>5183</v>
      </c>
      <c r="Q455" s="26" t="s">
        <v>5184</v>
      </c>
      <c r="R455" s="26" t="s">
        <v>3991</v>
      </c>
      <c r="S455" s="26" t="str">
        <f t="shared" si="97"/>
        <v>กลุ่มงานการพยาบาลผู้ป่วยห้องผ่าตัด</v>
      </c>
      <c r="T455" s="26" t="s">
        <v>5184</v>
      </c>
      <c r="U455" s="26" t="s">
        <v>1302</v>
      </c>
      <c r="V455" s="25">
        <v>5.0</v>
      </c>
      <c r="W455" s="26" t="s">
        <v>3991</v>
      </c>
      <c r="X455" s="98" t="s">
        <v>1312</v>
      </c>
      <c r="Y455" s="31">
        <v>8.0</v>
      </c>
      <c r="Z455" s="31">
        <v>9.0</v>
      </c>
      <c r="AA455" s="31">
        <v>139.0</v>
      </c>
      <c r="AB455" s="31">
        <v>160.0</v>
      </c>
      <c r="AC455" s="32">
        <v>1.0</v>
      </c>
      <c r="AD455" s="26"/>
      <c r="AE455" s="26"/>
      <c r="AF455" s="32">
        <v>47.0</v>
      </c>
      <c r="AG455" s="33">
        <v>1.589800025743E12</v>
      </c>
      <c r="AH455" s="33" t="s">
        <v>1096</v>
      </c>
      <c r="AI455" s="34" t="s">
        <v>5389</v>
      </c>
    </row>
    <row r="456" ht="38.25" hidden="1" customHeight="1">
      <c r="A456" s="25">
        <v>452.0</v>
      </c>
      <c r="B456" s="26" t="s">
        <v>1037</v>
      </c>
      <c r="C456" s="26" t="s">
        <v>5390</v>
      </c>
      <c r="D456" s="26" t="s">
        <v>5391</v>
      </c>
      <c r="E456" s="26" t="s">
        <v>5114</v>
      </c>
      <c r="F456" s="26" t="s">
        <v>5114</v>
      </c>
      <c r="G456" s="27" t="s">
        <v>1110</v>
      </c>
      <c r="H456" s="27" t="s">
        <v>1110</v>
      </c>
      <c r="I456" s="29" t="s">
        <v>5392</v>
      </c>
      <c r="J456" s="29" t="s">
        <v>3963</v>
      </c>
      <c r="K456" s="26" t="s">
        <v>4214</v>
      </c>
      <c r="L456" s="25">
        <v>2.0</v>
      </c>
      <c r="M456" s="27" t="s">
        <v>1137</v>
      </c>
      <c r="N456" s="166" t="s">
        <v>1174</v>
      </c>
      <c r="O456" s="26" t="s">
        <v>4789</v>
      </c>
      <c r="P456" s="26" t="s">
        <v>4886</v>
      </c>
      <c r="Q456" s="26" t="s">
        <v>4887</v>
      </c>
      <c r="R456" s="26" t="s">
        <v>3991</v>
      </c>
      <c r="S456" s="26" t="str">
        <f t="shared" si="97"/>
        <v>กลุ่มงานการพยาบาลผู้ป่วยนอก</v>
      </c>
      <c r="T456" s="26" t="s">
        <v>4887</v>
      </c>
      <c r="U456" s="26" t="s">
        <v>1302</v>
      </c>
      <c r="V456" s="25">
        <v>2.0</v>
      </c>
      <c r="W456" s="26" t="s">
        <v>3991</v>
      </c>
      <c r="X456" s="98" t="s">
        <v>1312</v>
      </c>
      <c r="Y456" s="31">
        <v>12.0</v>
      </c>
      <c r="Z456" s="31">
        <v>17.0</v>
      </c>
      <c r="AA456" s="31">
        <v>139.0</v>
      </c>
      <c r="AB456" s="31">
        <v>160.0</v>
      </c>
      <c r="AC456" s="32">
        <v>1.0</v>
      </c>
      <c r="AD456" s="26"/>
      <c r="AE456" s="26"/>
      <c r="AF456" s="32">
        <v>47.0</v>
      </c>
      <c r="AG456" s="33">
        <v>1.500301205781E12</v>
      </c>
      <c r="AH456" s="33" t="s">
        <v>1060</v>
      </c>
      <c r="AI456" s="34" t="s">
        <v>5393</v>
      </c>
    </row>
    <row r="457" ht="38.25" hidden="1" customHeight="1">
      <c r="A457" s="25">
        <v>453.0</v>
      </c>
      <c r="B457" s="26" t="s">
        <v>1037</v>
      </c>
      <c r="C457" s="26" t="s">
        <v>5394</v>
      </c>
      <c r="D457" s="26" t="s">
        <v>5395</v>
      </c>
      <c r="E457" s="26" t="s">
        <v>5114</v>
      </c>
      <c r="F457" s="26" t="s">
        <v>5114</v>
      </c>
      <c r="G457" s="27" t="s">
        <v>1110</v>
      </c>
      <c r="H457" s="27" t="s">
        <v>1110</v>
      </c>
      <c r="I457" s="29" t="s">
        <v>5396</v>
      </c>
      <c r="J457" s="29" t="s">
        <v>3963</v>
      </c>
      <c r="K457" s="26" t="s">
        <v>4214</v>
      </c>
      <c r="L457" s="25">
        <v>2.0</v>
      </c>
      <c r="M457" s="27" t="s">
        <v>1137</v>
      </c>
      <c r="N457" s="166" t="s">
        <v>1174</v>
      </c>
      <c r="O457" s="26" t="s">
        <v>5118</v>
      </c>
      <c r="P457" s="26" t="s">
        <v>5118</v>
      </c>
      <c r="Q457" s="26" t="s">
        <v>4879</v>
      </c>
      <c r="R457" s="26" t="s">
        <v>3991</v>
      </c>
      <c r="S457" s="26" t="str">
        <f t="shared" si="97"/>
        <v>กลุ่มงานการพยาบาลผู้ป่วยกุมารเวชกรรม</v>
      </c>
      <c r="T457" s="26" t="s">
        <v>4879</v>
      </c>
      <c r="U457" s="26" t="s">
        <v>1302</v>
      </c>
      <c r="V457" s="25">
        <v>11.0</v>
      </c>
      <c r="W457" s="26" t="s">
        <v>3991</v>
      </c>
      <c r="X457" s="98" t="s">
        <v>1312</v>
      </c>
      <c r="Y457" s="31">
        <v>11.0</v>
      </c>
      <c r="Z457" s="31">
        <v>15.0</v>
      </c>
      <c r="AA457" s="31">
        <v>139.0</v>
      </c>
      <c r="AB457" s="31">
        <v>160.0</v>
      </c>
      <c r="AC457" s="32">
        <v>1.0</v>
      </c>
      <c r="AD457" s="26"/>
      <c r="AE457" s="26"/>
      <c r="AF457" s="32">
        <v>47.0</v>
      </c>
      <c r="AG457" s="37">
        <v>8.580176042327E12</v>
      </c>
      <c r="AH457" s="37" t="s">
        <v>994</v>
      </c>
      <c r="AI457" s="38" t="s">
        <v>5397</v>
      </c>
    </row>
    <row r="458" ht="38.25" hidden="1" customHeight="1">
      <c r="A458" s="32">
        <v>454.0</v>
      </c>
      <c r="B458" s="26" t="s">
        <v>1037</v>
      </c>
      <c r="C458" s="26" t="s">
        <v>4982</v>
      </c>
      <c r="D458" s="26" t="s">
        <v>5398</v>
      </c>
      <c r="E458" s="26" t="s">
        <v>5114</v>
      </c>
      <c r="F458" s="26" t="s">
        <v>5114</v>
      </c>
      <c r="G458" s="27" t="s">
        <v>1110</v>
      </c>
      <c r="H458" s="27" t="s">
        <v>1110</v>
      </c>
      <c r="I458" s="29" t="s">
        <v>5399</v>
      </c>
      <c r="J458" s="29" t="s">
        <v>3963</v>
      </c>
      <c r="K458" s="26" t="s">
        <v>4214</v>
      </c>
      <c r="L458" s="25">
        <v>2.0</v>
      </c>
      <c r="M458" s="27" t="s">
        <v>1137</v>
      </c>
      <c r="N458" s="166" t="s">
        <v>1174</v>
      </c>
      <c r="O458" s="26" t="s">
        <v>5173</v>
      </c>
      <c r="P458" s="26" t="s">
        <v>5174</v>
      </c>
      <c r="Q458" s="26" t="s">
        <v>5115</v>
      </c>
      <c r="R458" s="26" t="s">
        <v>3991</v>
      </c>
      <c r="S458" s="26" t="str">
        <f t="shared" si="97"/>
        <v>กลุ่มงานการพยาบาลผู้คลอด</v>
      </c>
      <c r="T458" s="26" t="s">
        <v>5115</v>
      </c>
      <c r="U458" s="26" t="s">
        <v>1302</v>
      </c>
      <c r="V458" s="25">
        <v>4.0</v>
      </c>
      <c r="W458" s="26" t="s">
        <v>3991</v>
      </c>
      <c r="X458" s="98" t="s">
        <v>1312</v>
      </c>
      <c r="Y458" s="31">
        <v>5.0</v>
      </c>
      <c r="Z458" s="31">
        <v>6.0</v>
      </c>
      <c r="AA458" s="31">
        <v>139.0</v>
      </c>
      <c r="AB458" s="31">
        <v>160.0</v>
      </c>
      <c r="AC458" s="32">
        <v>1.0</v>
      </c>
      <c r="AD458" s="26"/>
      <c r="AE458" s="26"/>
      <c r="AF458" s="32">
        <v>47.0</v>
      </c>
      <c r="AG458" s="33">
        <v>1.508000006751E12</v>
      </c>
      <c r="AH458" s="33" t="s">
        <v>998</v>
      </c>
      <c r="AI458" s="34" t="s">
        <v>5400</v>
      </c>
    </row>
    <row r="459" ht="38.25" hidden="1" customHeight="1">
      <c r="A459" s="25">
        <v>455.0</v>
      </c>
      <c r="B459" s="26"/>
      <c r="C459" s="26"/>
      <c r="D459" s="64">
        <v>1.0</v>
      </c>
      <c r="E459" s="26" t="s">
        <v>5114</v>
      </c>
      <c r="F459" s="26" t="s">
        <v>5114</v>
      </c>
      <c r="G459" s="27" t="s">
        <v>1110</v>
      </c>
      <c r="H459" s="27" t="s">
        <v>1110</v>
      </c>
      <c r="I459" s="29" t="s">
        <v>5401</v>
      </c>
      <c r="J459" s="29" t="s">
        <v>3963</v>
      </c>
      <c r="K459" s="26" t="s">
        <v>4214</v>
      </c>
      <c r="L459" s="25">
        <v>2.0</v>
      </c>
      <c r="M459" s="27" t="s">
        <v>1137</v>
      </c>
      <c r="N459" s="166" t="s">
        <v>1174</v>
      </c>
      <c r="O459" s="26" t="s">
        <v>4867</v>
      </c>
      <c r="P459" s="26" t="s">
        <v>4868</v>
      </c>
      <c r="Q459" s="26" t="s">
        <v>4869</v>
      </c>
      <c r="R459" s="26" t="s">
        <v>3991</v>
      </c>
      <c r="S459" s="26" t="str">
        <f t="shared" si="97"/>
        <v>กลุ่มงานการพยาบาลผู้ป่วยออร์โธปิดิกส์</v>
      </c>
      <c r="T459" s="26" t="s">
        <v>4869</v>
      </c>
      <c r="U459" s="26" t="s">
        <v>1302</v>
      </c>
      <c r="V459" s="25">
        <v>12.0</v>
      </c>
      <c r="W459" s="26" t="s">
        <v>3991</v>
      </c>
      <c r="X459" s="98" t="s">
        <v>1312</v>
      </c>
      <c r="Y459" s="31">
        <v>3.0</v>
      </c>
      <c r="Z459" s="31">
        <v>5.0</v>
      </c>
      <c r="AA459" s="31">
        <v>139.0</v>
      </c>
      <c r="AB459" s="31">
        <v>160.0</v>
      </c>
      <c r="AC459" s="32">
        <v>0.0</v>
      </c>
      <c r="AD459" s="26" t="s">
        <v>4155</v>
      </c>
      <c r="AE459" s="26"/>
      <c r="AF459" s="32">
        <v>47.0</v>
      </c>
      <c r="AG459" s="65"/>
      <c r="AH459" s="65"/>
      <c r="AI459" s="66"/>
    </row>
    <row r="460" ht="38.25" hidden="1" customHeight="1">
      <c r="A460" s="25">
        <v>456.0</v>
      </c>
      <c r="B460" s="26" t="s">
        <v>2692</v>
      </c>
      <c r="C460" s="26" t="s">
        <v>5402</v>
      </c>
      <c r="D460" s="26" t="s">
        <v>5403</v>
      </c>
      <c r="E460" s="26" t="s">
        <v>5114</v>
      </c>
      <c r="F460" s="26" t="s">
        <v>5114</v>
      </c>
      <c r="G460" s="27" t="s">
        <v>1110</v>
      </c>
      <c r="H460" s="27" t="s">
        <v>1110</v>
      </c>
      <c r="I460" s="29" t="s">
        <v>5404</v>
      </c>
      <c r="J460" s="29" t="s">
        <v>3963</v>
      </c>
      <c r="K460" s="26" t="s">
        <v>4214</v>
      </c>
      <c r="L460" s="25">
        <v>2.0</v>
      </c>
      <c r="M460" s="27" t="s">
        <v>1137</v>
      </c>
      <c r="N460" s="166" t="s">
        <v>1174</v>
      </c>
      <c r="O460" s="26" t="s">
        <v>4396</v>
      </c>
      <c r="P460" s="26" t="s">
        <v>4397</v>
      </c>
      <c r="Q460" s="26" t="s">
        <v>4398</v>
      </c>
      <c r="R460" s="26" t="s">
        <v>3991</v>
      </c>
      <c r="S460" s="26" t="str">
        <f t="shared" si="97"/>
        <v>กลุ่มงานการพยาบาลผู้ป่วยอุบัติเหตุและฉุกเฉิน</v>
      </c>
      <c r="T460" s="26" t="s">
        <v>4398</v>
      </c>
      <c r="U460" s="26" t="s">
        <v>1302</v>
      </c>
      <c r="V460" s="25">
        <v>1.0</v>
      </c>
      <c r="W460" s="26" t="s">
        <v>3991</v>
      </c>
      <c r="X460" s="98" t="s">
        <v>1312</v>
      </c>
      <c r="Y460" s="31">
        <v>5.0</v>
      </c>
      <c r="Z460" s="31">
        <v>8.0</v>
      </c>
      <c r="AA460" s="31">
        <v>139.0</v>
      </c>
      <c r="AB460" s="31">
        <v>160.0</v>
      </c>
      <c r="AC460" s="32">
        <v>1.0</v>
      </c>
      <c r="AD460" s="26"/>
      <c r="AE460" s="26"/>
      <c r="AF460" s="32">
        <v>47.0</v>
      </c>
      <c r="AG460" s="37">
        <v>1.500301248625E12</v>
      </c>
      <c r="AH460" s="37" t="s">
        <v>586</v>
      </c>
      <c r="AI460" s="44">
        <v>235615.0</v>
      </c>
    </row>
    <row r="461" ht="38.25" hidden="1" customHeight="1">
      <c r="A461" s="32">
        <v>457.0</v>
      </c>
      <c r="B461" s="26" t="s">
        <v>1037</v>
      </c>
      <c r="C461" s="26" t="s">
        <v>5405</v>
      </c>
      <c r="D461" s="26" t="s">
        <v>5406</v>
      </c>
      <c r="E461" s="26" t="s">
        <v>5114</v>
      </c>
      <c r="F461" s="26" t="s">
        <v>5114</v>
      </c>
      <c r="G461" s="27" t="s">
        <v>1110</v>
      </c>
      <c r="H461" s="27" t="s">
        <v>1110</v>
      </c>
      <c r="I461" s="90" t="s">
        <v>5407</v>
      </c>
      <c r="J461" s="29" t="s">
        <v>3963</v>
      </c>
      <c r="K461" s="26" t="s">
        <v>4214</v>
      </c>
      <c r="L461" s="25">
        <v>2.0</v>
      </c>
      <c r="M461" s="27" t="s">
        <v>1137</v>
      </c>
      <c r="N461" s="166" t="s">
        <v>1174</v>
      </c>
      <c r="O461" s="26" t="s">
        <v>4644</v>
      </c>
      <c r="P461" s="26" t="s">
        <v>5348</v>
      </c>
      <c r="Q461" s="26" t="s">
        <v>5349</v>
      </c>
      <c r="R461" s="26" t="s">
        <v>3991</v>
      </c>
      <c r="S461" s="26" t="str">
        <f t="shared" si="97"/>
        <v>กลุ่มงานการพยาบาลวิสัญญี</v>
      </c>
      <c r="T461" s="26" t="s">
        <v>5349</v>
      </c>
      <c r="U461" s="26" t="s">
        <v>1302</v>
      </c>
      <c r="V461" s="25">
        <v>6.0</v>
      </c>
      <c r="W461" s="26" t="s">
        <v>3991</v>
      </c>
      <c r="X461" s="98" t="s">
        <v>1312</v>
      </c>
      <c r="Y461" s="31">
        <v>2.0</v>
      </c>
      <c r="Z461" s="31">
        <v>3.0</v>
      </c>
      <c r="AA461" s="31">
        <v>139.0</v>
      </c>
      <c r="AB461" s="31">
        <v>160.0</v>
      </c>
      <c r="AC461" s="32">
        <v>1.0</v>
      </c>
      <c r="AD461" s="26"/>
      <c r="AE461" s="26"/>
      <c r="AF461" s="32">
        <v>47.0</v>
      </c>
      <c r="AG461" s="33">
        <v>1.500300186634E12</v>
      </c>
      <c r="AH461" s="33" t="s">
        <v>794</v>
      </c>
      <c r="AI461" s="34" t="s">
        <v>5408</v>
      </c>
    </row>
    <row r="462" ht="38.25" hidden="1" customHeight="1">
      <c r="A462" s="25">
        <v>458.0</v>
      </c>
      <c r="B462" s="26" t="s">
        <v>1037</v>
      </c>
      <c r="C462" s="26" t="s">
        <v>5409</v>
      </c>
      <c r="D462" s="26" t="s">
        <v>5410</v>
      </c>
      <c r="E462" s="26" t="s">
        <v>5114</v>
      </c>
      <c r="F462" s="26" t="s">
        <v>5114</v>
      </c>
      <c r="G462" s="27" t="s">
        <v>1110</v>
      </c>
      <c r="H462" s="27" t="s">
        <v>1110</v>
      </c>
      <c r="I462" s="29" t="s">
        <v>5411</v>
      </c>
      <c r="J462" s="29" t="s">
        <v>3963</v>
      </c>
      <c r="K462" s="26" t="s">
        <v>4214</v>
      </c>
      <c r="L462" s="25">
        <v>2.0</v>
      </c>
      <c r="M462" s="27" t="s">
        <v>1137</v>
      </c>
      <c r="N462" s="166" t="s">
        <v>1174</v>
      </c>
      <c r="O462" s="26" t="s">
        <v>5153</v>
      </c>
      <c r="P462" s="26" t="s">
        <v>5154</v>
      </c>
      <c r="Q462" s="26" t="s">
        <v>4959</v>
      </c>
      <c r="R462" s="26" t="s">
        <v>3991</v>
      </c>
      <c r="S462" s="26" t="str">
        <f t="shared" si="97"/>
        <v>กลุ่มงานการพยาบาลผู้ป่วยหนัก</v>
      </c>
      <c r="T462" s="26" t="s">
        <v>4959</v>
      </c>
      <c r="U462" s="26" t="s">
        <v>1302</v>
      </c>
      <c r="V462" s="25">
        <v>3.0</v>
      </c>
      <c r="W462" s="26" t="s">
        <v>3991</v>
      </c>
      <c r="X462" s="98" t="s">
        <v>1312</v>
      </c>
      <c r="Y462" s="31">
        <v>10.0</v>
      </c>
      <c r="Z462" s="31">
        <v>12.0</v>
      </c>
      <c r="AA462" s="31">
        <v>139.0</v>
      </c>
      <c r="AB462" s="31">
        <v>160.0</v>
      </c>
      <c r="AC462" s="32">
        <v>1.0</v>
      </c>
      <c r="AD462" s="26"/>
      <c r="AE462" s="26"/>
      <c r="AF462" s="32">
        <v>47.0</v>
      </c>
      <c r="AG462" s="37"/>
      <c r="AH462" s="37"/>
      <c r="AI462" s="38"/>
    </row>
    <row r="463" ht="38.25" hidden="1" customHeight="1">
      <c r="A463" s="32">
        <v>458.0</v>
      </c>
      <c r="B463" s="170" t="s">
        <v>1037</v>
      </c>
      <c r="C463" s="183" t="s">
        <v>5409</v>
      </c>
      <c r="D463" s="26" t="s">
        <v>5410</v>
      </c>
      <c r="E463" s="26" t="s">
        <v>5114</v>
      </c>
      <c r="F463" s="26" t="s">
        <v>5114</v>
      </c>
      <c r="G463" s="27" t="s">
        <v>1110</v>
      </c>
      <c r="H463" s="27" t="s">
        <v>1110</v>
      </c>
      <c r="I463" s="29" t="s">
        <v>5412</v>
      </c>
      <c r="J463" s="29" t="s">
        <v>3963</v>
      </c>
      <c r="K463" s="26" t="s">
        <v>4214</v>
      </c>
      <c r="L463" s="25">
        <v>2.0</v>
      </c>
      <c r="M463" s="27" t="s">
        <v>1137</v>
      </c>
      <c r="N463" s="166" t="s">
        <v>1174</v>
      </c>
      <c r="O463" s="26" t="s">
        <v>5153</v>
      </c>
      <c r="P463" s="26" t="s">
        <v>5154</v>
      </c>
      <c r="Q463" s="26" t="s">
        <v>4959</v>
      </c>
      <c r="R463" s="26" t="s">
        <v>3991</v>
      </c>
      <c r="S463" s="26" t="str">
        <f t="shared" si="97"/>
        <v>กลุ่มงานการพยาบาลผู้ป่วยหนัก</v>
      </c>
      <c r="T463" s="26" t="s">
        <v>4959</v>
      </c>
      <c r="U463" s="26" t="s">
        <v>1302</v>
      </c>
      <c r="V463" s="25">
        <v>3.0</v>
      </c>
      <c r="W463" s="26" t="s">
        <v>3991</v>
      </c>
      <c r="X463" s="98" t="s">
        <v>1312</v>
      </c>
      <c r="Y463" s="31">
        <v>10.0</v>
      </c>
      <c r="Z463" s="31">
        <v>12.0</v>
      </c>
      <c r="AA463" s="31">
        <v>139.0</v>
      </c>
      <c r="AB463" s="31">
        <v>160.0</v>
      </c>
      <c r="AC463" s="32">
        <v>0.0</v>
      </c>
      <c r="AD463" s="70" t="s">
        <v>5413</v>
      </c>
      <c r="AE463" s="26"/>
      <c r="AF463" s="32">
        <v>47.0</v>
      </c>
      <c r="AG463" s="67">
        <v>1.509966271451E12</v>
      </c>
      <c r="AH463" s="67" t="s">
        <v>163</v>
      </c>
      <c r="AI463" s="168" t="s">
        <v>5414</v>
      </c>
    </row>
    <row r="464" ht="38.25" hidden="1" customHeight="1">
      <c r="A464" s="25">
        <v>459.0</v>
      </c>
      <c r="B464" s="26" t="s">
        <v>1037</v>
      </c>
      <c r="C464" s="26" t="s">
        <v>5415</v>
      </c>
      <c r="D464" s="26" t="s">
        <v>5416</v>
      </c>
      <c r="E464" s="26" t="s">
        <v>5114</v>
      </c>
      <c r="F464" s="26" t="s">
        <v>5114</v>
      </c>
      <c r="G464" s="27" t="s">
        <v>1110</v>
      </c>
      <c r="H464" s="27" t="s">
        <v>1110</v>
      </c>
      <c r="I464" s="90" t="s">
        <v>5417</v>
      </c>
      <c r="J464" s="29" t="s">
        <v>3963</v>
      </c>
      <c r="K464" s="26" t="s">
        <v>4214</v>
      </c>
      <c r="L464" s="25">
        <v>2.0</v>
      </c>
      <c r="M464" s="27" t="s">
        <v>1137</v>
      </c>
      <c r="N464" s="166" t="s">
        <v>1174</v>
      </c>
      <c r="O464" s="26" t="s">
        <v>4644</v>
      </c>
      <c r="P464" s="26" t="s">
        <v>5348</v>
      </c>
      <c r="Q464" s="26" t="s">
        <v>5349</v>
      </c>
      <c r="R464" s="26" t="s">
        <v>3991</v>
      </c>
      <c r="S464" s="26" t="str">
        <f t="shared" si="97"/>
        <v>กลุ่มงานการพยาบาลวิสัญญี</v>
      </c>
      <c r="T464" s="26" t="s">
        <v>5349</v>
      </c>
      <c r="U464" s="26" t="s">
        <v>1302</v>
      </c>
      <c r="V464" s="25">
        <v>6.0</v>
      </c>
      <c r="W464" s="26" t="s">
        <v>3991</v>
      </c>
      <c r="X464" s="98" t="s">
        <v>1312</v>
      </c>
      <c r="Y464" s="31">
        <v>2.0</v>
      </c>
      <c r="Z464" s="31">
        <v>3.0</v>
      </c>
      <c r="AA464" s="31">
        <v>139.0</v>
      </c>
      <c r="AB464" s="31">
        <v>160.0</v>
      </c>
      <c r="AC464" s="32">
        <v>1.0</v>
      </c>
      <c r="AD464" s="26"/>
      <c r="AE464" s="26"/>
      <c r="AF464" s="32">
        <v>47.0</v>
      </c>
      <c r="AG464" s="37">
        <v>1.589500027414E12</v>
      </c>
      <c r="AH464" s="37" t="s">
        <v>571</v>
      </c>
      <c r="AI464" s="38" t="s">
        <v>5418</v>
      </c>
    </row>
    <row r="465" ht="38.25" hidden="1" customHeight="1">
      <c r="A465" s="32">
        <v>460.0</v>
      </c>
      <c r="B465" s="26" t="s">
        <v>1037</v>
      </c>
      <c r="C465" s="26" t="s">
        <v>3236</v>
      </c>
      <c r="D465" s="26" t="s">
        <v>5419</v>
      </c>
      <c r="E465" s="26" t="s">
        <v>5114</v>
      </c>
      <c r="F465" s="26" t="s">
        <v>5114</v>
      </c>
      <c r="G465" s="27" t="s">
        <v>1110</v>
      </c>
      <c r="H465" s="27" t="s">
        <v>1110</v>
      </c>
      <c r="I465" s="29" t="s">
        <v>5412</v>
      </c>
      <c r="J465" s="29" t="s">
        <v>3963</v>
      </c>
      <c r="K465" s="26" t="s">
        <v>4214</v>
      </c>
      <c r="L465" s="25">
        <v>2.0</v>
      </c>
      <c r="M465" s="27" t="s">
        <v>1137</v>
      </c>
      <c r="N465" s="166" t="s">
        <v>1174</v>
      </c>
      <c r="O465" s="26" t="s">
        <v>5153</v>
      </c>
      <c r="P465" s="26" t="s">
        <v>5154</v>
      </c>
      <c r="Q465" s="26" t="s">
        <v>4959</v>
      </c>
      <c r="R465" s="26" t="s">
        <v>3991</v>
      </c>
      <c r="S465" s="26" t="str">
        <f t="shared" si="97"/>
        <v>กลุ่มงานการพยาบาลผู้ป่วยหนัก</v>
      </c>
      <c r="T465" s="26" t="s">
        <v>4959</v>
      </c>
      <c r="U465" s="26" t="s">
        <v>1302</v>
      </c>
      <c r="V465" s="25">
        <v>3.0</v>
      </c>
      <c r="W465" s="26" t="s">
        <v>3991</v>
      </c>
      <c r="X465" s="98" t="s">
        <v>1312</v>
      </c>
      <c r="Y465" s="31">
        <v>10.0</v>
      </c>
      <c r="Z465" s="31">
        <v>12.0</v>
      </c>
      <c r="AA465" s="31">
        <v>139.0</v>
      </c>
      <c r="AB465" s="31">
        <v>160.0</v>
      </c>
      <c r="AC465" s="32">
        <v>1.0</v>
      </c>
      <c r="AD465" s="26"/>
      <c r="AE465" s="26"/>
      <c r="AF465" s="32">
        <v>47.0</v>
      </c>
      <c r="AG465" s="37"/>
      <c r="AH465" s="37"/>
      <c r="AI465" s="38"/>
    </row>
    <row r="466" ht="38.25" hidden="1" customHeight="1">
      <c r="A466" s="32">
        <v>460.0</v>
      </c>
      <c r="B466" s="170" t="s">
        <v>1037</v>
      </c>
      <c r="C466" s="170" t="s">
        <v>3236</v>
      </c>
      <c r="D466" s="26" t="s">
        <v>5419</v>
      </c>
      <c r="E466" s="26" t="s">
        <v>5114</v>
      </c>
      <c r="F466" s="26" t="s">
        <v>5114</v>
      </c>
      <c r="G466" s="27" t="s">
        <v>1110</v>
      </c>
      <c r="H466" s="27" t="s">
        <v>1110</v>
      </c>
      <c r="I466" s="29" t="s">
        <v>5411</v>
      </c>
      <c r="J466" s="29" t="s">
        <v>3963</v>
      </c>
      <c r="K466" s="26" t="s">
        <v>4214</v>
      </c>
      <c r="L466" s="25">
        <v>2.0</v>
      </c>
      <c r="M466" s="27" t="s">
        <v>1137</v>
      </c>
      <c r="N466" s="166" t="s">
        <v>1174</v>
      </c>
      <c r="O466" s="26" t="s">
        <v>5153</v>
      </c>
      <c r="P466" s="26" t="s">
        <v>5154</v>
      </c>
      <c r="Q466" s="26" t="s">
        <v>4959</v>
      </c>
      <c r="R466" s="26" t="s">
        <v>3991</v>
      </c>
      <c r="S466" s="26" t="str">
        <f t="shared" si="97"/>
        <v>กลุ่มงานการพยาบาลผู้ป่วยหนัก</v>
      </c>
      <c r="T466" s="26" t="s">
        <v>4959</v>
      </c>
      <c r="U466" s="26" t="s">
        <v>1302</v>
      </c>
      <c r="V466" s="25">
        <v>3.0</v>
      </c>
      <c r="W466" s="26" t="s">
        <v>3991</v>
      </c>
      <c r="X466" s="98" t="s">
        <v>1312</v>
      </c>
      <c r="Y466" s="31">
        <v>10.0</v>
      </c>
      <c r="Z466" s="31">
        <v>12.0</v>
      </c>
      <c r="AA466" s="31">
        <v>139.0</v>
      </c>
      <c r="AB466" s="31">
        <v>160.0</v>
      </c>
      <c r="AC466" s="32">
        <v>0.0</v>
      </c>
      <c r="AD466" s="70" t="s">
        <v>5360</v>
      </c>
      <c r="AE466" s="26"/>
      <c r="AF466" s="32">
        <v>47.0</v>
      </c>
      <c r="AG466" s="67">
        <v>3.58040029737E12</v>
      </c>
      <c r="AH466" s="67" t="s">
        <v>175</v>
      </c>
      <c r="AI466" s="68">
        <v>228594.0</v>
      </c>
    </row>
    <row r="467" ht="38.25" hidden="1" customHeight="1">
      <c r="A467" s="25">
        <v>461.0</v>
      </c>
      <c r="B467" s="26"/>
      <c r="C467" s="26"/>
      <c r="D467" s="64">
        <v>1.0</v>
      </c>
      <c r="E467" s="26" t="s">
        <v>5114</v>
      </c>
      <c r="F467" s="26" t="s">
        <v>5114</v>
      </c>
      <c r="G467" s="27" t="s">
        <v>1110</v>
      </c>
      <c r="H467" s="27" t="s">
        <v>1110</v>
      </c>
      <c r="I467" s="184" t="s">
        <v>5420</v>
      </c>
      <c r="J467" s="29" t="s">
        <v>3963</v>
      </c>
      <c r="K467" s="26" t="s">
        <v>4214</v>
      </c>
      <c r="L467" s="25">
        <v>2.0</v>
      </c>
      <c r="M467" s="27" t="s">
        <v>1137</v>
      </c>
      <c r="N467" s="166" t="s">
        <v>1174</v>
      </c>
      <c r="O467" s="26" t="s">
        <v>4396</v>
      </c>
      <c r="P467" s="26" t="s">
        <v>4397</v>
      </c>
      <c r="Q467" s="26" t="s">
        <v>4398</v>
      </c>
      <c r="R467" s="26" t="s">
        <v>3991</v>
      </c>
      <c r="S467" s="26" t="str">
        <f t="shared" si="97"/>
        <v>กลุ่มงานการพยาบาลผู้ป่วยอุบัติเหตุและฉุกเฉิน</v>
      </c>
      <c r="T467" s="26" t="s">
        <v>4398</v>
      </c>
      <c r="U467" s="26" t="s">
        <v>1302</v>
      </c>
      <c r="V467" s="25">
        <v>1.0</v>
      </c>
      <c r="W467" s="26" t="s">
        <v>3991</v>
      </c>
      <c r="X467" s="98" t="s">
        <v>1312</v>
      </c>
      <c r="Y467" s="31">
        <v>5.0</v>
      </c>
      <c r="Z467" s="31">
        <v>8.0</v>
      </c>
      <c r="AA467" s="31">
        <v>139.0</v>
      </c>
      <c r="AB467" s="31">
        <v>160.0</v>
      </c>
      <c r="AC467" s="32">
        <v>1.0</v>
      </c>
      <c r="AD467" s="26"/>
      <c r="AE467" s="26"/>
      <c r="AF467" s="32">
        <v>47.0</v>
      </c>
      <c r="AG467" s="33">
        <v>1.560100410859E12</v>
      </c>
      <c r="AH467" s="33" t="s">
        <v>339</v>
      </c>
      <c r="AI467" s="40">
        <v>233788.0</v>
      </c>
    </row>
    <row r="468" ht="38.25" hidden="1" customHeight="1">
      <c r="A468" s="25">
        <v>462.0</v>
      </c>
      <c r="B468" s="26" t="s">
        <v>806</v>
      </c>
      <c r="C468" s="26" t="s">
        <v>5421</v>
      </c>
      <c r="D468" s="26" t="s">
        <v>5085</v>
      </c>
      <c r="E468" s="26" t="s">
        <v>5114</v>
      </c>
      <c r="F468" s="26" t="s">
        <v>5114</v>
      </c>
      <c r="G468" s="27" t="s">
        <v>5422</v>
      </c>
      <c r="H468" s="185"/>
      <c r="I468" s="29">
        <v>26061.0</v>
      </c>
      <c r="J468" s="29" t="s">
        <v>5423</v>
      </c>
      <c r="K468" s="26" t="s">
        <v>4214</v>
      </c>
      <c r="L468" s="25">
        <v>2.0</v>
      </c>
      <c r="M468" s="27" t="s">
        <v>1137</v>
      </c>
      <c r="N468" s="165" t="s">
        <v>3981</v>
      </c>
      <c r="O468" s="26" t="s">
        <v>4789</v>
      </c>
      <c r="P468" s="26" t="s">
        <v>5133</v>
      </c>
      <c r="Q468" s="26" t="s">
        <v>3992</v>
      </c>
      <c r="R468" s="26" t="s">
        <v>3991</v>
      </c>
      <c r="S468" s="26" t="str">
        <f t="shared" si="97"/>
        <v>กลุ่มงานการพยาบาลผู้ป่วยนอก</v>
      </c>
      <c r="T468" s="26" t="s">
        <v>4887</v>
      </c>
      <c r="U468" s="26" t="s">
        <v>1302</v>
      </c>
      <c r="V468" s="25">
        <v>2.0</v>
      </c>
      <c r="W468" s="26" t="s">
        <v>3991</v>
      </c>
      <c r="X468" s="98" t="s">
        <v>1312</v>
      </c>
      <c r="Y468" s="31">
        <v>12.0</v>
      </c>
      <c r="Z468" s="31">
        <v>17.0</v>
      </c>
      <c r="AA468" s="31">
        <v>139.0</v>
      </c>
      <c r="AB468" s="31">
        <v>160.0</v>
      </c>
      <c r="AC468" s="32">
        <v>1.0</v>
      </c>
      <c r="AD468" s="26"/>
      <c r="AE468" s="26"/>
      <c r="AF468" s="32">
        <v>47.0</v>
      </c>
      <c r="AG468" s="37">
        <v>3.50140029715E12</v>
      </c>
      <c r="AH468" s="37" t="s">
        <v>2390</v>
      </c>
      <c r="AI468" s="38" t="s">
        <v>5424</v>
      </c>
    </row>
    <row r="469" ht="38.25" hidden="1" customHeight="1">
      <c r="A469" s="32">
        <v>463.0</v>
      </c>
      <c r="B469" s="26" t="s">
        <v>1037</v>
      </c>
      <c r="C469" s="26" t="s">
        <v>4898</v>
      </c>
      <c r="D469" s="26" t="s">
        <v>5132</v>
      </c>
      <c r="E469" s="26" t="s">
        <v>5114</v>
      </c>
      <c r="F469" s="26" t="s">
        <v>5114</v>
      </c>
      <c r="G469" s="27" t="s">
        <v>5422</v>
      </c>
      <c r="H469" s="185"/>
      <c r="I469" s="29">
        <v>26068.0</v>
      </c>
      <c r="J469" s="29" t="s">
        <v>5423</v>
      </c>
      <c r="K469" s="26" t="s">
        <v>4214</v>
      </c>
      <c r="L469" s="25">
        <v>2.0</v>
      </c>
      <c r="M469" s="27" t="s">
        <v>1137</v>
      </c>
      <c r="N469" s="166" t="s">
        <v>1174</v>
      </c>
      <c r="O469" s="26" t="s">
        <v>4789</v>
      </c>
      <c r="P469" s="26" t="s">
        <v>4886</v>
      </c>
      <c r="Q469" s="26" t="s">
        <v>4887</v>
      </c>
      <c r="R469" s="26" t="s">
        <v>3991</v>
      </c>
      <c r="S469" s="26" t="str">
        <f t="shared" si="97"/>
        <v>กลุ่มงานการพยาบาลผู้ป่วยนอก</v>
      </c>
      <c r="T469" s="26" t="s">
        <v>4887</v>
      </c>
      <c r="U469" s="26" t="s">
        <v>1302</v>
      </c>
      <c r="V469" s="25">
        <v>2.0</v>
      </c>
      <c r="W469" s="26" t="s">
        <v>3991</v>
      </c>
      <c r="X469" s="98" t="s">
        <v>1312</v>
      </c>
      <c r="Y469" s="31">
        <v>12.0</v>
      </c>
      <c r="Z469" s="31">
        <v>17.0</v>
      </c>
      <c r="AA469" s="31">
        <v>139.0</v>
      </c>
      <c r="AB469" s="31">
        <v>160.0</v>
      </c>
      <c r="AC469" s="32">
        <v>1.0</v>
      </c>
      <c r="AD469" s="26"/>
      <c r="AE469" s="26"/>
      <c r="AF469" s="32">
        <v>47.0</v>
      </c>
      <c r="AG469" s="33">
        <v>3.501400149321E12</v>
      </c>
      <c r="AH469" s="33" t="s">
        <v>3368</v>
      </c>
      <c r="AI469" s="40">
        <v>223325.0</v>
      </c>
    </row>
    <row r="470" ht="38.25" hidden="1" customHeight="1">
      <c r="A470" s="25">
        <v>464.0</v>
      </c>
      <c r="B470" s="64" t="s">
        <v>806</v>
      </c>
      <c r="C470" s="64" t="s">
        <v>5425</v>
      </c>
      <c r="D470" s="64" t="s">
        <v>5426</v>
      </c>
      <c r="E470" s="26" t="s">
        <v>5427</v>
      </c>
      <c r="F470" s="26" t="s">
        <v>5427</v>
      </c>
      <c r="G470" s="27" t="s">
        <v>1110</v>
      </c>
      <c r="H470" s="27" t="s">
        <v>1110</v>
      </c>
      <c r="I470" s="29">
        <v>4328.0</v>
      </c>
      <c r="J470" s="29" t="s">
        <v>1535</v>
      </c>
      <c r="K470" s="27" t="s">
        <v>4214</v>
      </c>
      <c r="L470" s="25">
        <v>4.0</v>
      </c>
      <c r="M470" s="27" t="s">
        <v>1137</v>
      </c>
      <c r="N470" s="59" t="s">
        <v>3981</v>
      </c>
      <c r="O470" s="26" t="s">
        <v>4424</v>
      </c>
      <c r="P470" s="26" t="s">
        <v>4423</v>
      </c>
      <c r="Q470" s="26" t="s">
        <v>4424</v>
      </c>
      <c r="R470" s="26" t="s">
        <v>4054</v>
      </c>
      <c r="S470" s="26" t="str">
        <f t="shared" si="97"/>
        <v>กลุ่มงานบริหารทั่วไป</v>
      </c>
      <c r="T470" s="26" t="s">
        <v>3992</v>
      </c>
      <c r="U470" s="26" t="s">
        <v>1302</v>
      </c>
      <c r="V470" s="25" t="s">
        <v>46</v>
      </c>
      <c r="W470" s="26" t="s">
        <v>1323</v>
      </c>
      <c r="X470" s="25" t="s">
        <v>46</v>
      </c>
      <c r="Y470" s="31">
        <v>14.0</v>
      </c>
      <c r="Z470" s="31">
        <v>54.0</v>
      </c>
      <c r="AA470" s="31">
        <v>57.0</v>
      </c>
      <c r="AB470" s="31">
        <v>160.0</v>
      </c>
      <c r="AC470" s="32">
        <v>1.0</v>
      </c>
      <c r="AD470" s="26"/>
      <c r="AE470" s="26"/>
      <c r="AF470" s="32">
        <v>47.0</v>
      </c>
      <c r="AG470" s="33">
        <v>3.500700340149E12</v>
      </c>
      <c r="AH470" s="33" t="s">
        <v>3285</v>
      </c>
      <c r="AI470" s="34" t="s">
        <v>5428</v>
      </c>
    </row>
    <row r="471" ht="38.25" hidden="1" customHeight="1">
      <c r="A471" s="25">
        <v>465.0</v>
      </c>
      <c r="B471" s="64" t="s">
        <v>2692</v>
      </c>
      <c r="C471" s="64" t="s">
        <v>5429</v>
      </c>
      <c r="D471" s="64" t="s">
        <v>5430</v>
      </c>
      <c r="E471" s="26" t="s">
        <v>5427</v>
      </c>
      <c r="F471" s="26" t="s">
        <v>5427</v>
      </c>
      <c r="G471" s="27" t="s">
        <v>1110</v>
      </c>
      <c r="H471" s="27" t="s">
        <v>1110</v>
      </c>
      <c r="I471" s="29">
        <v>4327.0</v>
      </c>
      <c r="J471" s="29" t="s">
        <v>1535</v>
      </c>
      <c r="K471" s="27" t="s">
        <v>4214</v>
      </c>
      <c r="L471" s="25">
        <v>4.0</v>
      </c>
      <c r="M471" s="27" t="s">
        <v>1137</v>
      </c>
      <c r="N471" s="59" t="s">
        <v>3981</v>
      </c>
      <c r="O471" s="26" t="s">
        <v>5431</v>
      </c>
      <c r="P471" s="26" t="s">
        <v>5432</v>
      </c>
      <c r="Q471" s="26" t="s">
        <v>5433</v>
      </c>
      <c r="R471" s="26" t="s">
        <v>3991</v>
      </c>
      <c r="S471" s="26" t="str">
        <f t="shared" si="97"/>
        <v>กลุ่มงานบริหารทั่วไป</v>
      </c>
      <c r="T471" s="26" t="s">
        <v>3992</v>
      </c>
      <c r="U471" s="26" t="s">
        <v>1302</v>
      </c>
      <c r="V471" s="25">
        <v>14.0</v>
      </c>
      <c r="W471" s="26" t="s">
        <v>1323</v>
      </c>
      <c r="X471" s="98" t="s">
        <v>1312</v>
      </c>
      <c r="Y471" s="31">
        <v>12.0</v>
      </c>
      <c r="Z471" s="31">
        <v>12.0</v>
      </c>
      <c r="AA471" s="31">
        <v>139.0</v>
      </c>
      <c r="AB471" s="31">
        <v>160.0</v>
      </c>
      <c r="AC471" s="32">
        <v>1.0</v>
      </c>
      <c r="AD471" s="26"/>
      <c r="AE471" s="26"/>
      <c r="AF471" s="32">
        <v>47.0</v>
      </c>
      <c r="AG471" s="33">
        <v>1.500700073535E12</v>
      </c>
      <c r="AH471" s="33" t="s">
        <v>3170</v>
      </c>
      <c r="AI471" s="34" t="s">
        <v>5434</v>
      </c>
    </row>
    <row r="472" ht="38.25" hidden="1" customHeight="1">
      <c r="A472" s="32">
        <v>466.0</v>
      </c>
      <c r="B472" s="64" t="s">
        <v>1037</v>
      </c>
      <c r="C472" s="64" t="s">
        <v>5435</v>
      </c>
      <c r="D472" s="64" t="s">
        <v>5436</v>
      </c>
      <c r="E472" s="26" t="s">
        <v>5427</v>
      </c>
      <c r="F472" s="26" t="s">
        <v>5427</v>
      </c>
      <c r="G472" s="27" t="s">
        <v>1110</v>
      </c>
      <c r="H472" s="27" t="s">
        <v>1110</v>
      </c>
      <c r="I472" s="29" t="s">
        <v>5437</v>
      </c>
      <c r="J472" s="29" t="s">
        <v>3963</v>
      </c>
      <c r="K472" s="27" t="s">
        <v>4214</v>
      </c>
      <c r="L472" s="25">
        <v>4.0</v>
      </c>
      <c r="M472" s="27" t="s">
        <v>1137</v>
      </c>
      <c r="N472" s="30" t="s">
        <v>1174</v>
      </c>
      <c r="O472" s="26" t="s">
        <v>5438</v>
      </c>
      <c r="P472" s="26" t="s">
        <v>5438</v>
      </c>
      <c r="Q472" s="26" t="str">
        <f t="shared" ref="Q472:Q482" si="98">+T472</f>
        <v>กลุ่มงานบริหารทั่วไป</v>
      </c>
      <c r="R472" s="26" t="str">
        <f t="shared" ref="R472:R482" si="99">+W472</f>
        <v>ภารกิจด้านอำนวยการ</v>
      </c>
      <c r="S472" s="26" t="str">
        <f t="shared" si="97"/>
        <v>กลุ่มงานบริหารทั่วไป</v>
      </c>
      <c r="T472" s="26" t="s">
        <v>3992</v>
      </c>
      <c r="U472" s="26" t="s">
        <v>1302</v>
      </c>
      <c r="V472" s="25" t="s">
        <v>46</v>
      </c>
      <c r="W472" s="26" t="s">
        <v>1323</v>
      </c>
      <c r="X472" s="25" t="s">
        <v>46</v>
      </c>
      <c r="Y472" s="31">
        <v>14.0</v>
      </c>
      <c r="Z472" s="31">
        <v>54.0</v>
      </c>
      <c r="AA472" s="31">
        <v>57.0</v>
      </c>
      <c r="AB472" s="31">
        <v>160.0</v>
      </c>
      <c r="AC472" s="32">
        <v>1.0</v>
      </c>
      <c r="AD472" s="26"/>
      <c r="AE472" s="26"/>
      <c r="AF472" s="32">
        <v>47.0</v>
      </c>
      <c r="AG472" s="37">
        <v>1.559900424925E12</v>
      </c>
      <c r="AH472" s="61"/>
      <c r="AI472" s="38" t="s">
        <v>5439</v>
      </c>
    </row>
    <row r="473" ht="38.25" hidden="1" customHeight="1">
      <c r="A473" s="25">
        <v>467.0</v>
      </c>
      <c r="B473" s="64" t="s">
        <v>2692</v>
      </c>
      <c r="C473" s="64" t="s">
        <v>5440</v>
      </c>
      <c r="D473" s="64" t="s">
        <v>5441</v>
      </c>
      <c r="E473" s="26" t="s">
        <v>5427</v>
      </c>
      <c r="F473" s="26" t="s">
        <v>5427</v>
      </c>
      <c r="G473" s="27" t="s">
        <v>1110</v>
      </c>
      <c r="H473" s="27" t="s">
        <v>1110</v>
      </c>
      <c r="I473" s="29" t="s">
        <v>5442</v>
      </c>
      <c r="J473" s="29" t="s">
        <v>3963</v>
      </c>
      <c r="K473" s="27" t="s">
        <v>4214</v>
      </c>
      <c r="L473" s="25">
        <v>4.0</v>
      </c>
      <c r="M473" s="27" t="s">
        <v>1137</v>
      </c>
      <c r="N473" s="30" t="s">
        <v>1174</v>
      </c>
      <c r="O473" s="26" t="s">
        <v>5438</v>
      </c>
      <c r="P473" s="26" t="s">
        <v>5438</v>
      </c>
      <c r="Q473" s="26" t="str">
        <f t="shared" si="98"/>
        <v>กลุ่มงานบริหารทั่วไป</v>
      </c>
      <c r="R473" s="26" t="str">
        <f t="shared" si="99"/>
        <v>ภารกิจด้านอำนวยการ</v>
      </c>
      <c r="S473" s="26" t="str">
        <f t="shared" si="97"/>
        <v>กลุ่มงานบริหารทั่วไป</v>
      </c>
      <c r="T473" s="26" t="s">
        <v>3992</v>
      </c>
      <c r="U473" s="26" t="s">
        <v>1302</v>
      </c>
      <c r="V473" s="25" t="s">
        <v>46</v>
      </c>
      <c r="W473" s="26" t="s">
        <v>1323</v>
      </c>
      <c r="X473" s="25" t="s">
        <v>46</v>
      </c>
      <c r="Y473" s="31">
        <v>14.0</v>
      </c>
      <c r="Z473" s="31">
        <v>54.0</v>
      </c>
      <c r="AA473" s="31">
        <v>57.0</v>
      </c>
      <c r="AB473" s="31">
        <v>160.0</v>
      </c>
      <c r="AC473" s="32">
        <v>1.0</v>
      </c>
      <c r="AD473" s="26"/>
      <c r="AE473" s="26"/>
      <c r="AF473" s="32">
        <v>47.0</v>
      </c>
      <c r="AG473" s="33">
        <v>1.502001081417E12</v>
      </c>
      <c r="AH473" s="33" t="s">
        <v>690</v>
      </c>
      <c r="AI473" s="34" t="s">
        <v>5443</v>
      </c>
    </row>
    <row r="474" ht="38.25" hidden="1" customHeight="1">
      <c r="A474" s="25">
        <v>468.0</v>
      </c>
      <c r="B474" s="64" t="s">
        <v>1037</v>
      </c>
      <c r="C474" s="64" t="s">
        <v>5444</v>
      </c>
      <c r="D474" s="64" t="s">
        <v>5445</v>
      </c>
      <c r="E474" s="26" t="s">
        <v>5427</v>
      </c>
      <c r="F474" s="26" t="s">
        <v>5427</v>
      </c>
      <c r="G474" s="27" t="s">
        <v>1110</v>
      </c>
      <c r="H474" s="27" t="s">
        <v>1110</v>
      </c>
      <c r="I474" s="29" t="s">
        <v>5446</v>
      </c>
      <c r="J474" s="29" t="s">
        <v>3963</v>
      </c>
      <c r="K474" s="27" t="s">
        <v>4214</v>
      </c>
      <c r="L474" s="25">
        <v>4.0</v>
      </c>
      <c r="M474" s="27" t="s">
        <v>1137</v>
      </c>
      <c r="N474" s="30" t="s">
        <v>1174</v>
      </c>
      <c r="O474" s="26" t="s">
        <v>5438</v>
      </c>
      <c r="P474" s="26" t="s">
        <v>5438</v>
      </c>
      <c r="Q474" s="26" t="str">
        <f t="shared" si="98"/>
        <v>กลุ่มงานบริหารทั่วไป</v>
      </c>
      <c r="R474" s="26" t="str">
        <f t="shared" si="99"/>
        <v>ภารกิจด้านอำนวยการ</v>
      </c>
      <c r="S474" s="26" t="str">
        <f t="shared" si="97"/>
        <v>กลุ่มงานบริหารทั่วไป</v>
      </c>
      <c r="T474" s="26" t="s">
        <v>3992</v>
      </c>
      <c r="U474" s="26" t="s">
        <v>1302</v>
      </c>
      <c r="V474" s="25" t="s">
        <v>46</v>
      </c>
      <c r="W474" s="26" t="s">
        <v>1323</v>
      </c>
      <c r="X474" s="25" t="s">
        <v>46</v>
      </c>
      <c r="Y474" s="31">
        <v>14.0</v>
      </c>
      <c r="Z474" s="31">
        <v>54.0</v>
      </c>
      <c r="AA474" s="31">
        <v>57.0</v>
      </c>
      <c r="AB474" s="31">
        <v>160.0</v>
      </c>
      <c r="AC474" s="32">
        <v>1.0</v>
      </c>
      <c r="AD474" s="26"/>
      <c r="AE474" s="26"/>
      <c r="AF474" s="32">
        <v>47.0</v>
      </c>
      <c r="AG474" s="37">
        <v>1.580401247051E12</v>
      </c>
      <c r="AH474" s="37" t="s">
        <v>1859</v>
      </c>
      <c r="AI474" s="38" t="s">
        <v>5447</v>
      </c>
    </row>
    <row r="475" ht="38.25" hidden="1" customHeight="1">
      <c r="A475" s="32">
        <v>469.0</v>
      </c>
      <c r="B475" s="64" t="s">
        <v>1037</v>
      </c>
      <c r="C475" s="64" t="s">
        <v>5448</v>
      </c>
      <c r="D475" s="64" t="s">
        <v>5449</v>
      </c>
      <c r="E475" s="26" t="s">
        <v>5427</v>
      </c>
      <c r="F475" s="26" t="s">
        <v>5427</v>
      </c>
      <c r="G475" s="27" t="s">
        <v>1110</v>
      </c>
      <c r="H475" s="27" t="s">
        <v>1110</v>
      </c>
      <c r="I475" s="29" t="s">
        <v>5450</v>
      </c>
      <c r="J475" s="29" t="s">
        <v>3963</v>
      </c>
      <c r="K475" s="27" t="s">
        <v>4214</v>
      </c>
      <c r="L475" s="25">
        <v>4.0</v>
      </c>
      <c r="M475" s="27" t="s">
        <v>1137</v>
      </c>
      <c r="N475" s="30" t="s">
        <v>1174</v>
      </c>
      <c r="O475" s="26" t="s">
        <v>5438</v>
      </c>
      <c r="P475" s="26" t="s">
        <v>5438</v>
      </c>
      <c r="Q475" s="26" t="str">
        <f t="shared" si="98"/>
        <v>กลุ่มงานบริหารทั่วไป</v>
      </c>
      <c r="R475" s="26" t="str">
        <f t="shared" si="99"/>
        <v>ภารกิจด้านอำนวยการ</v>
      </c>
      <c r="S475" s="26" t="str">
        <f t="shared" si="97"/>
        <v>กลุ่มงานบริหารทั่วไป</v>
      </c>
      <c r="T475" s="26" t="s">
        <v>3992</v>
      </c>
      <c r="U475" s="26" t="s">
        <v>1302</v>
      </c>
      <c r="V475" s="25" t="s">
        <v>46</v>
      </c>
      <c r="W475" s="26" t="s">
        <v>1323</v>
      </c>
      <c r="X475" s="25" t="s">
        <v>46</v>
      </c>
      <c r="Y475" s="31">
        <v>14.0</v>
      </c>
      <c r="Z475" s="31">
        <v>54.0</v>
      </c>
      <c r="AA475" s="31">
        <v>57.0</v>
      </c>
      <c r="AB475" s="31">
        <v>160.0</v>
      </c>
      <c r="AC475" s="32">
        <v>1.0</v>
      </c>
      <c r="AD475" s="26"/>
      <c r="AE475" s="26"/>
      <c r="AF475" s="32">
        <v>47.0</v>
      </c>
      <c r="AG475" s="33">
        <v>8.502076047078E12</v>
      </c>
      <c r="AH475" s="33" t="s">
        <v>1625</v>
      </c>
      <c r="AI475" s="34" t="s">
        <v>5451</v>
      </c>
    </row>
    <row r="476" ht="38.25" hidden="1" customHeight="1">
      <c r="A476" s="25">
        <v>470.0</v>
      </c>
      <c r="B476" s="64" t="s">
        <v>2692</v>
      </c>
      <c r="C476" s="64" t="s">
        <v>4621</v>
      </c>
      <c r="D476" s="64" t="s">
        <v>5452</v>
      </c>
      <c r="E476" s="26" t="s">
        <v>5427</v>
      </c>
      <c r="F476" s="26" t="s">
        <v>5427</v>
      </c>
      <c r="G476" s="27" t="s">
        <v>1110</v>
      </c>
      <c r="H476" s="27" t="s">
        <v>1110</v>
      </c>
      <c r="I476" s="29" t="s">
        <v>5453</v>
      </c>
      <c r="J476" s="29" t="s">
        <v>3963</v>
      </c>
      <c r="K476" s="27" t="s">
        <v>4214</v>
      </c>
      <c r="L476" s="25">
        <v>4.0</v>
      </c>
      <c r="M476" s="27" t="s">
        <v>1137</v>
      </c>
      <c r="N476" s="30" t="s">
        <v>1174</v>
      </c>
      <c r="O476" s="26" t="s">
        <v>5438</v>
      </c>
      <c r="P476" s="26" t="s">
        <v>5438</v>
      </c>
      <c r="Q476" s="26" t="str">
        <f t="shared" si="98"/>
        <v>กลุ่มงานบริหารทั่วไป</v>
      </c>
      <c r="R476" s="26" t="str">
        <f t="shared" si="99"/>
        <v>ภารกิจด้านอำนวยการ</v>
      </c>
      <c r="S476" s="26" t="str">
        <f t="shared" si="97"/>
        <v>กลุ่มงานบริหารทั่วไป</v>
      </c>
      <c r="T476" s="26" t="s">
        <v>3992</v>
      </c>
      <c r="U476" s="26" t="s">
        <v>1302</v>
      </c>
      <c r="V476" s="25" t="s">
        <v>46</v>
      </c>
      <c r="W476" s="26" t="s">
        <v>1323</v>
      </c>
      <c r="X476" s="25" t="s">
        <v>46</v>
      </c>
      <c r="Y476" s="31">
        <v>14.0</v>
      </c>
      <c r="Z476" s="31">
        <v>54.0</v>
      </c>
      <c r="AA476" s="31">
        <v>57.0</v>
      </c>
      <c r="AB476" s="31">
        <v>160.0</v>
      </c>
      <c r="AC476" s="32">
        <v>1.0</v>
      </c>
      <c r="AD476" s="26"/>
      <c r="AE476" s="26"/>
      <c r="AF476" s="32">
        <v>47.0</v>
      </c>
      <c r="AG476" s="37">
        <v>1.501301109413E12</v>
      </c>
      <c r="AH476" s="37" t="s">
        <v>920</v>
      </c>
      <c r="AI476" s="44">
        <v>236840.0</v>
      </c>
    </row>
    <row r="477" ht="38.25" hidden="1" customHeight="1">
      <c r="A477" s="32">
        <v>471.0</v>
      </c>
      <c r="B477" s="186" t="s">
        <v>2692</v>
      </c>
      <c r="C477" s="186" t="s">
        <v>5454</v>
      </c>
      <c r="D477" s="186" t="s">
        <v>5455</v>
      </c>
      <c r="E477" s="187" t="s">
        <v>5427</v>
      </c>
      <c r="F477" s="187" t="s">
        <v>5427</v>
      </c>
      <c r="G477" s="188" t="s">
        <v>1110</v>
      </c>
      <c r="H477" s="188" t="s">
        <v>1110</v>
      </c>
      <c r="I477" s="189" t="s">
        <v>5456</v>
      </c>
      <c r="J477" s="189" t="s">
        <v>3963</v>
      </c>
      <c r="K477" s="188" t="s">
        <v>4214</v>
      </c>
      <c r="L477" s="190">
        <v>4.0</v>
      </c>
      <c r="M477" s="188" t="s">
        <v>1137</v>
      </c>
      <c r="N477" s="190" t="s">
        <v>1174</v>
      </c>
      <c r="O477" s="187" t="s">
        <v>5438</v>
      </c>
      <c r="P477" s="187" t="s">
        <v>5438</v>
      </c>
      <c r="Q477" s="187" t="str">
        <f t="shared" si="98"/>
        <v>กลุ่มงานบริหารทั่วไป</v>
      </c>
      <c r="R477" s="187" t="str">
        <f t="shared" si="99"/>
        <v>ภารกิจด้านอำนวยการ</v>
      </c>
      <c r="S477" s="187" t="str">
        <f t="shared" si="97"/>
        <v>กลุ่มงานบริหารทั่วไป</v>
      </c>
      <c r="T477" s="187" t="s">
        <v>3992</v>
      </c>
      <c r="U477" s="187" t="s">
        <v>1302</v>
      </c>
      <c r="V477" s="190" t="s">
        <v>46</v>
      </c>
      <c r="W477" s="187" t="s">
        <v>1323</v>
      </c>
      <c r="X477" s="190" t="s">
        <v>46</v>
      </c>
      <c r="Y477" s="191">
        <v>14.0</v>
      </c>
      <c r="Z477" s="191">
        <v>54.0</v>
      </c>
      <c r="AA477" s="191">
        <v>57.0</v>
      </c>
      <c r="AB477" s="191">
        <v>160.0</v>
      </c>
      <c r="AC477" s="192">
        <v>0.0</v>
      </c>
      <c r="AD477" s="187" t="s">
        <v>4155</v>
      </c>
      <c r="AE477" s="187"/>
      <c r="AF477" s="192">
        <v>47.0</v>
      </c>
      <c r="AG477" s="193"/>
      <c r="AH477" s="193"/>
      <c r="AI477" s="194"/>
    </row>
    <row r="478" ht="38.25" hidden="1" customHeight="1">
      <c r="A478" s="25">
        <v>472.0</v>
      </c>
      <c r="B478" s="186" t="s">
        <v>2692</v>
      </c>
      <c r="C478" s="186" t="s">
        <v>5457</v>
      </c>
      <c r="D478" s="186" t="s">
        <v>5458</v>
      </c>
      <c r="E478" s="187" t="s">
        <v>5427</v>
      </c>
      <c r="F478" s="187" t="s">
        <v>5427</v>
      </c>
      <c r="G478" s="188" t="s">
        <v>1110</v>
      </c>
      <c r="H478" s="188" t="s">
        <v>1110</v>
      </c>
      <c r="I478" s="189" t="s">
        <v>5459</v>
      </c>
      <c r="J478" s="189" t="s">
        <v>3963</v>
      </c>
      <c r="K478" s="188" t="s">
        <v>4214</v>
      </c>
      <c r="L478" s="190">
        <v>4.0</v>
      </c>
      <c r="M478" s="188" t="s">
        <v>1137</v>
      </c>
      <c r="N478" s="190" t="s">
        <v>1174</v>
      </c>
      <c r="O478" s="187" t="s">
        <v>5438</v>
      </c>
      <c r="P478" s="187" t="s">
        <v>5438</v>
      </c>
      <c r="Q478" s="187" t="str">
        <f t="shared" si="98"/>
        <v>กลุ่มงานบริหารทั่วไป</v>
      </c>
      <c r="R478" s="187" t="str">
        <f t="shared" si="99"/>
        <v>ภารกิจด้านอำนวยการ</v>
      </c>
      <c r="S478" s="187" t="str">
        <f t="shared" si="97"/>
        <v>กลุ่มงานบริหารทั่วไป</v>
      </c>
      <c r="T478" s="187" t="s">
        <v>3992</v>
      </c>
      <c r="U478" s="187" t="s">
        <v>1302</v>
      </c>
      <c r="V478" s="190" t="s">
        <v>46</v>
      </c>
      <c r="W478" s="187" t="s">
        <v>1323</v>
      </c>
      <c r="X478" s="190" t="s">
        <v>46</v>
      </c>
      <c r="Y478" s="191">
        <v>14.0</v>
      </c>
      <c r="Z478" s="191">
        <v>54.0</v>
      </c>
      <c r="AA478" s="191">
        <v>57.0</v>
      </c>
      <c r="AB478" s="191">
        <v>160.0</v>
      </c>
      <c r="AC478" s="192">
        <v>1.0</v>
      </c>
      <c r="AD478" s="187"/>
      <c r="AE478" s="187"/>
      <c r="AF478" s="192">
        <v>47.0</v>
      </c>
      <c r="AG478" s="195">
        <v>1.500101125091E12</v>
      </c>
      <c r="AH478" s="195" t="s">
        <v>1988</v>
      </c>
      <c r="AI478" s="196" t="s">
        <v>5460</v>
      </c>
    </row>
    <row r="479" ht="38.25" hidden="1" customHeight="1">
      <c r="A479" s="25">
        <v>473.0</v>
      </c>
      <c r="B479" s="186" t="s">
        <v>2692</v>
      </c>
      <c r="C479" s="186" t="s">
        <v>5461</v>
      </c>
      <c r="D479" s="186" t="s">
        <v>5462</v>
      </c>
      <c r="E479" s="187" t="s">
        <v>5427</v>
      </c>
      <c r="F479" s="187" t="s">
        <v>5427</v>
      </c>
      <c r="G479" s="188" t="s">
        <v>1110</v>
      </c>
      <c r="H479" s="188" t="s">
        <v>1110</v>
      </c>
      <c r="I479" s="189" t="s">
        <v>5463</v>
      </c>
      <c r="J479" s="189" t="s">
        <v>3963</v>
      </c>
      <c r="K479" s="188" t="s">
        <v>4214</v>
      </c>
      <c r="L479" s="190">
        <v>4.0</v>
      </c>
      <c r="M479" s="188" t="s">
        <v>1137</v>
      </c>
      <c r="N479" s="190" t="s">
        <v>1174</v>
      </c>
      <c r="O479" s="187" t="s">
        <v>5438</v>
      </c>
      <c r="P479" s="187" t="s">
        <v>5438</v>
      </c>
      <c r="Q479" s="187" t="str">
        <f t="shared" si="98"/>
        <v>กลุ่มงานบริหารทั่วไป</v>
      </c>
      <c r="R479" s="187" t="str">
        <f t="shared" si="99"/>
        <v>ภารกิจด้านอำนวยการ</v>
      </c>
      <c r="S479" s="187" t="str">
        <f t="shared" si="97"/>
        <v>กลุ่มงานบริหารทั่วไป</v>
      </c>
      <c r="T479" s="187" t="s">
        <v>3992</v>
      </c>
      <c r="U479" s="187" t="s">
        <v>1302</v>
      </c>
      <c r="V479" s="190" t="s">
        <v>46</v>
      </c>
      <c r="W479" s="187" t="s">
        <v>1323</v>
      </c>
      <c r="X479" s="190" t="s">
        <v>46</v>
      </c>
      <c r="Y479" s="191">
        <v>14.0</v>
      </c>
      <c r="Z479" s="191">
        <v>54.0</v>
      </c>
      <c r="AA479" s="191">
        <v>57.0</v>
      </c>
      <c r="AB479" s="191">
        <v>160.0</v>
      </c>
      <c r="AC479" s="192">
        <v>1.0</v>
      </c>
      <c r="AD479" s="187"/>
      <c r="AE479" s="187"/>
      <c r="AF479" s="192">
        <v>47.0</v>
      </c>
      <c r="AG479" s="195">
        <v>1.502001076812E12</v>
      </c>
      <c r="AH479" s="195" t="s">
        <v>1079</v>
      </c>
      <c r="AI479" s="196" t="s">
        <v>5464</v>
      </c>
    </row>
    <row r="480" ht="38.25" hidden="1" customHeight="1">
      <c r="A480" s="32">
        <v>474.0</v>
      </c>
      <c r="B480" s="186" t="s">
        <v>2692</v>
      </c>
      <c r="C480" s="186" t="s">
        <v>5465</v>
      </c>
      <c r="D480" s="186" t="s">
        <v>5449</v>
      </c>
      <c r="E480" s="187" t="s">
        <v>5427</v>
      </c>
      <c r="F480" s="187" t="s">
        <v>5427</v>
      </c>
      <c r="G480" s="188" t="s">
        <v>1110</v>
      </c>
      <c r="H480" s="188" t="s">
        <v>1110</v>
      </c>
      <c r="I480" s="189" t="s">
        <v>5466</v>
      </c>
      <c r="J480" s="189" t="s">
        <v>3963</v>
      </c>
      <c r="K480" s="188" t="s">
        <v>4214</v>
      </c>
      <c r="L480" s="190">
        <v>4.0</v>
      </c>
      <c r="M480" s="188" t="s">
        <v>1137</v>
      </c>
      <c r="N480" s="190" t="s">
        <v>1174</v>
      </c>
      <c r="O480" s="187" t="s">
        <v>5438</v>
      </c>
      <c r="P480" s="187" t="s">
        <v>5438</v>
      </c>
      <c r="Q480" s="187" t="str">
        <f t="shared" si="98"/>
        <v>กลุ่มงานบริหารทั่วไป</v>
      </c>
      <c r="R480" s="187" t="str">
        <f t="shared" si="99"/>
        <v>ภารกิจด้านอำนวยการ</v>
      </c>
      <c r="S480" s="187" t="str">
        <f t="shared" si="97"/>
        <v>กลุ่มงานบริหารทั่วไป</v>
      </c>
      <c r="T480" s="187" t="s">
        <v>3992</v>
      </c>
      <c r="U480" s="187" t="s">
        <v>1302</v>
      </c>
      <c r="V480" s="190" t="s">
        <v>46</v>
      </c>
      <c r="W480" s="187" t="s">
        <v>1323</v>
      </c>
      <c r="X480" s="190" t="s">
        <v>46</v>
      </c>
      <c r="Y480" s="191">
        <v>14.0</v>
      </c>
      <c r="Z480" s="191">
        <v>54.0</v>
      </c>
      <c r="AA480" s="191">
        <v>57.0</v>
      </c>
      <c r="AB480" s="191">
        <v>160.0</v>
      </c>
      <c r="AC480" s="192">
        <v>0.0</v>
      </c>
      <c r="AD480" s="187" t="s">
        <v>4155</v>
      </c>
      <c r="AE480" s="187"/>
      <c r="AF480" s="192">
        <v>47.0</v>
      </c>
      <c r="AG480" s="195">
        <v>8.50207605225E12</v>
      </c>
      <c r="AH480" s="195" t="s">
        <v>208</v>
      </c>
      <c r="AI480" s="196" t="s">
        <v>5467</v>
      </c>
    </row>
    <row r="481" ht="38.25" hidden="1" customHeight="1">
      <c r="A481" s="25">
        <v>475.0</v>
      </c>
      <c r="B481" s="64" t="s">
        <v>1037</v>
      </c>
      <c r="C481" s="64" t="s">
        <v>5409</v>
      </c>
      <c r="D481" s="64" t="s">
        <v>5468</v>
      </c>
      <c r="E481" s="26" t="s">
        <v>5427</v>
      </c>
      <c r="F481" s="26" t="s">
        <v>5427</v>
      </c>
      <c r="G481" s="27" t="s">
        <v>1110</v>
      </c>
      <c r="H481" s="27" t="s">
        <v>1110</v>
      </c>
      <c r="I481" s="29" t="s">
        <v>5469</v>
      </c>
      <c r="J481" s="29" t="s">
        <v>3963</v>
      </c>
      <c r="K481" s="27" t="s">
        <v>4214</v>
      </c>
      <c r="L481" s="25">
        <v>4.0</v>
      </c>
      <c r="M481" s="27" t="s">
        <v>1137</v>
      </c>
      <c r="N481" s="30" t="s">
        <v>1174</v>
      </c>
      <c r="O481" s="26" t="s">
        <v>5438</v>
      </c>
      <c r="P481" s="26" t="s">
        <v>5438</v>
      </c>
      <c r="Q481" s="26" t="str">
        <f t="shared" si="98"/>
        <v>กลุ่มงานบริหารทั่วไป</v>
      </c>
      <c r="R481" s="26" t="str">
        <f t="shared" si="99"/>
        <v>ภารกิจด้านอำนวยการ</v>
      </c>
      <c r="S481" s="26" t="str">
        <f t="shared" si="97"/>
        <v>กลุ่มงานบริหารทั่วไป</v>
      </c>
      <c r="T481" s="26" t="s">
        <v>3992</v>
      </c>
      <c r="U481" s="26" t="s">
        <v>1302</v>
      </c>
      <c r="V481" s="25" t="s">
        <v>46</v>
      </c>
      <c r="W481" s="26" t="s">
        <v>1323</v>
      </c>
      <c r="X481" s="25" t="s">
        <v>46</v>
      </c>
      <c r="Y481" s="31">
        <v>14.0</v>
      </c>
      <c r="Z481" s="31">
        <v>54.0</v>
      </c>
      <c r="AA481" s="31">
        <v>57.0</v>
      </c>
      <c r="AB481" s="31">
        <v>160.0</v>
      </c>
      <c r="AC481" s="32">
        <v>1.0</v>
      </c>
      <c r="AD481" s="26"/>
      <c r="AE481" s="26"/>
      <c r="AF481" s="32">
        <v>47.0</v>
      </c>
      <c r="AG481" s="37">
        <v>8.500484019997E12</v>
      </c>
      <c r="AH481" s="37" t="s">
        <v>1043</v>
      </c>
      <c r="AI481" s="44">
        <v>233856.0</v>
      </c>
    </row>
    <row r="482" ht="38.25" hidden="1" customHeight="1">
      <c r="A482" s="25">
        <v>476.0</v>
      </c>
      <c r="B482" s="186" t="s">
        <v>2692</v>
      </c>
      <c r="C482" s="186" t="s">
        <v>5470</v>
      </c>
      <c r="D482" s="186" t="s">
        <v>5471</v>
      </c>
      <c r="E482" s="187" t="s">
        <v>5427</v>
      </c>
      <c r="F482" s="187" t="s">
        <v>5427</v>
      </c>
      <c r="G482" s="188" t="s">
        <v>1110</v>
      </c>
      <c r="H482" s="188" t="s">
        <v>1110</v>
      </c>
      <c r="I482" s="189" t="s">
        <v>5472</v>
      </c>
      <c r="J482" s="189" t="s">
        <v>3963</v>
      </c>
      <c r="K482" s="188" t="s">
        <v>4214</v>
      </c>
      <c r="L482" s="190">
        <v>4.0</v>
      </c>
      <c r="M482" s="188" t="s">
        <v>1137</v>
      </c>
      <c r="N482" s="190" t="s">
        <v>1174</v>
      </c>
      <c r="O482" s="187" t="s">
        <v>5438</v>
      </c>
      <c r="P482" s="187" t="s">
        <v>5438</v>
      </c>
      <c r="Q482" s="187" t="str">
        <f t="shared" si="98"/>
        <v>กลุ่มงานบริหารทั่วไป</v>
      </c>
      <c r="R482" s="187" t="str">
        <f t="shared" si="99"/>
        <v>ภารกิจด้านอำนวยการ</v>
      </c>
      <c r="S482" s="187" t="str">
        <f t="shared" si="97"/>
        <v>กลุ่มงานบริหารทั่วไป</v>
      </c>
      <c r="T482" s="187" t="s">
        <v>3992</v>
      </c>
      <c r="U482" s="187" t="s">
        <v>1302</v>
      </c>
      <c r="V482" s="190" t="s">
        <v>46</v>
      </c>
      <c r="W482" s="187" t="s">
        <v>1323</v>
      </c>
      <c r="X482" s="190" t="s">
        <v>46</v>
      </c>
      <c r="Y482" s="191">
        <v>14.0</v>
      </c>
      <c r="Z482" s="191">
        <v>54.0</v>
      </c>
      <c r="AA482" s="191">
        <v>57.0</v>
      </c>
      <c r="AB482" s="191">
        <v>160.0</v>
      </c>
      <c r="AC482" s="192">
        <v>0.0</v>
      </c>
      <c r="AD482" s="187"/>
      <c r="AE482" s="187"/>
      <c r="AF482" s="192">
        <v>47.0</v>
      </c>
      <c r="AG482" s="193"/>
      <c r="AH482" s="193"/>
      <c r="AI482" s="194"/>
    </row>
    <row r="483" ht="38.25" hidden="1" customHeight="1">
      <c r="A483" s="32">
        <v>477.0</v>
      </c>
      <c r="B483" s="26" t="s">
        <v>1037</v>
      </c>
      <c r="C483" s="26" t="s">
        <v>5473</v>
      </c>
      <c r="D483" s="26" t="s">
        <v>5474</v>
      </c>
      <c r="E483" s="26" t="s">
        <v>5475</v>
      </c>
      <c r="F483" s="26" t="s">
        <v>5475</v>
      </c>
      <c r="G483" s="27" t="s">
        <v>1110</v>
      </c>
      <c r="H483" s="27" t="s">
        <v>1110</v>
      </c>
      <c r="I483" s="29" t="s">
        <v>4625</v>
      </c>
      <c r="J483" s="29" t="s">
        <v>3963</v>
      </c>
      <c r="K483" s="27" t="s">
        <v>4214</v>
      </c>
      <c r="L483" s="25">
        <v>4.0</v>
      </c>
      <c r="M483" s="27" t="s">
        <v>4215</v>
      </c>
      <c r="N483" s="59" t="s">
        <v>3981</v>
      </c>
      <c r="O483" s="26" t="s">
        <v>817</v>
      </c>
      <c r="P483" s="26" t="str">
        <f t="shared" ref="P483:P485" si="100">+O483</f>
        <v>งานการเงิน</v>
      </c>
      <c r="Q483" s="26" t="s">
        <v>816</v>
      </c>
      <c r="R483" s="26" t="s">
        <v>1323</v>
      </c>
      <c r="S483" s="26" t="str">
        <f t="shared" si="97"/>
        <v>กลุ่มงานบริหารทั่วไป</v>
      </c>
      <c r="T483" s="26" t="s">
        <v>3992</v>
      </c>
      <c r="U483" s="26" t="s">
        <v>1302</v>
      </c>
      <c r="V483" s="25" t="s">
        <v>46</v>
      </c>
      <c r="W483" s="26" t="s">
        <v>1323</v>
      </c>
      <c r="X483" s="25" t="s">
        <v>46</v>
      </c>
      <c r="Y483" s="31">
        <v>6.0</v>
      </c>
      <c r="Z483" s="31">
        <v>54.0</v>
      </c>
      <c r="AA483" s="31">
        <v>57.0</v>
      </c>
      <c r="AB483" s="31">
        <v>160.0</v>
      </c>
      <c r="AC483" s="32">
        <v>1.0</v>
      </c>
      <c r="AD483" s="26"/>
      <c r="AE483" s="26"/>
      <c r="AF483" s="32">
        <v>47.0</v>
      </c>
      <c r="AG483" s="37">
        <v>8.580173014098E12</v>
      </c>
      <c r="AH483" s="37" t="s">
        <v>197</v>
      </c>
      <c r="AI483" s="38" t="s">
        <v>5476</v>
      </c>
    </row>
    <row r="484" ht="38.25" hidden="1" customHeight="1">
      <c r="A484" s="25">
        <v>478.0</v>
      </c>
      <c r="B484" s="26" t="s">
        <v>1037</v>
      </c>
      <c r="C484" s="26" t="s">
        <v>5477</v>
      </c>
      <c r="D484" s="26" t="s">
        <v>5478</v>
      </c>
      <c r="E484" s="26" t="s">
        <v>5475</v>
      </c>
      <c r="F484" s="26" t="s">
        <v>5475</v>
      </c>
      <c r="G484" s="27" t="s">
        <v>1110</v>
      </c>
      <c r="H484" s="27" t="s">
        <v>1110</v>
      </c>
      <c r="I484" s="29" t="s">
        <v>5479</v>
      </c>
      <c r="J484" s="29" t="s">
        <v>3963</v>
      </c>
      <c r="K484" s="27" t="s">
        <v>4214</v>
      </c>
      <c r="L484" s="25">
        <v>4.0</v>
      </c>
      <c r="M484" s="27" t="s">
        <v>4215</v>
      </c>
      <c r="N484" s="59" t="s">
        <v>3981</v>
      </c>
      <c r="O484" s="26" t="s">
        <v>817</v>
      </c>
      <c r="P484" s="26" t="str">
        <f t="shared" si="100"/>
        <v>งานการเงิน</v>
      </c>
      <c r="Q484" s="26" t="s">
        <v>816</v>
      </c>
      <c r="R484" s="26" t="s">
        <v>1323</v>
      </c>
      <c r="S484" s="26" t="str">
        <f t="shared" si="97"/>
        <v>กลุ่มงานบริหารทั่วไป</v>
      </c>
      <c r="T484" s="26" t="s">
        <v>3992</v>
      </c>
      <c r="U484" s="26" t="s">
        <v>1302</v>
      </c>
      <c r="V484" s="25" t="s">
        <v>46</v>
      </c>
      <c r="W484" s="26" t="s">
        <v>1323</v>
      </c>
      <c r="X484" s="25" t="s">
        <v>46</v>
      </c>
      <c r="Y484" s="31">
        <v>6.0</v>
      </c>
      <c r="Z484" s="31">
        <v>54.0</v>
      </c>
      <c r="AA484" s="31">
        <v>57.0</v>
      </c>
      <c r="AB484" s="31">
        <v>160.0</v>
      </c>
      <c r="AC484" s="32">
        <v>1.0</v>
      </c>
      <c r="AD484" s="26"/>
      <c r="AE484" s="26"/>
      <c r="AF484" s="32">
        <v>47.0</v>
      </c>
      <c r="AG484" s="33">
        <v>1.509966021241E12</v>
      </c>
      <c r="AH484" s="33" t="s">
        <v>481</v>
      </c>
      <c r="AI484" s="34" t="s">
        <v>4205</v>
      </c>
    </row>
    <row r="485" ht="38.25" hidden="1" customHeight="1">
      <c r="A485" s="25">
        <v>479.0</v>
      </c>
      <c r="B485" s="26" t="s">
        <v>1037</v>
      </c>
      <c r="C485" s="26" t="s">
        <v>5480</v>
      </c>
      <c r="D485" s="26" t="s">
        <v>5481</v>
      </c>
      <c r="E485" s="26" t="s">
        <v>5475</v>
      </c>
      <c r="F485" s="26" t="s">
        <v>5475</v>
      </c>
      <c r="G485" s="27" t="s">
        <v>1110</v>
      </c>
      <c r="H485" s="27" t="s">
        <v>1110</v>
      </c>
      <c r="I485" s="29" t="s">
        <v>5482</v>
      </c>
      <c r="J485" s="29" t="s">
        <v>3963</v>
      </c>
      <c r="K485" s="27" t="s">
        <v>4214</v>
      </c>
      <c r="L485" s="25">
        <v>4.0</v>
      </c>
      <c r="M485" s="27" t="s">
        <v>4215</v>
      </c>
      <c r="N485" s="59" t="s">
        <v>3981</v>
      </c>
      <c r="O485" s="26" t="s">
        <v>817</v>
      </c>
      <c r="P485" s="26" t="str">
        <f t="shared" si="100"/>
        <v>งานการเงิน</v>
      </c>
      <c r="Q485" s="26" t="s">
        <v>816</v>
      </c>
      <c r="R485" s="26" t="s">
        <v>1323</v>
      </c>
      <c r="S485" s="26" t="str">
        <f t="shared" si="97"/>
        <v>กลุ่มงานบริหารทั่วไป</v>
      </c>
      <c r="T485" s="26" t="s">
        <v>3992</v>
      </c>
      <c r="U485" s="26" t="s">
        <v>1302</v>
      </c>
      <c r="V485" s="25" t="s">
        <v>46</v>
      </c>
      <c r="W485" s="26" t="s">
        <v>1323</v>
      </c>
      <c r="X485" s="25" t="s">
        <v>46</v>
      </c>
      <c r="Y485" s="31">
        <v>6.0</v>
      </c>
      <c r="Z485" s="31">
        <v>54.0</v>
      </c>
      <c r="AA485" s="31">
        <v>57.0</v>
      </c>
      <c r="AB485" s="31">
        <v>160.0</v>
      </c>
      <c r="AC485" s="32">
        <v>1.0</v>
      </c>
      <c r="AD485" s="26"/>
      <c r="AE485" s="26"/>
      <c r="AF485" s="32">
        <v>47.0</v>
      </c>
      <c r="AG485" s="33">
        <v>1.500701290378E12</v>
      </c>
      <c r="AH485" s="33" t="s">
        <v>933</v>
      </c>
      <c r="AI485" s="34" t="s">
        <v>5483</v>
      </c>
    </row>
    <row r="486" ht="38.25" hidden="1" customHeight="1">
      <c r="A486" s="25">
        <v>480.0</v>
      </c>
      <c r="B486" s="26" t="s">
        <v>2692</v>
      </c>
      <c r="C486" s="26" t="s">
        <v>5215</v>
      </c>
      <c r="D486" s="26" t="s">
        <v>5484</v>
      </c>
      <c r="E486" s="26" t="s">
        <v>5475</v>
      </c>
      <c r="F486" s="26" t="s">
        <v>5475</v>
      </c>
      <c r="G486" s="27" t="s">
        <v>1110</v>
      </c>
      <c r="H486" s="27" t="s">
        <v>1110</v>
      </c>
      <c r="I486" s="29" t="s">
        <v>5485</v>
      </c>
      <c r="J486" s="29" t="s">
        <v>3963</v>
      </c>
      <c r="K486" s="27" t="s">
        <v>4214</v>
      </c>
      <c r="L486" s="25">
        <v>4.0</v>
      </c>
      <c r="M486" s="27" t="s">
        <v>1137</v>
      </c>
      <c r="N486" s="30" t="s">
        <v>1174</v>
      </c>
      <c r="O486" s="26" t="s">
        <v>4494</v>
      </c>
      <c r="P486" s="26" t="s">
        <v>1567</v>
      </c>
      <c r="Q486" s="26" t="s">
        <v>1601</v>
      </c>
      <c r="R486" s="26" t="s">
        <v>1616</v>
      </c>
      <c r="S486" s="26" t="s">
        <v>1601</v>
      </c>
      <c r="T486" s="26" t="s">
        <v>1601</v>
      </c>
      <c r="U486" s="26" t="s">
        <v>1302</v>
      </c>
      <c r="V486" s="25"/>
      <c r="W486" s="26" t="s">
        <v>1616</v>
      </c>
      <c r="X486" s="98" t="s">
        <v>21</v>
      </c>
      <c r="Y486" s="31">
        <v>6.0</v>
      </c>
      <c r="Z486" s="31">
        <v>54.0</v>
      </c>
      <c r="AA486" s="31">
        <v>57.0</v>
      </c>
      <c r="AB486" s="31">
        <v>160.0</v>
      </c>
      <c r="AC486" s="32">
        <v>1.0</v>
      </c>
      <c r="AD486" s="26"/>
      <c r="AE486" s="26"/>
      <c r="AF486" s="32">
        <v>47.0</v>
      </c>
      <c r="AG486" s="37">
        <v>1.509901659331E12</v>
      </c>
      <c r="AH486" s="37" t="s">
        <v>235</v>
      </c>
      <c r="AI486" s="38" t="s">
        <v>5486</v>
      </c>
    </row>
    <row r="487" ht="38.25" hidden="1" customHeight="1">
      <c r="A487" s="32">
        <v>481.0</v>
      </c>
      <c r="B487" s="26" t="s">
        <v>2692</v>
      </c>
      <c r="C487" s="26" t="s">
        <v>5487</v>
      </c>
      <c r="D487" s="26" t="s">
        <v>5488</v>
      </c>
      <c r="E487" s="26" t="s">
        <v>5475</v>
      </c>
      <c r="F487" s="26" t="s">
        <v>5475</v>
      </c>
      <c r="G487" s="27" t="s">
        <v>5422</v>
      </c>
      <c r="H487" s="27" t="s">
        <v>1110</v>
      </c>
      <c r="I487" s="29">
        <v>25924.0</v>
      </c>
      <c r="J487" s="29" t="s">
        <v>5423</v>
      </c>
      <c r="K487" s="27" t="s">
        <v>4214</v>
      </c>
      <c r="L487" s="25">
        <v>4.0</v>
      </c>
      <c r="M487" s="27" t="s">
        <v>4215</v>
      </c>
      <c r="N487" s="59" t="s">
        <v>3981</v>
      </c>
      <c r="O487" s="26" t="s">
        <v>4504</v>
      </c>
      <c r="P487" s="26" t="s">
        <v>4504</v>
      </c>
      <c r="Q487" s="26" t="s">
        <v>4505</v>
      </c>
      <c r="R487" s="26" t="s">
        <v>3972</v>
      </c>
      <c r="S487" s="26" t="str">
        <f t="shared" ref="S487:S490" si="101">+T487</f>
        <v>กลุ่มงานบริหารทั่วไป</v>
      </c>
      <c r="T487" s="26" t="s">
        <v>3992</v>
      </c>
      <c r="U487" s="26" t="s">
        <v>1302</v>
      </c>
      <c r="V487" s="25" t="s">
        <v>46</v>
      </c>
      <c r="W487" s="26" t="s">
        <v>1323</v>
      </c>
      <c r="X487" s="25" t="s">
        <v>46</v>
      </c>
      <c r="Y487" s="31">
        <v>6.0</v>
      </c>
      <c r="Z487" s="31">
        <v>54.0</v>
      </c>
      <c r="AA487" s="31">
        <v>57.0</v>
      </c>
      <c r="AB487" s="31">
        <v>160.0</v>
      </c>
      <c r="AC487" s="32">
        <v>1.0</v>
      </c>
      <c r="AD487" s="26"/>
      <c r="AE487" s="26"/>
      <c r="AF487" s="32">
        <v>47.0</v>
      </c>
      <c r="AG487" s="37">
        <v>3.540200030485E12</v>
      </c>
      <c r="AH487" s="37" t="s">
        <v>3378</v>
      </c>
      <c r="AI487" s="38" t="s">
        <v>5489</v>
      </c>
    </row>
    <row r="488" ht="38.25" hidden="1" customHeight="1">
      <c r="A488" s="25">
        <v>482.0</v>
      </c>
      <c r="B488" s="26" t="s">
        <v>1037</v>
      </c>
      <c r="C488" s="26" t="s">
        <v>5490</v>
      </c>
      <c r="D488" s="26" t="s">
        <v>5491</v>
      </c>
      <c r="E488" s="26" t="s">
        <v>5492</v>
      </c>
      <c r="F488" s="26" t="s">
        <v>5492</v>
      </c>
      <c r="G488" s="27" t="s">
        <v>1110</v>
      </c>
      <c r="H488" s="27" t="s">
        <v>1110</v>
      </c>
      <c r="I488" s="29">
        <v>4483.0</v>
      </c>
      <c r="J488" s="29" t="s">
        <v>1535</v>
      </c>
      <c r="K488" s="26" t="s">
        <v>4214</v>
      </c>
      <c r="L488" s="25">
        <v>2.0</v>
      </c>
      <c r="M488" s="27" t="s">
        <v>4215</v>
      </c>
      <c r="N488" s="166" t="s">
        <v>1174</v>
      </c>
      <c r="O488" s="26" t="s">
        <v>5431</v>
      </c>
      <c r="P488" s="26" t="s">
        <v>5432</v>
      </c>
      <c r="Q488" s="26" t="s">
        <v>5433</v>
      </c>
      <c r="R488" s="26" t="s">
        <v>3991</v>
      </c>
      <c r="S488" s="26" t="str">
        <f t="shared" si="101"/>
        <v>กลุ่มงานการพยาบาลด้านการควบคุมและป้องกันการติดเชื้อ</v>
      </c>
      <c r="T488" s="26" t="s">
        <v>5433</v>
      </c>
      <c r="U488" s="26" t="s">
        <v>1302</v>
      </c>
      <c r="V488" s="25">
        <v>14.0</v>
      </c>
      <c r="W488" s="26" t="s">
        <v>3991</v>
      </c>
      <c r="X488" s="98" t="s">
        <v>1312</v>
      </c>
      <c r="Y488" s="31">
        <v>12.0</v>
      </c>
      <c r="Z488" s="31">
        <v>12.0</v>
      </c>
      <c r="AA488" s="31">
        <v>139.0</v>
      </c>
      <c r="AB488" s="31">
        <v>160.0</v>
      </c>
      <c r="AC488" s="32">
        <v>1.0</v>
      </c>
      <c r="AD488" s="26"/>
      <c r="AE488" s="26"/>
      <c r="AF488" s="32">
        <v>47.0</v>
      </c>
      <c r="AG488" s="33">
        <v>1.500700121742E12</v>
      </c>
      <c r="AH488" s="46"/>
      <c r="AI488" s="34" t="s">
        <v>5493</v>
      </c>
    </row>
    <row r="489" ht="38.25" hidden="1" customHeight="1">
      <c r="A489" s="25">
        <v>483.0</v>
      </c>
      <c r="B489" s="26" t="s">
        <v>2692</v>
      </c>
      <c r="C489" s="26" t="s">
        <v>5494</v>
      </c>
      <c r="D489" s="26" t="s">
        <v>4852</v>
      </c>
      <c r="E489" s="26" t="s">
        <v>5492</v>
      </c>
      <c r="F489" s="26" t="s">
        <v>5492</v>
      </c>
      <c r="G489" s="27" t="s">
        <v>1110</v>
      </c>
      <c r="H489" s="27" t="s">
        <v>1110</v>
      </c>
      <c r="I489" s="29">
        <v>4484.0</v>
      </c>
      <c r="J489" s="29" t="s">
        <v>1535</v>
      </c>
      <c r="K489" s="26" t="s">
        <v>4214</v>
      </c>
      <c r="L489" s="25">
        <v>2.0</v>
      </c>
      <c r="M489" s="27" t="s">
        <v>4215</v>
      </c>
      <c r="N489" s="166" t="s">
        <v>1174</v>
      </c>
      <c r="O489" s="26" t="s">
        <v>5431</v>
      </c>
      <c r="P489" s="26" t="s">
        <v>5432</v>
      </c>
      <c r="Q489" s="26" t="s">
        <v>5433</v>
      </c>
      <c r="R489" s="26" t="s">
        <v>3991</v>
      </c>
      <c r="S489" s="26" t="str">
        <f t="shared" si="101"/>
        <v>กลุ่มงานการพยาบาลด้านการควบคุมและป้องกันการติดเชื้อ</v>
      </c>
      <c r="T489" s="26" t="s">
        <v>5433</v>
      </c>
      <c r="U489" s="26" t="s">
        <v>1302</v>
      </c>
      <c r="V489" s="25">
        <v>14.0</v>
      </c>
      <c r="W489" s="26" t="s">
        <v>3991</v>
      </c>
      <c r="X489" s="98" t="s">
        <v>1312</v>
      </c>
      <c r="Y489" s="31">
        <v>12.0</v>
      </c>
      <c r="Z489" s="31">
        <v>12.0</v>
      </c>
      <c r="AA489" s="31">
        <v>139.0</v>
      </c>
      <c r="AB489" s="31">
        <v>160.0</v>
      </c>
      <c r="AC489" s="32">
        <v>1.0</v>
      </c>
      <c r="AD489" s="26"/>
      <c r="AE489" s="26"/>
      <c r="AF489" s="32">
        <v>47.0</v>
      </c>
      <c r="AG489" s="37">
        <v>3.501400471834E12</v>
      </c>
      <c r="AH489" s="37" t="s">
        <v>3318</v>
      </c>
      <c r="AI489" s="44">
        <v>223563.0</v>
      </c>
    </row>
    <row r="490" ht="38.25" hidden="1" customHeight="1">
      <c r="A490" s="32">
        <v>484.0</v>
      </c>
      <c r="B490" s="26" t="s">
        <v>806</v>
      </c>
      <c r="C490" s="26" t="s">
        <v>5495</v>
      </c>
      <c r="D490" s="26" t="s">
        <v>5496</v>
      </c>
      <c r="E490" s="26" t="s">
        <v>5492</v>
      </c>
      <c r="F490" s="26" t="s">
        <v>5492</v>
      </c>
      <c r="G490" s="27" t="s">
        <v>1110</v>
      </c>
      <c r="H490" s="27" t="s">
        <v>1110</v>
      </c>
      <c r="I490" s="29">
        <v>4485.0</v>
      </c>
      <c r="J490" s="29" t="s">
        <v>1535</v>
      </c>
      <c r="K490" s="26" t="s">
        <v>4214</v>
      </c>
      <c r="L490" s="25">
        <v>2.0</v>
      </c>
      <c r="M490" s="27" t="s">
        <v>4215</v>
      </c>
      <c r="N490" s="166" t="s">
        <v>1174</v>
      </c>
      <c r="O490" s="26" t="s">
        <v>5431</v>
      </c>
      <c r="P490" s="26" t="s">
        <v>5432</v>
      </c>
      <c r="Q490" s="26" t="s">
        <v>5433</v>
      </c>
      <c r="R490" s="26" t="s">
        <v>3991</v>
      </c>
      <c r="S490" s="26" t="str">
        <f t="shared" si="101"/>
        <v>กลุ่มงานการพยาบาลด้านการควบคุมและป้องกันการติดเชื้อ</v>
      </c>
      <c r="T490" s="26" t="s">
        <v>5433</v>
      </c>
      <c r="U490" s="26" t="s">
        <v>1302</v>
      </c>
      <c r="V490" s="25">
        <v>14.0</v>
      </c>
      <c r="W490" s="26" t="s">
        <v>3991</v>
      </c>
      <c r="X490" s="98" t="s">
        <v>1312</v>
      </c>
      <c r="Y490" s="31">
        <v>12.0</v>
      </c>
      <c r="Z490" s="31">
        <v>12.0</v>
      </c>
      <c r="AA490" s="31">
        <v>139.0</v>
      </c>
      <c r="AB490" s="31">
        <v>160.0</v>
      </c>
      <c r="AC490" s="32">
        <v>1.0</v>
      </c>
      <c r="AD490" s="26"/>
      <c r="AE490" s="26"/>
      <c r="AF490" s="32">
        <v>47.0</v>
      </c>
      <c r="AG490" s="37">
        <v>3.501400433916E12</v>
      </c>
      <c r="AH490" s="37" t="s">
        <v>3328</v>
      </c>
      <c r="AI490" s="44">
        <v>223349.0</v>
      </c>
    </row>
    <row r="491" ht="38.25" customHeight="1">
      <c r="A491" s="25">
        <v>485.0</v>
      </c>
      <c r="B491" s="26" t="s">
        <v>1037</v>
      </c>
      <c r="C491" s="26" t="s">
        <v>5497</v>
      </c>
      <c r="D491" s="26" t="s">
        <v>5498</v>
      </c>
      <c r="E491" s="26" t="s">
        <v>5492</v>
      </c>
      <c r="F491" s="26" t="str">
        <f>+E491</f>
        <v>พนักงานบริการ</v>
      </c>
      <c r="G491" s="27" t="s">
        <v>1110</v>
      </c>
      <c r="H491" s="27" t="s">
        <v>1110</v>
      </c>
      <c r="I491" s="29">
        <v>4365.0</v>
      </c>
      <c r="J491" s="29" t="s">
        <v>1535</v>
      </c>
      <c r="K491" s="27" t="s">
        <v>4214</v>
      </c>
      <c r="L491" s="25">
        <v>4.0</v>
      </c>
      <c r="M491" s="27" t="s">
        <v>4215</v>
      </c>
      <c r="N491" s="30" t="s">
        <v>1174</v>
      </c>
      <c r="O491" s="26"/>
      <c r="P491" s="26" t="s">
        <v>4522</v>
      </c>
      <c r="Q491" s="26" t="s">
        <v>4063</v>
      </c>
      <c r="R491" s="26" t="s">
        <v>4064</v>
      </c>
      <c r="S491" s="26" t="s">
        <v>4517</v>
      </c>
      <c r="T491" s="26" t="s">
        <v>4063</v>
      </c>
      <c r="U491" s="26" t="s">
        <v>1302</v>
      </c>
      <c r="V491" s="25" t="s">
        <v>4515</v>
      </c>
      <c r="W491" s="26" t="s">
        <v>4064</v>
      </c>
      <c r="X491" s="25" t="s">
        <v>3935</v>
      </c>
      <c r="Y491" s="31">
        <v>2.0</v>
      </c>
      <c r="Z491" s="31">
        <v>8.0</v>
      </c>
      <c r="AA491" s="63">
        <v>18.0</v>
      </c>
      <c r="AB491" s="31">
        <v>160.0</v>
      </c>
      <c r="AC491" s="32">
        <v>1.0</v>
      </c>
      <c r="AD491" s="26"/>
      <c r="AE491" s="26"/>
      <c r="AF491" s="32">
        <v>47.0</v>
      </c>
      <c r="AG491" s="37">
        <v>1.505300018159E12</v>
      </c>
      <c r="AH491" s="37" t="s">
        <v>2111</v>
      </c>
      <c r="AI491" s="44">
        <v>233817.0</v>
      </c>
    </row>
    <row r="492" ht="38.25" hidden="1" customHeight="1">
      <c r="A492" s="25">
        <v>486.0</v>
      </c>
      <c r="B492" s="26" t="s">
        <v>1037</v>
      </c>
      <c r="C492" s="26" t="s">
        <v>5499</v>
      </c>
      <c r="D492" s="26" t="s">
        <v>5500</v>
      </c>
      <c r="E492" s="26" t="s">
        <v>5492</v>
      </c>
      <c r="F492" s="26" t="s">
        <v>5492</v>
      </c>
      <c r="G492" s="27" t="s">
        <v>1110</v>
      </c>
      <c r="H492" s="27" t="s">
        <v>1110</v>
      </c>
      <c r="I492" s="28" t="s">
        <v>5501</v>
      </c>
      <c r="J492" s="29" t="s">
        <v>3949</v>
      </c>
      <c r="K492" s="26" t="s">
        <v>4214</v>
      </c>
      <c r="L492" s="25">
        <v>2.0</v>
      </c>
      <c r="M492" s="27" t="s">
        <v>4215</v>
      </c>
      <c r="N492" s="166" t="s">
        <v>1174</v>
      </c>
      <c r="O492" s="26" t="s">
        <v>5431</v>
      </c>
      <c r="P492" s="26" t="s">
        <v>5432</v>
      </c>
      <c r="Q492" s="26" t="s">
        <v>5433</v>
      </c>
      <c r="R492" s="26" t="s">
        <v>3991</v>
      </c>
      <c r="S492" s="26" t="str">
        <f t="shared" ref="S492:S514" si="102">+T492</f>
        <v>กลุ่มงานการพยาบาลด้านการควบคุมและป้องกันการติดเชื้อ</v>
      </c>
      <c r="T492" s="26" t="s">
        <v>5433</v>
      </c>
      <c r="U492" s="26" t="s">
        <v>1302</v>
      </c>
      <c r="V492" s="25">
        <v>14.0</v>
      </c>
      <c r="W492" s="26" t="s">
        <v>3991</v>
      </c>
      <c r="X492" s="98" t="s">
        <v>1312</v>
      </c>
      <c r="Y492" s="31">
        <v>12.0</v>
      </c>
      <c r="Z492" s="31">
        <v>12.0</v>
      </c>
      <c r="AA492" s="31">
        <v>139.0</v>
      </c>
      <c r="AB492" s="31">
        <v>160.0</v>
      </c>
      <c r="AC492" s="32">
        <v>1.0</v>
      </c>
      <c r="AD492" s="26"/>
      <c r="AE492" s="26"/>
      <c r="AF492" s="32">
        <v>47.0</v>
      </c>
      <c r="AG492" s="37">
        <v>1.500300127603E12</v>
      </c>
      <c r="AH492" s="61"/>
      <c r="AI492" s="38" t="s">
        <v>5502</v>
      </c>
    </row>
    <row r="493" ht="38.25" hidden="1" customHeight="1">
      <c r="A493" s="32">
        <v>487.0</v>
      </c>
      <c r="B493" s="26" t="s">
        <v>1037</v>
      </c>
      <c r="C493" s="26" t="s">
        <v>5503</v>
      </c>
      <c r="D493" s="26" t="s">
        <v>4898</v>
      </c>
      <c r="E493" s="26" t="s">
        <v>5492</v>
      </c>
      <c r="F493" s="26" t="s">
        <v>5492</v>
      </c>
      <c r="G493" s="27" t="s">
        <v>1110</v>
      </c>
      <c r="H493" s="27" t="s">
        <v>1110</v>
      </c>
      <c r="I493" s="28" t="s">
        <v>5504</v>
      </c>
      <c r="J493" s="29" t="s">
        <v>3949</v>
      </c>
      <c r="K493" s="26" t="s">
        <v>4214</v>
      </c>
      <c r="L493" s="25">
        <v>2.0</v>
      </c>
      <c r="M493" s="27" t="s">
        <v>4215</v>
      </c>
      <c r="N493" s="166" t="s">
        <v>1174</v>
      </c>
      <c r="O493" s="26" t="s">
        <v>5431</v>
      </c>
      <c r="P493" s="26" t="s">
        <v>5432</v>
      </c>
      <c r="Q493" s="26" t="s">
        <v>5433</v>
      </c>
      <c r="R493" s="26" t="s">
        <v>3991</v>
      </c>
      <c r="S493" s="26" t="str">
        <f t="shared" si="102"/>
        <v>กลุ่มงานการพยาบาลด้านการควบคุมและป้องกันการติดเชื้อ</v>
      </c>
      <c r="T493" s="26" t="s">
        <v>5433</v>
      </c>
      <c r="U493" s="26" t="s">
        <v>1302</v>
      </c>
      <c r="V493" s="25">
        <v>14.0</v>
      </c>
      <c r="W493" s="26" t="s">
        <v>3991</v>
      </c>
      <c r="X493" s="98" t="s">
        <v>1312</v>
      </c>
      <c r="Y493" s="31">
        <v>12.0</v>
      </c>
      <c r="Z493" s="31">
        <v>12.0</v>
      </c>
      <c r="AA493" s="31">
        <v>139.0</v>
      </c>
      <c r="AB493" s="31">
        <v>160.0</v>
      </c>
      <c r="AC493" s="32">
        <v>1.0</v>
      </c>
      <c r="AD493" s="26"/>
      <c r="AE493" s="26"/>
      <c r="AF493" s="32">
        <v>47.0</v>
      </c>
      <c r="AG493" s="33">
        <v>1.580300080453E12</v>
      </c>
      <c r="AH493" s="33" t="s">
        <v>1835</v>
      </c>
      <c r="AI493" s="40">
        <v>234003.0</v>
      </c>
    </row>
    <row r="494" ht="38.25" hidden="1" customHeight="1">
      <c r="A494" s="25">
        <v>488.0</v>
      </c>
      <c r="B494" s="26" t="s">
        <v>1037</v>
      </c>
      <c r="C494" s="26" t="s">
        <v>5505</v>
      </c>
      <c r="D494" s="26" t="s">
        <v>5506</v>
      </c>
      <c r="E494" s="26" t="s">
        <v>5492</v>
      </c>
      <c r="F494" s="26" t="s">
        <v>5492</v>
      </c>
      <c r="G494" s="27" t="s">
        <v>1110</v>
      </c>
      <c r="H494" s="27" t="s">
        <v>1110</v>
      </c>
      <c r="I494" s="28" t="s">
        <v>5507</v>
      </c>
      <c r="J494" s="29" t="s">
        <v>3949</v>
      </c>
      <c r="K494" s="26" t="s">
        <v>4214</v>
      </c>
      <c r="L494" s="25">
        <v>2.0</v>
      </c>
      <c r="M494" s="27" t="s">
        <v>4215</v>
      </c>
      <c r="N494" s="166" t="s">
        <v>1174</v>
      </c>
      <c r="O494" s="26" t="s">
        <v>5431</v>
      </c>
      <c r="P494" s="26" t="s">
        <v>5432</v>
      </c>
      <c r="Q494" s="26" t="s">
        <v>5433</v>
      </c>
      <c r="R494" s="26" t="s">
        <v>3991</v>
      </c>
      <c r="S494" s="26" t="str">
        <f t="shared" si="102"/>
        <v>กลุ่มงานการพยาบาลด้านการควบคุมและป้องกันการติดเชื้อ</v>
      </c>
      <c r="T494" s="26" t="s">
        <v>5433</v>
      </c>
      <c r="U494" s="26" t="s">
        <v>1302</v>
      </c>
      <c r="V494" s="25">
        <v>14.0</v>
      </c>
      <c r="W494" s="26" t="s">
        <v>3991</v>
      </c>
      <c r="X494" s="98" t="s">
        <v>1312</v>
      </c>
      <c r="Y494" s="31">
        <v>12.0</v>
      </c>
      <c r="Z494" s="31">
        <v>12.0</v>
      </c>
      <c r="AA494" s="31">
        <v>139.0</v>
      </c>
      <c r="AB494" s="31">
        <v>160.0</v>
      </c>
      <c r="AC494" s="32">
        <v>1.0</v>
      </c>
      <c r="AD494" s="26"/>
      <c r="AE494" s="26"/>
      <c r="AF494" s="32">
        <v>47.0</v>
      </c>
      <c r="AG494" s="37">
        <v>1.580101117748E12</v>
      </c>
      <c r="AH494" s="37" t="s">
        <v>2097</v>
      </c>
      <c r="AI494" s="38" t="s">
        <v>5508</v>
      </c>
    </row>
    <row r="495" ht="38.25" hidden="1" customHeight="1">
      <c r="A495" s="25">
        <v>489.0</v>
      </c>
      <c r="B495" s="26" t="s">
        <v>1037</v>
      </c>
      <c r="C495" s="26" t="s">
        <v>5509</v>
      </c>
      <c r="D495" s="26" t="s">
        <v>5510</v>
      </c>
      <c r="E495" s="26" t="s">
        <v>5492</v>
      </c>
      <c r="F495" s="26" t="s">
        <v>5492</v>
      </c>
      <c r="G495" s="27" t="s">
        <v>1110</v>
      </c>
      <c r="H495" s="27" t="s">
        <v>1110</v>
      </c>
      <c r="I495" s="28" t="s">
        <v>5511</v>
      </c>
      <c r="J495" s="29" t="s">
        <v>3949</v>
      </c>
      <c r="K495" s="26" t="s">
        <v>4214</v>
      </c>
      <c r="L495" s="25">
        <v>2.0</v>
      </c>
      <c r="M495" s="27" t="s">
        <v>4215</v>
      </c>
      <c r="N495" s="166" t="s">
        <v>1174</v>
      </c>
      <c r="O495" s="26" t="s">
        <v>5431</v>
      </c>
      <c r="P495" s="26" t="s">
        <v>5432</v>
      </c>
      <c r="Q495" s="26" t="s">
        <v>5433</v>
      </c>
      <c r="R495" s="26" t="s">
        <v>3991</v>
      </c>
      <c r="S495" s="26" t="str">
        <f t="shared" si="102"/>
        <v>กลุ่มงานการพยาบาลด้านการควบคุมและป้องกันการติดเชื้อ</v>
      </c>
      <c r="T495" s="26" t="s">
        <v>5433</v>
      </c>
      <c r="U495" s="26" t="s">
        <v>1302</v>
      </c>
      <c r="V495" s="25">
        <v>14.0</v>
      </c>
      <c r="W495" s="26" t="s">
        <v>3991</v>
      </c>
      <c r="X495" s="98" t="s">
        <v>1312</v>
      </c>
      <c r="Y495" s="31">
        <v>12.0</v>
      </c>
      <c r="Z495" s="31">
        <v>12.0</v>
      </c>
      <c r="AA495" s="31">
        <v>139.0</v>
      </c>
      <c r="AB495" s="31">
        <v>160.0</v>
      </c>
      <c r="AC495" s="32">
        <v>1.0</v>
      </c>
      <c r="AD495" s="26"/>
      <c r="AE495" s="26"/>
      <c r="AF495" s="32">
        <v>47.0</v>
      </c>
      <c r="AG495" s="33">
        <v>3.500700333771E12</v>
      </c>
      <c r="AH495" s="46"/>
      <c r="AI495" s="34" t="s">
        <v>5512</v>
      </c>
    </row>
    <row r="496" ht="38.25" hidden="1" customHeight="1">
      <c r="A496" s="25">
        <v>490.0</v>
      </c>
      <c r="B496" s="26" t="s">
        <v>1037</v>
      </c>
      <c r="C496" s="26" t="s">
        <v>5513</v>
      </c>
      <c r="D496" s="26" t="s">
        <v>5113</v>
      </c>
      <c r="E496" s="26" t="s">
        <v>5492</v>
      </c>
      <c r="F496" s="26" t="s">
        <v>5492</v>
      </c>
      <c r="G496" s="27" t="s">
        <v>1110</v>
      </c>
      <c r="H496" s="27" t="s">
        <v>1110</v>
      </c>
      <c r="I496" s="29" t="s">
        <v>5514</v>
      </c>
      <c r="J496" s="29" t="s">
        <v>3963</v>
      </c>
      <c r="K496" s="26" t="s">
        <v>4214</v>
      </c>
      <c r="L496" s="25">
        <v>2.0</v>
      </c>
      <c r="M496" s="27" t="s">
        <v>4215</v>
      </c>
      <c r="N496" s="166" t="s">
        <v>1174</v>
      </c>
      <c r="O496" s="26" t="s">
        <v>5431</v>
      </c>
      <c r="P496" s="26" t="s">
        <v>5432</v>
      </c>
      <c r="Q496" s="26" t="s">
        <v>5433</v>
      </c>
      <c r="R496" s="26" t="s">
        <v>3991</v>
      </c>
      <c r="S496" s="26" t="str">
        <f t="shared" si="102"/>
        <v>กลุ่มงานการพยาบาลด้านการควบคุมและป้องกันการติดเชื้อ</v>
      </c>
      <c r="T496" s="26" t="s">
        <v>5433</v>
      </c>
      <c r="U496" s="26" t="s">
        <v>1302</v>
      </c>
      <c r="V496" s="25">
        <v>14.0</v>
      </c>
      <c r="W496" s="26" t="s">
        <v>3991</v>
      </c>
      <c r="X496" s="98" t="s">
        <v>1312</v>
      </c>
      <c r="Y496" s="31">
        <v>12.0</v>
      </c>
      <c r="Z496" s="31">
        <v>12.0</v>
      </c>
      <c r="AA496" s="31">
        <v>139.0</v>
      </c>
      <c r="AB496" s="31">
        <v>160.0</v>
      </c>
      <c r="AC496" s="32">
        <v>1.0</v>
      </c>
      <c r="AD496" s="26"/>
      <c r="AE496" s="26"/>
      <c r="AF496" s="32">
        <v>47.0</v>
      </c>
      <c r="AG496" s="33">
        <v>1.580300080267E12</v>
      </c>
      <c r="AH496" s="33" t="s">
        <v>973</v>
      </c>
      <c r="AI496" s="34" t="s">
        <v>5515</v>
      </c>
    </row>
    <row r="497" ht="38.25" hidden="1" customHeight="1">
      <c r="A497" s="32">
        <v>491.0</v>
      </c>
      <c r="B497" s="26" t="s">
        <v>1037</v>
      </c>
      <c r="C497" s="26" t="s">
        <v>5516</v>
      </c>
      <c r="D497" s="26" t="s">
        <v>5517</v>
      </c>
      <c r="E497" s="26" t="s">
        <v>5492</v>
      </c>
      <c r="F497" s="26" t="s">
        <v>5492</v>
      </c>
      <c r="G497" s="27" t="s">
        <v>1110</v>
      </c>
      <c r="H497" s="27" t="s">
        <v>1110</v>
      </c>
      <c r="I497" s="29" t="s">
        <v>5518</v>
      </c>
      <c r="J497" s="29" t="s">
        <v>3963</v>
      </c>
      <c r="K497" s="26" t="s">
        <v>4214</v>
      </c>
      <c r="L497" s="25">
        <v>2.0</v>
      </c>
      <c r="M497" s="27" t="s">
        <v>4215</v>
      </c>
      <c r="N497" s="166" t="s">
        <v>1174</v>
      </c>
      <c r="O497" s="26" t="s">
        <v>5431</v>
      </c>
      <c r="P497" s="26" t="s">
        <v>5432</v>
      </c>
      <c r="Q497" s="26" t="s">
        <v>5433</v>
      </c>
      <c r="R497" s="26" t="s">
        <v>3991</v>
      </c>
      <c r="S497" s="26" t="str">
        <f t="shared" si="102"/>
        <v>กลุ่มงานการพยาบาลด้านการควบคุมและป้องกันการติดเชื้อ</v>
      </c>
      <c r="T497" s="26" t="s">
        <v>5433</v>
      </c>
      <c r="U497" s="26" t="s">
        <v>1302</v>
      </c>
      <c r="V497" s="25">
        <v>14.0</v>
      </c>
      <c r="W497" s="26" t="s">
        <v>3991</v>
      </c>
      <c r="X497" s="98" t="s">
        <v>1312</v>
      </c>
      <c r="Y497" s="31">
        <v>12.0</v>
      </c>
      <c r="Z497" s="31">
        <v>12.0</v>
      </c>
      <c r="AA497" s="31">
        <v>139.0</v>
      </c>
      <c r="AB497" s="31">
        <v>160.0</v>
      </c>
      <c r="AC497" s="32">
        <v>1.0</v>
      </c>
      <c r="AD497" s="26"/>
      <c r="AE497" s="26"/>
      <c r="AF497" s="32">
        <v>47.0</v>
      </c>
      <c r="AG497" s="37">
        <v>1.102001391011E12</v>
      </c>
      <c r="AH497" s="37" t="s">
        <v>728</v>
      </c>
      <c r="AI497" s="38" t="s">
        <v>5519</v>
      </c>
    </row>
    <row r="498" ht="38.25" hidden="1" customHeight="1">
      <c r="A498" s="25">
        <v>492.0</v>
      </c>
      <c r="B498" s="26" t="s">
        <v>1037</v>
      </c>
      <c r="C498" s="26" t="s">
        <v>5520</v>
      </c>
      <c r="D498" s="26" t="s">
        <v>5521</v>
      </c>
      <c r="E498" s="26" t="s">
        <v>5492</v>
      </c>
      <c r="F498" s="26" t="s">
        <v>5492</v>
      </c>
      <c r="G498" s="27" t="s">
        <v>1110</v>
      </c>
      <c r="H498" s="27" t="s">
        <v>1110</v>
      </c>
      <c r="I498" s="29" t="s">
        <v>5522</v>
      </c>
      <c r="J498" s="29" t="s">
        <v>3963</v>
      </c>
      <c r="K498" s="26" t="s">
        <v>4214</v>
      </c>
      <c r="L498" s="25">
        <v>2.0</v>
      </c>
      <c r="M498" s="27" t="s">
        <v>4215</v>
      </c>
      <c r="N498" s="166" t="s">
        <v>1174</v>
      </c>
      <c r="O498" s="26" t="s">
        <v>5431</v>
      </c>
      <c r="P498" s="26" t="s">
        <v>5432</v>
      </c>
      <c r="Q498" s="26" t="s">
        <v>5433</v>
      </c>
      <c r="R498" s="26" t="s">
        <v>3991</v>
      </c>
      <c r="S498" s="26" t="str">
        <f t="shared" si="102"/>
        <v>กลุ่มงานการพยาบาลด้านการควบคุมและป้องกันการติดเชื้อ</v>
      </c>
      <c r="T498" s="26" t="s">
        <v>5433</v>
      </c>
      <c r="U498" s="26" t="s">
        <v>1302</v>
      </c>
      <c r="V498" s="25">
        <v>14.0</v>
      </c>
      <c r="W498" s="26" t="s">
        <v>3991</v>
      </c>
      <c r="X498" s="98" t="s">
        <v>1312</v>
      </c>
      <c r="Y498" s="31">
        <v>12.0</v>
      </c>
      <c r="Z498" s="31">
        <v>12.0</v>
      </c>
      <c r="AA498" s="31">
        <v>139.0</v>
      </c>
      <c r="AB498" s="31">
        <v>160.0</v>
      </c>
      <c r="AC498" s="32">
        <v>1.0</v>
      </c>
      <c r="AD498" s="26"/>
      <c r="AE498" s="26"/>
      <c r="AF498" s="32">
        <v>47.0</v>
      </c>
      <c r="AG498" s="33">
        <v>1.507400019116E12</v>
      </c>
      <c r="AH498" s="46"/>
      <c r="AI498" s="34" t="s">
        <v>5523</v>
      </c>
    </row>
    <row r="499" ht="38.25" hidden="1" customHeight="1">
      <c r="A499" s="25">
        <v>493.0</v>
      </c>
      <c r="B499" s="26" t="s">
        <v>2692</v>
      </c>
      <c r="C499" s="26" t="s">
        <v>4245</v>
      </c>
      <c r="D499" s="26" t="s">
        <v>5179</v>
      </c>
      <c r="E499" s="26" t="s">
        <v>5492</v>
      </c>
      <c r="F499" s="26" t="s">
        <v>5492</v>
      </c>
      <c r="G499" s="27" t="s">
        <v>1110</v>
      </c>
      <c r="H499" s="27" t="s">
        <v>1110</v>
      </c>
      <c r="I499" s="29" t="s">
        <v>5524</v>
      </c>
      <c r="J499" s="29" t="s">
        <v>3963</v>
      </c>
      <c r="K499" s="26" t="s">
        <v>4214</v>
      </c>
      <c r="L499" s="25">
        <v>2.0</v>
      </c>
      <c r="M499" s="27" t="s">
        <v>4215</v>
      </c>
      <c r="N499" s="166" t="s">
        <v>1174</v>
      </c>
      <c r="O499" s="26" t="s">
        <v>5431</v>
      </c>
      <c r="P499" s="26" t="s">
        <v>5432</v>
      </c>
      <c r="Q499" s="26" t="s">
        <v>5433</v>
      </c>
      <c r="R499" s="26" t="s">
        <v>3991</v>
      </c>
      <c r="S499" s="26" t="str">
        <f t="shared" si="102"/>
        <v>กลุ่มงานการพยาบาลด้านการควบคุมและป้องกันการติดเชื้อ</v>
      </c>
      <c r="T499" s="26" t="s">
        <v>5433</v>
      </c>
      <c r="U499" s="26" t="s">
        <v>1302</v>
      </c>
      <c r="V499" s="25">
        <v>14.0</v>
      </c>
      <c r="W499" s="26" t="s">
        <v>3991</v>
      </c>
      <c r="X499" s="98" t="s">
        <v>1312</v>
      </c>
      <c r="Y499" s="31">
        <v>12.0</v>
      </c>
      <c r="Z499" s="31">
        <v>12.0</v>
      </c>
      <c r="AA499" s="31">
        <v>139.0</v>
      </c>
      <c r="AB499" s="31">
        <v>160.0</v>
      </c>
      <c r="AC499" s="32">
        <v>1.0</v>
      </c>
      <c r="AD499" s="26"/>
      <c r="AE499" s="26"/>
      <c r="AF499" s="32">
        <v>47.0</v>
      </c>
      <c r="AG499" s="37">
        <v>1.500300126666E12</v>
      </c>
      <c r="AH499" s="37" t="s">
        <v>977</v>
      </c>
      <c r="AI499" s="38" t="s">
        <v>5525</v>
      </c>
    </row>
    <row r="500" ht="38.25" hidden="1" customHeight="1">
      <c r="A500" s="32">
        <v>494.0</v>
      </c>
      <c r="B500" s="26" t="s">
        <v>2692</v>
      </c>
      <c r="C500" s="26" t="s">
        <v>5526</v>
      </c>
      <c r="D500" s="26" t="s">
        <v>4207</v>
      </c>
      <c r="E500" s="26" t="s">
        <v>5492</v>
      </c>
      <c r="F500" s="26" t="s">
        <v>5492</v>
      </c>
      <c r="G500" s="27" t="s">
        <v>1110</v>
      </c>
      <c r="H500" s="27" t="s">
        <v>1110</v>
      </c>
      <c r="I500" s="29" t="s">
        <v>5527</v>
      </c>
      <c r="J500" s="29" t="s">
        <v>3963</v>
      </c>
      <c r="K500" s="26" t="s">
        <v>4214</v>
      </c>
      <c r="L500" s="25">
        <v>2.0</v>
      </c>
      <c r="M500" s="27" t="s">
        <v>4215</v>
      </c>
      <c r="N500" s="166" t="s">
        <v>1174</v>
      </c>
      <c r="O500" s="26" t="s">
        <v>5431</v>
      </c>
      <c r="P500" s="26" t="s">
        <v>5432</v>
      </c>
      <c r="Q500" s="26" t="s">
        <v>5433</v>
      </c>
      <c r="R500" s="26" t="s">
        <v>3991</v>
      </c>
      <c r="S500" s="26" t="str">
        <f t="shared" si="102"/>
        <v>กลุ่มงานการพยาบาลด้านการควบคุมและป้องกันการติดเชื้อ</v>
      </c>
      <c r="T500" s="26" t="s">
        <v>5433</v>
      </c>
      <c r="U500" s="26" t="s">
        <v>1302</v>
      </c>
      <c r="V500" s="25">
        <v>14.0</v>
      </c>
      <c r="W500" s="26" t="s">
        <v>3991</v>
      </c>
      <c r="X500" s="98" t="s">
        <v>1312</v>
      </c>
      <c r="Y500" s="31">
        <v>12.0</v>
      </c>
      <c r="Z500" s="31">
        <v>12.0</v>
      </c>
      <c r="AA500" s="31">
        <v>139.0</v>
      </c>
      <c r="AB500" s="31">
        <v>160.0</v>
      </c>
      <c r="AC500" s="32">
        <v>1.0</v>
      </c>
      <c r="AD500" s="26"/>
      <c r="AE500" s="26"/>
      <c r="AF500" s="32">
        <v>47.0</v>
      </c>
      <c r="AG500" s="33">
        <v>1.509901380069E12</v>
      </c>
      <c r="AH500" s="33" t="s">
        <v>695</v>
      </c>
      <c r="AI500" s="34" t="s">
        <v>5528</v>
      </c>
    </row>
    <row r="501" ht="38.25" hidden="1" customHeight="1">
      <c r="A501" s="25">
        <v>495.0</v>
      </c>
      <c r="B501" s="26" t="s">
        <v>2692</v>
      </c>
      <c r="C501" s="26" t="s">
        <v>5529</v>
      </c>
      <c r="D501" s="26" t="s">
        <v>5530</v>
      </c>
      <c r="E501" s="26" t="s">
        <v>5492</v>
      </c>
      <c r="F501" s="26" t="s">
        <v>5492</v>
      </c>
      <c r="G501" s="27" t="s">
        <v>1110</v>
      </c>
      <c r="H501" s="27" t="s">
        <v>1110</v>
      </c>
      <c r="I501" s="29" t="s">
        <v>5531</v>
      </c>
      <c r="J501" s="29" t="s">
        <v>3963</v>
      </c>
      <c r="K501" s="26" t="s">
        <v>4214</v>
      </c>
      <c r="L501" s="25">
        <v>2.0</v>
      </c>
      <c r="M501" s="27" t="s">
        <v>4215</v>
      </c>
      <c r="N501" s="166" t="s">
        <v>1174</v>
      </c>
      <c r="O501" s="26" t="s">
        <v>5431</v>
      </c>
      <c r="P501" s="26" t="s">
        <v>5432</v>
      </c>
      <c r="Q501" s="26" t="s">
        <v>5433</v>
      </c>
      <c r="R501" s="26" t="s">
        <v>3991</v>
      </c>
      <c r="S501" s="26" t="str">
        <f t="shared" si="102"/>
        <v>กลุ่มงานการพยาบาลด้านการควบคุมและป้องกันการติดเชื้อ</v>
      </c>
      <c r="T501" s="26" t="s">
        <v>5433</v>
      </c>
      <c r="U501" s="26" t="s">
        <v>1302</v>
      </c>
      <c r="V501" s="25">
        <v>14.0</v>
      </c>
      <c r="W501" s="26" t="s">
        <v>3991</v>
      </c>
      <c r="X501" s="98" t="s">
        <v>1312</v>
      </c>
      <c r="Y501" s="31">
        <v>12.0</v>
      </c>
      <c r="Z501" s="31">
        <v>12.0</v>
      </c>
      <c r="AA501" s="31">
        <v>139.0</v>
      </c>
      <c r="AB501" s="31">
        <v>160.0</v>
      </c>
      <c r="AC501" s="32">
        <v>1.0</v>
      </c>
      <c r="AD501" s="26"/>
      <c r="AE501" s="26"/>
      <c r="AF501" s="32">
        <v>47.0</v>
      </c>
      <c r="AG501" s="33">
        <v>1.509901545297E12</v>
      </c>
      <c r="AH501" s="33" t="s">
        <v>581</v>
      </c>
      <c r="AI501" s="40">
        <v>233209.0</v>
      </c>
    </row>
    <row r="502" ht="38.25" hidden="1" customHeight="1">
      <c r="A502" s="25">
        <v>496.0</v>
      </c>
      <c r="B502" s="26" t="s">
        <v>2692</v>
      </c>
      <c r="C502" s="26" t="s">
        <v>5532</v>
      </c>
      <c r="D502" s="26" t="s">
        <v>5533</v>
      </c>
      <c r="E502" s="26" t="s">
        <v>5492</v>
      </c>
      <c r="F502" s="26" t="s">
        <v>5492</v>
      </c>
      <c r="G502" s="27" t="s">
        <v>1110</v>
      </c>
      <c r="H502" s="27" t="s">
        <v>1110</v>
      </c>
      <c r="I502" s="29" t="s">
        <v>5534</v>
      </c>
      <c r="J502" s="29" t="s">
        <v>3963</v>
      </c>
      <c r="K502" s="26" t="s">
        <v>4214</v>
      </c>
      <c r="L502" s="25">
        <v>2.0</v>
      </c>
      <c r="M502" s="27" t="s">
        <v>4215</v>
      </c>
      <c r="N502" s="166" t="s">
        <v>1174</v>
      </c>
      <c r="O502" s="26" t="s">
        <v>5431</v>
      </c>
      <c r="P502" s="26" t="s">
        <v>5432</v>
      </c>
      <c r="Q502" s="26" t="s">
        <v>5433</v>
      </c>
      <c r="R502" s="26" t="s">
        <v>3991</v>
      </c>
      <c r="S502" s="26" t="str">
        <f t="shared" si="102"/>
        <v>กลุ่มงานการพยาบาลด้านการควบคุมและป้องกันการติดเชื้อ</v>
      </c>
      <c r="T502" s="26" t="s">
        <v>5433</v>
      </c>
      <c r="U502" s="26" t="s">
        <v>1302</v>
      </c>
      <c r="V502" s="25">
        <v>14.0</v>
      </c>
      <c r="W502" s="26" t="s">
        <v>3991</v>
      </c>
      <c r="X502" s="98" t="s">
        <v>1312</v>
      </c>
      <c r="Y502" s="31">
        <v>12.0</v>
      </c>
      <c r="Z502" s="31">
        <v>12.0</v>
      </c>
      <c r="AA502" s="31">
        <v>139.0</v>
      </c>
      <c r="AB502" s="31">
        <v>160.0</v>
      </c>
      <c r="AC502" s="32">
        <v>1.0</v>
      </c>
      <c r="AD502" s="26"/>
      <c r="AE502" s="26"/>
      <c r="AF502" s="32">
        <v>47.0</v>
      </c>
      <c r="AG502" s="33">
        <v>1.500301240829E12</v>
      </c>
      <c r="AH502" s="33" t="s">
        <v>778</v>
      </c>
      <c r="AI502" s="34" t="s">
        <v>5535</v>
      </c>
    </row>
    <row r="503" ht="38.25" hidden="1" customHeight="1">
      <c r="A503" s="32">
        <v>497.0</v>
      </c>
      <c r="B503" s="26" t="s">
        <v>1037</v>
      </c>
      <c r="C503" s="26" t="s">
        <v>5536</v>
      </c>
      <c r="D503" s="26" t="s">
        <v>5537</v>
      </c>
      <c r="E503" s="26" t="s">
        <v>5492</v>
      </c>
      <c r="F503" s="26" t="s">
        <v>5492</v>
      </c>
      <c r="G503" s="27" t="s">
        <v>1110</v>
      </c>
      <c r="H503" s="27" t="s">
        <v>1110</v>
      </c>
      <c r="I503" s="29" t="s">
        <v>5538</v>
      </c>
      <c r="J503" s="29" t="s">
        <v>3963</v>
      </c>
      <c r="K503" s="26" t="s">
        <v>4214</v>
      </c>
      <c r="L503" s="25">
        <v>2.0</v>
      </c>
      <c r="M503" s="27" t="s">
        <v>4215</v>
      </c>
      <c r="N503" s="166" t="s">
        <v>1174</v>
      </c>
      <c r="O503" s="26" t="s">
        <v>5431</v>
      </c>
      <c r="P503" s="26" t="s">
        <v>5432</v>
      </c>
      <c r="Q503" s="26" t="s">
        <v>5433</v>
      </c>
      <c r="R503" s="26" t="s">
        <v>3991</v>
      </c>
      <c r="S503" s="26" t="str">
        <f t="shared" si="102"/>
        <v>กลุ่มงานการพยาบาลด้านการควบคุมและป้องกันการติดเชื้อ</v>
      </c>
      <c r="T503" s="26" t="s">
        <v>5433</v>
      </c>
      <c r="U503" s="26" t="s">
        <v>1302</v>
      </c>
      <c r="V503" s="25">
        <v>14.0</v>
      </c>
      <c r="W503" s="26" t="s">
        <v>3991</v>
      </c>
      <c r="X503" s="98" t="s">
        <v>1312</v>
      </c>
      <c r="Y503" s="31">
        <v>12.0</v>
      </c>
      <c r="Z503" s="31">
        <v>12.0</v>
      </c>
      <c r="AA503" s="31">
        <v>139.0</v>
      </c>
      <c r="AB503" s="31">
        <v>160.0</v>
      </c>
      <c r="AC503" s="32">
        <v>1.0</v>
      </c>
      <c r="AD503" s="26"/>
      <c r="AE503" s="26"/>
      <c r="AF503" s="32">
        <v>47.0</v>
      </c>
      <c r="AG503" s="37">
        <v>1.50030121707E12</v>
      </c>
      <c r="AH503" s="37" t="s">
        <v>617</v>
      </c>
      <c r="AI503" s="38" t="s">
        <v>4083</v>
      </c>
    </row>
    <row r="504" ht="38.25" hidden="1" customHeight="1">
      <c r="A504" s="25">
        <v>498.0</v>
      </c>
      <c r="B504" s="197"/>
      <c r="C504" s="197"/>
      <c r="D504" s="197"/>
      <c r="E504" s="197" t="s">
        <v>5539</v>
      </c>
      <c r="F504" s="197" t="s">
        <v>5539</v>
      </c>
      <c r="G504" s="198" t="s">
        <v>1110</v>
      </c>
      <c r="H504" s="198" t="s">
        <v>1110</v>
      </c>
      <c r="I504" s="199">
        <v>4329.0</v>
      </c>
      <c r="J504" s="199" t="s">
        <v>1535</v>
      </c>
      <c r="K504" s="198" t="s">
        <v>4214</v>
      </c>
      <c r="L504" s="200">
        <v>4.0</v>
      </c>
      <c r="M504" s="198" t="s">
        <v>4215</v>
      </c>
      <c r="N504" s="200" t="s">
        <v>1174</v>
      </c>
      <c r="O504" s="197" t="s">
        <v>5540</v>
      </c>
      <c r="P504" s="197" t="s">
        <v>5540</v>
      </c>
      <c r="Q504" s="197" t="str">
        <f t="shared" ref="Q504:Q534" si="103">+T504</f>
        <v>กลุ่มงานบริหารทั่วไป</v>
      </c>
      <c r="R504" s="197" t="str">
        <f t="shared" ref="R504:R533" si="104">+W504</f>
        <v>ภารกิจด้านอำนวยการ</v>
      </c>
      <c r="S504" s="197" t="str">
        <f t="shared" si="102"/>
        <v>กลุ่มงานบริหารทั่วไป</v>
      </c>
      <c r="T504" s="197" t="s">
        <v>3992</v>
      </c>
      <c r="U504" s="197" t="s">
        <v>1302</v>
      </c>
      <c r="V504" s="200" t="s">
        <v>46</v>
      </c>
      <c r="W504" s="197" t="s">
        <v>1323</v>
      </c>
      <c r="X504" s="200" t="s">
        <v>46</v>
      </c>
      <c r="Y504" s="201">
        <v>8.0</v>
      </c>
      <c r="Z504" s="201">
        <v>54.0</v>
      </c>
      <c r="AA504" s="201">
        <v>57.0</v>
      </c>
      <c r="AB504" s="201">
        <v>55.0</v>
      </c>
      <c r="AC504" s="202">
        <v>1.0</v>
      </c>
      <c r="AD504" s="203" t="s">
        <v>5541</v>
      </c>
      <c r="AE504" s="197"/>
      <c r="AF504" s="202">
        <v>45.0</v>
      </c>
      <c r="AG504" s="204"/>
      <c r="AH504" s="204"/>
      <c r="AI504" s="205"/>
    </row>
    <row r="505" ht="38.25" hidden="1" customHeight="1">
      <c r="A505" s="25">
        <v>499.0</v>
      </c>
      <c r="B505" s="26" t="s">
        <v>2692</v>
      </c>
      <c r="C505" s="26" t="s">
        <v>5542</v>
      </c>
      <c r="D505" s="26" t="s">
        <v>5543</v>
      </c>
      <c r="E505" s="26" t="s">
        <v>5539</v>
      </c>
      <c r="F505" s="26" t="s">
        <v>5539</v>
      </c>
      <c r="G505" s="27" t="s">
        <v>1110</v>
      </c>
      <c r="H505" s="27" t="s">
        <v>1110</v>
      </c>
      <c r="I505" s="29">
        <v>4330.0</v>
      </c>
      <c r="J505" s="29" t="s">
        <v>1535</v>
      </c>
      <c r="K505" s="27" t="s">
        <v>4214</v>
      </c>
      <c r="L505" s="25">
        <v>4.0</v>
      </c>
      <c r="M505" s="27" t="s">
        <v>4215</v>
      </c>
      <c r="N505" s="30" t="s">
        <v>1174</v>
      </c>
      <c r="O505" s="26" t="s">
        <v>5540</v>
      </c>
      <c r="P505" s="26" t="s">
        <v>5540</v>
      </c>
      <c r="Q505" s="26" t="str">
        <f t="shared" si="103"/>
        <v>กลุ่มงานบริหารทั่วไป</v>
      </c>
      <c r="R505" s="26" t="str">
        <f t="shared" si="104"/>
        <v>ภารกิจด้านอำนวยการ</v>
      </c>
      <c r="S505" s="26" t="str">
        <f t="shared" si="102"/>
        <v>กลุ่มงานบริหารทั่วไป</v>
      </c>
      <c r="T505" s="26" t="s">
        <v>3992</v>
      </c>
      <c r="U505" s="26" t="s">
        <v>1302</v>
      </c>
      <c r="V505" s="25" t="s">
        <v>46</v>
      </c>
      <c r="W505" s="26" t="s">
        <v>1323</v>
      </c>
      <c r="X505" s="25" t="s">
        <v>46</v>
      </c>
      <c r="Y505" s="31">
        <v>8.0</v>
      </c>
      <c r="Z505" s="31">
        <v>54.0</v>
      </c>
      <c r="AA505" s="31">
        <v>57.0</v>
      </c>
      <c r="AB505" s="31">
        <v>55.0</v>
      </c>
      <c r="AC505" s="32">
        <v>1.0</v>
      </c>
      <c r="AD505" s="26"/>
      <c r="AE505" s="26"/>
      <c r="AF505" s="32">
        <v>45.0</v>
      </c>
      <c r="AG505" s="37">
        <v>3.500900060701E12</v>
      </c>
      <c r="AH505" s="61"/>
      <c r="AI505" s="38" t="s">
        <v>5544</v>
      </c>
    </row>
    <row r="506" ht="38.25" hidden="1" customHeight="1">
      <c r="A506" s="25">
        <v>500.0</v>
      </c>
      <c r="B506" s="26" t="s">
        <v>2692</v>
      </c>
      <c r="C506" s="26" t="s">
        <v>5545</v>
      </c>
      <c r="D506" s="26" t="s">
        <v>5546</v>
      </c>
      <c r="E506" s="26" t="s">
        <v>5539</v>
      </c>
      <c r="F506" s="26" t="s">
        <v>5539</v>
      </c>
      <c r="G506" s="27" t="s">
        <v>1110</v>
      </c>
      <c r="H506" s="27" t="s">
        <v>1110</v>
      </c>
      <c r="I506" s="29">
        <v>4332.0</v>
      </c>
      <c r="J506" s="29" t="s">
        <v>1535</v>
      </c>
      <c r="K506" s="27" t="s">
        <v>4214</v>
      </c>
      <c r="L506" s="25">
        <v>4.0</v>
      </c>
      <c r="M506" s="27" t="s">
        <v>4215</v>
      </c>
      <c r="N506" s="30" t="s">
        <v>1174</v>
      </c>
      <c r="O506" s="26" t="s">
        <v>5540</v>
      </c>
      <c r="P506" s="26" t="s">
        <v>5540</v>
      </c>
      <c r="Q506" s="26" t="str">
        <f t="shared" si="103"/>
        <v>กลุ่มงานบริหารทั่วไป</v>
      </c>
      <c r="R506" s="26" t="str">
        <f t="shared" si="104"/>
        <v>ภารกิจด้านอำนวยการ</v>
      </c>
      <c r="S506" s="26" t="str">
        <f t="shared" si="102"/>
        <v>กลุ่มงานบริหารทั่วไป</v>
      </c>
      <c r="T506" s="26" t="s">
        <v>3992</v>
      </c>
      <c r="U506" s="26" t="s">
        <v>1302</v>
      </c>
      <c r="V506" s="25" t="s">
        <v>46</v>
      </c>
      <c r="W506" s="26" t="s">
        <v>1323</v>
      </c>
      <c r="X506" s="25" t="s">
        <v>46</v>
      </c>
      <c r="Y506" s="31">
        <v>8.0</v>
      </c>
      <c r="Z506" s="31">
        <v>54.0</v>
      </c>
      <c r="AA506" s="31">
        <v>57.0</v>
      </c>
      <c r="AB506" s="31">
        <v>55.0</v>
      </c>
      <c r="AC506" s="32">
        <v>1.0</v>
      </c>
      <c r="AD506" s="26"/>
      <c r="AE506" s="26"/>
      <c r="AF506" s="32">
        <v>45.0</v>
      </c>
      <c r="AG506" s="33">
        <v>3.540100258808E12</v>
      </c>
      <c r="AH506" s="46"/>
      <c r="AI506" s="40">
        <v>228707.0</v>
      </c>
    </row>
    <row r="507" ht="38.25" hidden="1" customHeight="1">
      <c r="A507" s="32">
        <v>501.0</v>
      </c>
      <c r="B507" s="26"/>
      <c r="C507" s="26"/>
      <c r="D507" s="26"/>
      <c r="E507" s="26" t="s">
        <v>5539</v>
      </c>
      <c r="F507" s="26" t="s">
        <v>5539</v>
      </c>
      <c r="G507" s="27" t="s">
        <v>1110</v>
      </c>
      <c r="H507" s="27" t="s">
        <v>1110</v>
      </c>
      <c r="I507" s="29">
        <v>4331.0</v>
      </c>
      <c r="J507" s="29" t="s">
        <v>1535</v>
      </c>
      <c r="K507" s="27" t="s">
        <v>4214</v>
      </c>
      <c r="L507" s="25">
        <v>4.0</v>
      </c>
      <c r="M507" s="27" t="s">
        <v>4215</v>
      </c>
      <c r="N507" s="30" t="s">
        <v>1174</v>
      </c>
      <c r="O507" s="26" t="s">
        <v>5540</v>
      </c>
      <c r="P507" s="26" t="s">
        <v>5540</v>
      </c>
      <c r="Q507" s="26" t="str">
        <f t="shared" si="103"/>
        <v>กลุ่มงานบริหารทั่วไป</v>
      </c>
      <c r="R507" s="26" t="str">
        <f t="shared" si="104"/>
        <v>ภารกิจด้านอำนวยการ</v>
      </c>
      <c r="S507" s="26" t="str">
        <f t="shared" si="102"/>
        <v>กลุ่มงานบริหารทั่วไป</v>
      </c>
      <c r="T507" s="26" t="s">
        <v>3992</v>
      </c>
      <c r="U507" s="26" t="s">
        <v>1302</v>
      </c>
      <c r="V507" s="25" t="s">
        <v>46</v>
      </c>
      <c r="W507" s="26" t="s">
        <v>1323</v>
      </c>
      <c r="X507" s="25" t="s">
        <v>46</v>
      </c>
      <c r="Y507" s="31">
        <v>8.0</v>
      </c>
      <c r="Z507" s="31">
        <v>54.0</v>
      </c>
      <c r="AA507" s="31">
        <v>57.0</v>
      </c>
      <c r="AB507" s="31">
        <v>55.0</v>
      </c>
      <c r="AC507" s="32">
        <v>0.0</v>
      </c>
      <c r="AD507" s="64" t="s">
        <v>5547</v>
      </c>
      <c r="AE507" s="26"/>
      <c r="AF507" s="32">
        <v>45.0</v>
      </c>
      <c r="AG507" s="65"/>
      <c r="AH507" s="65"/>
      <c r="AI507" s="66"/>
    </row>
    <row r="508" ht="38.25" hidden="1" customHeight="1">
      <c r="A508" s="32">
        <v>502.0</v>
      </c>
      <c r="B508" s="26" t="s">
        <v>2692</v>
      </c>
      <c r="C508" s="26" t="s">
        <v>5548</v>
      </c>
      <c r="D508" s="26" t="s">
        <v>5069</v>
      </c>
      <c r="E508" s="26" t="s">
        <v>5539</v>
      </c>
      <c r="F508" s="26" t="s">
        <v>5539</v>
      </c>
      <c r="G508" s="27" t="s">
        <v>1110</v>
      </c>
      <c r="H508" s="27" t="s">
        <v>1110</v>
      </c>
      <c r="I508" s="29" t="s">
        <v>5549</v>
      </c>
      <c r="J508" s="29" t="s">
        <v>3963</v>
      </c>
      <c r="K508" s="27" t="s">
        <v>4214</v>
      </c>
      <c r="L508" s="25">
        <v>4.0</v>
      </c>
      <c r="M508" s="27" t="s">
        <v>4215</v>
      </c>
      <c r="N508" s="30" t="s">
        <v>1174</v>
      </c>
      <c r="O508" s="26" t="s">
        <v>5540</v>
      </c>
      <c r="P508" s="26" t="s">
        <v>5540</v>
      </c>
      <c r="Q508" s="26" t="str">
        <f t="shared" si="103"/>
        <v>กลุ่มงานบริหารทั่วไป</v>
      </c>
      <c r="R508" s="26" t="str">
        <f t="shared" si="104"/>
        <v>ภารกิจด้านอำนวยการ</v>
      </c>
      <c r="S508" s="26" t="str">
        <f t="shared" si="102"/>
        <v>กลุ่มงานบริหารทั่วไป</v>
      </c>
      <c r="T508" s="26" t="s">
        <v>3992</v>
      </c>
      <c r="U508" s="26" t="s">
        <v>1302</v>
      </c>
      <c r="V508" s="25" t="s">
        <v>46</v>
      </c>
      <c r="W508" s="26" t="s">
        <v>1323</v>
      </c>
      <c r="X508" s="25" t="s">
        <v>46</v>
      </c>
      <c r="Y508" s="31">
        <v>8.0</v>
      </c>
      <c r="Z508" s="31">
        <v>54.0</v>
      </c>
      <c r="AA508" s="31">
        <v>57.0</v>
      </c>
      <c r="AB508" s="31">
        <v>55.0</v>
      </c>
      <c r="AC508" s="32">
        <v>1.0</v>
      </c>
      <c r="AD508" s="26"/>
      <c r="AE508" s="26"/>
      <c r="AF508" s="32">
        <v>45.0</v>
      </c>
      <c r="AG508" s="33">
        <v>1.508000006425E12</v>
      </c>
      <c r="AH508" s="33" t="s">
        <v>867</v>
      </c>
      <c r="AI508" s="34" t="s">
        <v>5550</v>
      </c>
    </row>
    <row r="509" ht="38.25" hidden="1" customHeight="1">
      <c r="A509" s="32">
        <v>503.0</v>
      </c>
      <c r="B509" s="26" t="s">
        <v>2692</v>
      </c>
      <c r="C509" s="26" t="s">
        <v>5551</v>
      </c>
      <c r="D509" s="26" t="s">
        <v>5552</v>
      </c>
      <c r="E509" s="26" t="s">
        <v>5539</v>
      </c>
      <c r="F509" s="26" t="s">
        <v>5539</v>
      </c>
      <c r="G509" s="27" t="s">
        <v>1110</v>
      </c>
      <c r="H509" s="27" t="s">
        <v>1110</v>
      </c>
      <c r="I509" s="29" t="s">
        <v>5553</v>
      </c>
      <c r="J509" s="29" t="s">
        <v>3963</v>
      </c>
      <c r="K509" s="27" t="s">
        <v>4214</v>
      </c>
      <c r="L509" s="25">
        <v>4.0</v>
      </c>
      <c r="M509" s="27" t="s">
        <v>4215</v>
      </c>
      <c r="N509" s="30" t="s">
        <v>1174</v>
      </c>
      <c r="O509" s="26" t="s">
        <v>5540</v>
      </c>
      <c r="P509" s="26" t="s">
        <v>5540</v>
      </c>
      <c r="Q509" s="26" t="str">
        <f t="shared" si="103"/>
        <v>กลุ่มงานบริหารทั่วไป</v>
      </c>
      <c r="R509" s="26" t="str">
        <f t="shared" si="104"/>
        <v>ภารกิจด้านอำนวยการ</v>
      </c>
      <c r="S509" s="26" t="str">
        <f t="shared" si="102"/>
        <v>กลุ่มงานบริหารทั่วไป</v>
      </c>
      <c r="T509" s="26" t="s">
        <v>3992</v>
      </c>
      <c r="U509" s="26" t="s">
        <v>1302</v>
      </c>
      <c r="V509" s="25" t="s">
        <v>46</v>
      </c>
      <c r="W509" s="26" t="s">
        <v>1323</v>
      </c>
      <c r="X509" s="25" t="s">
        <v>46</v>
      </c>
      <c r="Y509" s="31">
        <v>8.0</v>
      </c>
      <c r="Z509" s="31">
        <v>54.0</v>
      </c>
      <c r="AA509" s="31">
        <v>57.0</v>
      </c>
      <c r="AB509" s="31">
        <v>55.0</v>
      </c>
      <c r="AC509" s="32">
        <v>1.0</v>
      </c>
      <c r="AD509" s="26"/>
      <c r="AE509" s="26"/>
      <c r="AF509" s="32">
        <v>45.0</v>
      </c>
      <c r="AG509" s="37">
        <v>1.551000051661E12</v>
      </c>
      <c r="AH509" s="37" t="s">
        <v>416</v>
      </c>
      <c r="AI509" s="44">
        <v>233974.0</v>
      </c>
    </row>
    <row r="510" ht="38.25" hidden="1" customHeight="1">
      <c r="A510" s="32">
        <v>504.0</v>
      </c>
      <c r="B510" s="26" t="s">
        <v>2692</v>
      </c>
      <c r="C510" s="26" t="s">
        <v>5554</v>
      </c>
      <c r="D510" s="26" t="s">
        <v>5555</v>
      </c>
      <c r="E510" s="26" t="s">
        <v>5539</v>
      </c>
      <c r="F510" s="26" t="s">
        <v>5539</v>
      </c>
      <c r="G510" s="27" t="s">
        <v>1110</v>
      </c>
      <c r="H510" s="27" t="s">
        <v>1110</v>
      </c>
      <c r="I510" s="29" t="s">
        <v>5556</v>
      </c>
      <c r="J510" s="29" t="s">
        <v>3963</v>
      </c>
      <c r="K510" s="27" t="s">
        <v>4214</v>
      </c>
      <c r="L510" s="25">
        <v>4.0</v>
      </c>
      <c r="M510" s="27" t="s">
        <v>4215</v>
      </c>
      <c r="N510" s="30" t="s">
        <v>1174</v>
      </c>
      <c r="O510" s="26" t="s">
        <v>5540</v>
      </c>
      <c r="P510" s="26" t="s">
        <v>5540</v>
      </c>
      <c r="Q510" s="26" t="str">
        <f t="shared" si="103"/>
        <v>กลุ่มงานบริหารทั่วไป</v>
      </c>
      <c r="R510" s="26" t="str">
        <f t="shared" si="104"/>
        <v>ภารกิจด้านอำนวยการ</v>
      </c>
      <c r="S510" s="26" t="str">
        <f t="shared" si="102"/>
        <v>กลุ่มงานบริหารทั่วไป</v>
      </c>
      <c r="T510" s="26" t="s">
        <v>3992</v>
      </c>
      <c r="U510" s="26" t="s">
        <v>1302</v>
      </c>
      <c r="V510" s="25" t="s">
        <v>46</v>
      </c>
      <c r="W510" s="26" t="s">
        <v>1323</v>
      </c>
      <c r="X510" s="25" t="s">
        <v>46</v>
      </c>
      <c r="Y510" s="31">
        <v>8.0</v>
      </c>
      <c r="Z510" s="31">
        <v>54.0</v>
      </c>
      <c r="AA510" s="31">
        <v>57.0</v>
      </c>
      <c r="AB510" s="31">
        <v>55.0</v>
      </c>
      <c r="AC510" s="32">
        <v>1.0</v>
      </c>
      <c r="AD510" s="26"/>
      <c r="AE510" s="26"/>
      <c r="AF510" s="32">
        <v>45.0</v>
      </c>
      <c r="AG510" s="33">
        <v>1.509901299482E12</v>
      </c>
      <c r="AH510" s="33" t="s">
        <v>1762</v>
      </c>
      <c r="AI510" s="34" t="s">
        <v>5557</v>
      </c>
    </row>
    <row r="511" ht="38.25" hidden="1" customHeight="1">
      <c r="A511" s="32">
        <v>505.0</v>
      </c>
      <c r="B511" s="26" t="s">
        <v>2692</v>
      </c>
      <c r="C511" s="26" t="s">
        <v>5558</v>
      </c>
      <c r="D511" s="26" t="s">
        <v>5559</v>
      </c>
      <c r="E511" s="26" t="s">
        <v>5539</v>
      </c>
      <c r="F511" s="26" t="s">
        <v>5539</v>
      </c>
      <c r="G511" s="27" t="s">
        <v>1110</v>
      </c>
      <c r="H511" s="27" t="s">
        <v>1110</v>
      </c>
      <c r="I511" s="29" t="s">
        <v>5560</v>
      </c>
      <c r="J511" s="29" t="s">
        <v>3963</v>
      </c>
      <c r="K511" s="27" t="s">
        <v>4214</v>
      </c>
      <c r="L511" s="25">
        <v>4.0</v>
      </c>
      <c r="M511" s="27" t="s">
        <v>4215</v>
      </c>
      <c r="N511" s="30" t="s">
        <v>1174</v>
      </c>
      <c r="O511" s="26" t="s">
        <v>5540</v>
      </c>
      <c r="P511" s="26" t="s">
        <v>5540</v>
      </c>
      <c r="Q511" s="26" t="str">
        <f t="shared" si="103"/>
        <v>กลุ่มงานบริหารทั่วไป</v>
      </c>
      <c r="R511" s="26" t="str">
        <f t="shared" si="104"/>
        <v>ภารกิจด้านอำนวยการ</v>
      </c>
      <c r="S511" s="26" t="str">
        <f t="shared" si="102"/>
        <v>กลุ่มงานบริหารทั่วไป</v>
      </c>
      <c r="T511" s="26" t="s">
        <v>3992</v>
      </c>
      <c r="U511" s="26" t="s">
        <v>1302</v>
      </c>
      <c r="V511" s="25" t="s">
        <v>46</v>
      </c>
      <c r="W511" s="26" t="s">
        <v>1323</v>
      </c>
      <c r="X511" s="25" t="s">
        <v>46</v>
      </c>
      <c r="Y511" s="31">
        <v>8.0</v>
      </c>
      <c r="Z511" s="31">
        <v>54.0</v>
      </c>
      <c r="AA511" s="31">
        <v>57.0</v>
      </c>
      <c r="AB511" s="31">
        <v>55.0</v>
      </c>
      <c r="AC511" s="32">
        <v>1.0</v>
      </c>
      <c r="AD511" s="26"/>
      <c r="AE511" s="26"/>
      <c r="AF511" s="32">
        <v>45.0</v>
      </c>
      <c r="AG511" s="37">
        <v>1.502001084203E12</v>
      </c>
      <c r="AH511" s="37" t="s">
        <v>215</v>
      </c>
      <c r="AI511" s="38" t="s">
        <v>5561</v>
      </c>
    </row>
    <row r="512" ht="38.25" hidden="1" customHeight="1">
      <c r="A512" s="206">
        <v>506.0</v>
      </c>
      <c r="B512" s="207" t="s">
        <v>2692</v>
      </c>
      <c r="C512" s="207" t="s">
        <v>5562</v>
      </c>
      <c r="D512" s="207" t="s">
        <v>5563</v>
      </c>
      <c r="E512" s="208" t="s">
        <v>5539</v>
      </c>
      <c r="F512" s="208" t="s">
        <v>5539</v>
      </c>
      <c r="G512" s="209" t="s">
        <v>1110</v>
      </c>
      <c r="H512" s="209" t="s">
        <v>1110</v>
      </c>
      <c r="I512" s="210" t="s">
        <v>5564</v>
      </c>
      <c r="J512" s="210" t="s">
        <v>3963</v>
      </c>
      <c r="K512" s="209" t="s">
        <v>4214</v>
      </c>
      <c r="L512" s="211">
        <v>4.0</v>
      </c>
      <c r="M512" s="209" t="s">
        <v>4215</v>
      </c>
      <c r="N512" s="212" t="s">
        <v>1174</v>
      </c>
      <c r="O512" s="208" t="s">
        <v>5540</v>
      </c>
      <c r="P512" s="208" t="s">
        <v>5540</v>
      </c>
      <c r="Q512" s="208" t="str">
        <f t="shared" si="103"/>
        <v>กลุ่มงานบริหารทั่วไป</v>
      </c>
      <c r="R512" s="208" t="str">
        <f t="shared" si="104"/>
        <v>ภารกิจด้านอำนวยการ</v>
      </c>
      <c r="S512" s="208" t="str">
        <f t="shared" si="102"/>
        <v>กลุ่มงานบริหารทั่วไป</v>
      </c>
      <c r="T512" s="208" t="s">
        <v>3992</v>
      </c>
      <c r="U512" s="208" t="s">
        <v>1302</v>
      </c>
      <c r="V512" s="211" t="s">
        <v>46</v>
      </c>
      <c r="W512" s="208" t="s">
        <v>1323</v>
      </c>
      <c r="X512" s="211" t="s">
        <v>46</v>
      </c>
      <c r="Y512" s="213">
        <v>8.0</v>
      </c>
      <c r="Z512" s="213">
        <v>54.0</v>
      </c>
      <c r="AA512" s="213">
        <v>57.0</v>
      </c>
      <c r="AB512" s="213">
        <v>55.0</v>
      </c>
      <c r="AC512" s="206">
        <v>1.0</v>
      </c>
      <c r="AD512" s="208"/>
      <c r="AE512" s="208"/>
      <c r="AF512" s="206">
        <v>45.0</v>
      </c>
      <c r="AG512" s="214"/>
      <c r="AH512" s="214"/>
      <c r="AI512" s="215"/>
    </row>
    <row r="513" ht="38.25" hidden="1" customHeight="1">
      <c r="A513" s="32">
        <v>507.0</v>
      </c>
      <c r="B513" s="26" t="s">
        <v>2692</v>
      </c>
      <c r="C513" s="26" t="s">
        <v>5565</v>
      </c>
      <c r="D513" s="26" t="s">
        <v>5566</v>
      </c>
      <c r="E513" s="26" t="s">
        <v>5539</v>
      </c>
      <c r="F513" s="26" t="s">
        <v>5539</v>
      </c>
      <c r="G513" s="27" t="s">
        <v>1110</v>
      </c>
      <c r="H513" s="27" t="s">
        <v>1110</v>
      </c>
      <c r="I513" s="29" t="s">
        <v>5567</v>
      </c>
      <c r="J513" s="29" t="s">
        <v>3963</v>
      </c>
      <c r="K513" s="27" t="s">
        <v>4214</v>
      </c>
      <c r="L513" s="25">
        <v>4.0</v>
      </c>
      <c r="M513" s="27" t="s">
        <v>4215</v>
      </c>
      <c r="N513" s="30" t="s">
        <v>1174</v>
      </c>
      <c r="O513" s="26" t="s">
        <v>5540</v>
      </c>
      <c r="P513" s="26" t="s">
        <v>5540</v>
      </c>
      <c r="Q513" s="26" t="str">
        <f t="shared" si="103"/>
        <v>กลุ่มงานบริหารทั่วไป</v>
      </c>
      <c r="R513" s="26" t="str">
        <f t="shared" si="104"/>
        <v>ภารกิจด้านอำนวยการ</v>
      </c>
      <c r="S513" s="26" t="str">
        <f t="shared" si="102"/>
        <v>กลุ่มงานบริหารทั่วไป</v>
      </c>
      <c r="T513" s="26" t="s">
        <v>3992</v>
      </c>
      <c r="U513" s="26" t="s">
        <v>1302</v>
      </c>
      <c r="V513" s="25" t="s">
        <v>46</v>
      </c>
      <c r="W513" s="26" t="s">
        <v>1323</v>
      </c>
      <c r="X513" s="25" t="s">
        <v>46</v>
      </c>
      <c r="Y513" s="31">
        <v>8.0</v>
      </c>
      <c r="Z513" s="31">
        <v>54.0</v>
      </c>
      <c r="AA513" s="31">
        <v>57.0</v>
      </c>
      <c r="AB513" s="31">
        <v>55.0</v>
      </c>
      <c r="AC513" s="32">
        <v>1.0</v>
      </c>
      <c r="AD513" s="26"/>
      <c r="AE513" s="26"/>
      <c r="AF513" s="32">
        <v>45.0</v>
      </c>
      <c r="AG513" s="37">
        <v>1.509990002481E12</v>
      </c>
      <c r="AH513" s="37" t="s">
        <v>1777</v>
      </c>
      <c r="AI513" s="44">
        <v>229805.0</v>
      </c>
    </row>
    <row r="514" ht="38.25" hidden="1" customHeight="1">
      <c r="A514" s="32">
        <v>508.0</v>
      </c>
      <c r="B514" s="26"/>
      <c r="C514" s="26"/>
      <c r="D514" s="64">
        <v>1.0</v>
      </c>
      <c r="E514" s="26" t="s">
        <v>5539</v>
      </c>
      <c r="F514" s="26" t="s">
        <v>5539</v>
      </c>
      <c r="G514" s="27" t="s">
        <v>1110</v>
      </c>
      <c r="H514" s="27" t="s">
        <v>1110</v>
      </c>
      <c r="I514" s="90" t="s">
        <v>5568</v>
      </c>
      <c r="J514" s="29" t="s">
        <v>3963</v>
      </c>
      <c r="K514" s="27" t="s">
        <v>4214</v>
      </c>
      <c r="L514" s="25">
        <v>4.0</v>
      </c>
      <c r="M514" s="27" t="s">
        <v>4215</v>
      </c>
      <c r="N514" s="30" t="s">
        <v>1174</v>
      </c>
      <c r="O514" s="26" t="s">
        <v>5540</v>
      </c>
      <c r="P514" s="26" t="s">
        <v>5540</v>
      </c>
      <c r="Q514" s="26" t="str">
        <f t="shared" si="103"/>
        <v>กลุ่มงานบริหารทั่วไป</v>
      </c>
      <c r="R514" s="26" t="str">
        <f t="shared" si="104"/>
        <v>ภารกิจด้านอำนวยการ</v>
      </c>
      <c r="S514" s="26" t="str">
        <f t="shared" si="102"/>
        <v>กลุ่มงานบริหารทั่วไป</v>
      </c>
      <c r="T514" s="26" t="s">
        <v>3992</v>
      </c>
      <c r="U514" s="26" t="s">
        <v>1302</v>
      </c>
      <c r="V514" s="25" t="s">
        <v>46</v>
      </c>
      <c r="W514" s="26" t="s">
        <v>1323</v>
      </c>
      <c r="X514" s="25" t="s">
        <v>46</v>
      </c>
      <c r="Y514" s="31">
        <v>8.0</v>
      </c>
      <c r="Z514" s="31">
        <v>54.0</v>
      </c>
      <c r="AA514" s="31">
        <v>57.0</v>
      </c>
      <c r="AB514" s="31">
        <v>55.0</v>
      </c>
      <c r="AC514" s="32">
        <v>1.0</v>
      </c>
      <c r="AD514" s="26"/>
      <c r="AE514" s="26"/>
      <c r="AF514" s="32">
        <v>45.0</v>
      </c>
      <c r="AG514" s="37"/>
      <c r="AH514" s="37"/>
      <c r="AI514" s="44"/>
    </row>
    <row r="515" ht="38.25" hidden="1" customHeight="1">
      <c r="A515" s="32">
        <v>509.0</v>
      </c>
      <c r="B515" s="26" t="s">
        <v>1037</v>
      </c>
      <c r="C515" s="26" t="s">
        <v>4836</v>
      </c>
      <c r="D515" s="26" t="s">
        <v>5569</v>
      </c>
      <c r="E515" s="26" t="s">
        <v>5570</v>
      </c>
      <c r="F515" s="26" t="s">
        <v>5570</v>
      </c>
      <c r="G515" s="27" t="s">
        <v>1110</v>
      </c>
      <c r="H515" s="27" t="s">
        <v>1110</v>
      </c>
      <c r="I515" s="29">
        <v>4354.0</v>
      </c>
      <c r="J515" s="29" t="s">
        <v>1535</v>
      </c>
      <c r="K515" s="27" t="s">
        <v>4214</v>
      </c>
      <c r="L515" s="25">
        <v>2.0</v>
      </c>
      <c r="M515" s="27" t="s">
        <v>1137</v>
      </c>
      <c r="N515" s="30" t="s">
        <v>1174</v>
      </c>
      <c r="O515" s="26" t="s">
        <v>1557</v>
      </c>
      <c r="P515" s="26" t="s">
        <v>1567</v>
      </c>
      <c r="Q515" s="26" t="str">
        <f t="shared" si="103"/>
        <v>กลุ่มงานเวชระเบียนและข้อมูลทางการแพทย์</v>
      </c>
      <c r="R515" s="26" t="str">
        <f t="shared" si="104"/>
        <v>ภารกิจสุขภาพดิจิทัล</v>
      </c>
      <c r="S515" s="26" t="s">
        <v>4505</v>
      </c>
      <c r="T515" s="26" t="s">
        <v>4505</v>
      </c>
      <c r="U515" s="26" t="s">
        <v>1302</v>
      </c>
      <c r="V515" s="25" t="s">
        <v>21</v>
      </c>
      <c r="W515" s="26" t="s">
        <v>3972</v>
      </c>
      <c r="X515" s="25" t="s">
        <v>3945</v>
      </c>
      <c r="Y515" s="31">
        <v>5.0</v>
      </c>
      <c r="Z515" s="31">
        <v>5.0</v>
      </c>
      <c r="AA515" s="31">
        <v>5.0</v>
      </c>
      <c r="AB515" s="31">
        <v>160.0</v>
      </c>
      <c r="AC515" s="32">
        <v>1.0</v>
      </c>
      <c r="AD515" s="26"/>
      <c r="AE515" s="26"/>
      <c r="AF515" s="32">
        <v>47.0</v>
      </c>
      <c r="AG515" s="33">
        <v>3.509901090431E12</v>
      </c>
      <c r="AH515" s="33" t="s">
        <v>3204</v>
      </c>
      <c r="AI515" s="40">
        <v>227609.0</v>
      </c>
    </row>
    <row r="516" ht="38.25" hidden="1" customHeight="1">
      <c r="A516" s="32">
        <v>510.0</v>
      </c>
      <c r="B516" s="26" t="s">
        <v>806</v>
      </c>
      <c r="C516" s="26" t="s">
        <v>5516</v>
      </c>
      <c r="D516" s="26" t="s">
        <v>5571</v>
      </c>
      <c r="E516" s="26" t="s">
        <v>5570</v>
      </c>
      <c r="F516" s="26" t="s">
        <v>5570</v>
      </c>
      <c r="G516" s="27" t="s">
        <v>1110</v>
      </c>
      <c r="H516" s="27" t="s">
        <v>1110</v>
      </c>
      <c r="I516" s="29">
        <v>4355.0</v>
      </c>
      <c r="J516" s="29" t="s">
        <v>1535</v>
      </c>
      <c r="K516" s="27" t="s">
        <v>4214</v>
      </c>
      <c r="L516" s="25">
        <v>2.0</v>
      </c>
      <c r="M516" s="27" t="s">
        <v>1137</v>
      </c>
      <c r="N516" s="30" t="s">
        <v>1174</v>
      </c>
      <c r="O516" s="26" t="s">
        <v>1557</v>
      </c>
      <c r="P516" s="26" t="s">
        <v>1567</v>
      </c>
      <c r="Q516" s="26" t="str">
        <f t="shared" si="103"/>
        <v>กลุ่มงานเวชระเบียนและข้อมูลทางการแพทย์</v>
      </c>
      <c r="R516" s="26" t="str">
        <f t="shared" si="104"/>
        <v>ภารกิจสุขภาพดิจิทัล</v>
      </c>
      <c r="S516" s="26" t="s">
        <v>4505</v>
      </c>
      <c r="T516" s="26" t="s">
        <v>4505</v>
      </c>
      <c r="U516" s="26" t="s">
        <v>1302</v>
      </c>
      <c r="V516" s="25" t="s">
        <v>21</v>
      </c>
      <c r="W516" s="26" t="s">
        <v>3972</v>
      </c>
      <c r="X516" s="25" t="s">
        <v>3945</v>
      </c>
      <c r="Y516" s="31">
        <v>5.0</v>
      </c>
      <c r="Z516" s="31">
        <v>5.0</v>
      </c>
      <c r="AA516" s="31">
        <v>5.0</v>
      </c>
      <c r="AB516" s="31">
        <v>160.0</v>
      </c>
      <c r="AC516" s="32">
        <v>1.0</v>
      </c>
      <c r="AD516" s="26"/>
      <c r="AE516" s="26"/>
      <c r="AF516" s="32">
        <v>47.0</v>
      </c>
      <c r="AG516" s="37">
        <v>1.509900529859E12</v>
      </c>
      <c r="AH516" s="37" t="s">
        <v>2281</v>
      </c>
      <c r="AI516" s="38" t="s">
        <v>5572</v>
      </c>
    </row>
    <row r="517" ht="38.25" hidden="1" customHeight="1">
      <c r="A517" s="32">
        <v>511.0</v>
      </c>
      <c r="B517" s="26" t="s">
        <v>1037</v>
      </c>
      <c r="C517" s="26" t="s">
        <v>5573</v>
      </c>
      <c r="D517" s="26" t="s">
        <v>5574</v>
      </c>
      <c r="E517" s="26" t="s">
        <v>5570</v>
      </c>
      <c r="F517" s="26" t="s">
        <v>5570</v>
      </c>
      <c r="G517" s="27" t="s">
        <v>1110</v>
      </c>
      <c r="H517" s="27" t="s">
        <v>1110</v>
      </c>
      <c r="I517" s="29" t="s">
        <v>5575</v>
      </c>
      <c r="J517" s="29" t="s">
        <v>3949</v>
      </c>
      <c r="K517" s="27" t="s">
        <v>4214</v>
      </c>
      <c r="L517" s="25">
        <v>2.0</v>
      </c>
      <c r="M517" s="27" t="s">
        <v>1137</v>
      </c>
      <c r="N517" s="30" t="s">
        <v>1174</v>
      </c>
      <c r="O517" s="26" t="s">
        <v>1557</v>
      </c>
      <c r="P517" s="26" t="s">
        <v>1567</v>
      </c>
      <c r="Q517" s="26" t="str">
        <f t="shared" si="103"/>
        <v>กลุ่มงานเวชระเบียนและข้อมูลทางการแพทย์</v>
      </c>
      <c r="R517" s="26" t="str">
        <f t="shared" si="104"/>
        <v>ภารกิจสุขภาพดิจิทัล</v>
      </c>
      <c r="S517" s="26" t="s">
        <v>4505</v>
      </c>
      <c r="T517" s="26" t="s">
        <v>4505</v>
      </c>
      <c r="U517" s="26" t="s">
        <v>1302</v>
      </c>
      <c r="V517" s="25" t="s">
        <v>21</v>
      </c>
      <c r="W517" s="26" t="s">
        <v>3972</v>
      </c>
      <c r="X517" s="25" t="s">
        <v>3945</v>
      </c>
      <c r="Y517" s="31">
        <v>5.0</v>
      </c>
      <c r="Z517" s="31">
        <v>5.0</v>
      </c>
      <c r="AA517" s="31">
        <v>5.0</v>
      </c>
      <c r="AB517" s="31">
        <v>160.0</v>
      </c>
      <c r="AC517" s="32">
        <v>1.0</v>
      </c>
      <c r="AD517" s="26"/>
      <c r="AE517" s="26"/>
      <c r="AF517" s="32">
        <v>47.0</v>
      </c>
      <c r="AG517" s="33">
        <v>1.509900096847E12</v>
      </c>
      <c r="AH517" s="33" t="s">
        <v>1641</v>
      </c>
      <c r="AI517" s="40">
        <v>229048.0</v>
      </c>
    </row>
    <row r="518" ht="38.25" hidden="1" customHeight="1">
      <c r="A518" s="32">
        <v>512.0</v>
      </c>
      <c r="B518" s="26" t="s">
        <v>1037</v>
      </c>
      <c r="C518" s="26" t="s">
        <v>5292</v>
      </c>
      <c r="D518" s="26" t="s">
        <v>5092</v>
      </c>
      <c r="E518" s="26" t="s">
        <v>5570</v>
      </c>
      <c r="F518" s="26" t="s">
        <v>5570</v>
      </c>
      <c r="G518" s="27" t="s">
        <v>1110</v>
      </c>
      <c r="H518" s="27" t="s">
        <v>1110</v>
      </c>
      <c r="I518" s="29" t="s">
        <v>5576</v>
      </c>
      <c r="J518" s="29" t="s">
        <v>3949</v>
      </c>
      <c r="K518" s="27" t="s">
        <v>4214</v>
      </c>
      <c r="L518" s="25">
        <v>2.0</v>
      </c>
      <c r="M518" s="27" t="s">
        <v>1137</v>
      </c>
      <c r="N518" s="30" t="s">
        <v>1174</v>
      </c>
      <c r="O518" s="26" t="s">
        <v>1557</v>
      </c>
      <c r="P518" s="26" t="s">
        <v>1567</v>
      </c>
      <c r="Q518" s="26" t="str">
        <f t="shared" si="103"/>
        <v>กลุ่มงานเวชระเบียนและข้อมูลทางการแพทย์</v>
      </c>
      <c r="R518" s="26" t="str">
        <f t="shared" si="104"/>
        <v>ภารกิจสุขภาพดิจิทัล</v>
      </c>
      <c r="S518" s="26" t="s">
        <v>4505</v>
      </c>
      <c r="T518" s="26" t="s">
        <v>4505</v>
      </c>
      <c r="U518" s="26" t="s">
        <v>1302</v>
      </c>
      <c r="V518" s="25" t="s">
        <v>21</v>
      </c>
      <c r="W518" s="26" t="s">
        <v>3972</v>
      </c>
      <c r="X518" s="25" t="s">
        <v>3945</v>
      </c>
      <c r="Y518" s="31">
        <v>5.0</v>
      </c>
      <c r="Z518" s="31">
        <v>5.0</v>
      </c>
      <c r="AA518" s="31">
        <v>5.0</v>
      </c>
      <c r="AB518" s="31">
        <v>160.0</v>
      </c>
      <c r="AC518" s="32">
        <v>1.0</v>
      </c>
      <c r="AD518" s="26"/>
      <c r="AE518" s="26"/>
      <c r="AF518" s="32">
        <v>47.0</v>
      </c>
      <c r="AG518" s="37">
        <v>1.509900812836E12</v>
      </c>
      <c r="AH518" s="37" t="s">
        <v>1581</v>
      </c>
      <c r="AI518" s="38" t="s">
        <v>5577</v>
      </c>
    </row>
    <row r="519" ht="38.25" hidden="1" customHeight="1">
      <c r="A519" s="32">
        <v>513.0</v>
      </c>
      <c r="B519" s="26" t="s">
        <v>1037</v>
      </c>
      <c r="C519" s="26" t="s">
        <v>5578</v>
      </c>
      <c r="D519" s="26" t="s">
        <v>5579</v>
      </c>
      <c r="E519" s="26" t="s">
        <v>5570</v>
      </c>
      <c r="F519" s="26" t="s">
        <v>5570</v>
      </c>
      <c r="G519" s="27" t="s">
        <v>1110</v>
      </c>
      <c r="H519" s="27" t="s">
        <v>1110</v>
      </c>
      <c r="I519" s="29" t="s">
        <v>5580</v>
      </c>
      <c r="J519" s="29" t="s">
        <v>3963</v>
      </c>
      <c r="K519" s="27" t="s">
        <v>4214</v>
      </c>
      <c r="L519" s="25">
        <v>2.0</v>
      </c>
      <c r="M519" s="27" t="s">
        <v>1137</v>
      </c>
      <c r="N519" s="30" t="s">
        <v>1174</v>
      </c>
      <c r="O519" s="26" t="s">
        <v>1557</v>
      </c>
      <c r="P519" s="26" t="s">
        <v>1567</v>
      </c>
      <c r="Q519" s="26" t="str">
        <f t="shared" si="103"/>
        <v>กลุ่มงานเวชระเบียนและข้อมูลทางการแพทย์</v>
      </c>
      <c r="R519" s="26" t="str">
        <f t="shared" si="104"/>
        <v>ภารกิจสุขภาพดิจิทัล</v>
      </c>
      <c r="S519" s="26" t="s">
        <v>4505</v>
      </c>
      <c r="T519" s="26" t="s">
        <v>4505</v>
      </c>
      <c r="U519" s="26" t="s">
        <v>1302</v>
      </c>
      <c r="V519" s="25" t="s">
        <v>21</v>
      </c>
      <c r="W519" s="26" t="s">
        <v>3972</v>
      </c>
      <c r="X519" s="25" t="s">
        <v>3945</v>
      </c>
      <c r="Y519" s="31">
        <v>5.0</v>
      </c>
      <c r="Z519" s="31">
        <v>5.0</v>
      </c>
      <c r="AA519" s="31">
        <v>5.0</v>
      </c>
      <c r="AB519" s="31">
        <v>160.0</v>
      </c>
      <c r="AC519" s="32">
        <v>1.0</v>
      </c>
      <c r="AD519" s="26"/>
      <c r="AE519" s="26"/>
      <c r="AF519" s="32">
        <v>47.0</v>
      </c>
      <c r="AG519" s="33">
        <v>1.100703274616E12</v>
      </c>
      <c r="AH519" s="33" t="s">
        <v>640</v>
      </c>
      <c r="AI519" s="34" t="s">
        <v>5581</v>
      </c>
    </row>
    <row r="520" ht="38.25" hidden="1" customHeight="1">
      <c r="A520" s="32">
        <v>514.0</v>
      </c>
      <c r="B520" s="26" t="s">
        <v>1037</v>
      </c>
      <c r="C520" s="26" t="s">
        <v>5582</v>
      </c>
      <c r="D520" s="26" t="s">
        <v>5583</v>
      </c>
      <c r="E520" s="26" t="s">
        <v>5570</v>
      </c>
      <c r="F520" s="26" t="s">
        <v>5570</v>
      </c>
      <c r="G520" s="27" t="s">
        <v>1110</v>
      </c>
      <c r="H520" s="27" t="s">
        <v>1110</v>
      </c>
      <c r="I520" s="29" t="s">
        <v>5584</v>
      </c>
      <c r="J520" s="29" t="s">
        <v>3963</v>
      </c>
      <c r="K520" s="27" t="s">
        <v>4214</v>
      </c>
      <c r="L520" s="25">
        <v>2.0</v>
      </c>
      <c r="M520" s="27" t="s">
        <v>1137</v>
      </c>
      <c r="N520" s="30" t="s">
        <v>1174</v>
      </c>
      <c r="O520" s="26" t="s">
        <v>1557</v>
      </c>
      <c r="P520" s="26" t="s">
        <v>1567</v>
      </c>
      <c r="Q520" s="26" t="str">
        <f t="shared" si="103"/>
        <v>กลุ่มงานเวชระเบียนและข้อมูลทางการแพทย์</v>
      </c>
      <c r="R520" s="26" t="str">
        <f t="shared" si="104"/>
        <v>ภารกิจสุขภาพดิจิทัล</v>
      </c>
      <c r="S520" s="26" t="s">
        <v>4505</v>
      </c>
      <c r="T520" s="26" t="s">
        <v>4505</v>
      </c>
      <c r="U520" s="26" t="s">
        <v>1302</v>
      </c>
      <c r="V520" s="25" t="s">
        <v>21</v>
      </c>
      <c r="W520" s="26" t="s">
        <v>3972</v>
      </c>
      <c r="X520" s="25" t="s">
        <v>3945</v>
      </c>
      <c r="Y520" s="31">
        <v>5.0</v>
      </c>
      <c r="Z520" s="31">
        <v>5.0</v>
      </c>
      <c r="AA520" s="31">
        <v>5.0</v>
      </c>
      <c r="AB520" s="31">
        <v>160.0</v>
      </c>
      <c r="AC520" s="32">
        <v>1.0</v>
      </c>
      <c r="AD520" s="26"/>
      <c r="AE520" s="26"/>
      <c r="AF520" s="32">
        <v>47.0</v>
      </c>
      <c r="AG520" s="33">
        <v>1.509966239191E12</v>
      </c>
      <c r="AH520" s="33" t="s">
        <v>232</v>
      </c>
      <c r="AI520" s="40">
        <v>235837.0</v>
      </c>
    </row>
    <row r="521" ht="38.25" hidden="1" customHeight="1">
      <c r="A521" s="32">
        <v>515.0</v>
      </c>
      <c r="B521" s="26" t="s">
        <v>2692</v>
      </c>
      <c r="C521" s="26" t="s">
        <v>5585</v>
      </c>
      <c r="D521" s="26" t="s">
        <v>5586</v>
      </c>
      <c r="E521" s="26" t="s">
        <v>5570</v>
      </c>
      <c r="F521" s="26" t="s">
        <v>5570</v>
      </c>
      <c r="G521" s="27" t="s">
        <v>1110</v>
      </c>
      <c r="H521" s="27" t="s">
        <v>1110</v>
      </c>
      <c r="I521" s="29" t="s">
        <v>5587</v>
      </c>
      <c r="J521" s="29" t="s">
        <v>3963</v>
      </c>
      <c r="K521" s="27" t="s">
        <v>4214</v>
      </c>
      <c r="L521" s="25">
        <v>2.0</v>
      </c>
      <c r="M521" s="27" t="s">
        <v>1137</v>
      </c>
      <c r="N521" s="30" t="s">
        <v>1174</v>
      </c>
      <c r="O521" s="26" t="s">
        <v>1557</v>
      </c>
      <c r="P521" s="26" t="s">
        <v>1567</v>
      </c>
      <c r="Q521" s="26" t="str">
        <f t="shared" si="103"/>
        <v>กลุ่มงานเวชระเบียนและข้อมูลทางการแพทย์</v>
      </c>
      <c r="R521" s="26" t="str">
        <f t="shared" si="104"/>
        <v>ภารกิจสุขภาพดิจิทัล</v>
      </c>
      <c r="S521" s="26" t="s">
        <v>4505</v>
      </c>
      <c r="T521" s="26" t="s">
        <v>4505</v>
      </c>
      <c r="U521" s="26" t="s">
        <v>1302</v>
      </c>
      <c r="V521" s="25" t="s">
        <v>21</v>
      </c>
      <c r="W521" s="26" t="s">
        <v>3972</v>
      </c>
      <c r="X521" s="25" t="s">
        <v>3945</v>
      </c>
      <c r="Y521" s="31">
        <v>5.0</v>
      </c>
      <c r="Z521" s="31">
        <v>5.0</v>
      </c>
      <c r="AA521" s="31">
        <v>5.0</v>
      </c>
      <c r="AB521" s="31">
        <v>160.0</v>
      </c>
      <c r="AC521" s="32">
        <v>1.0</v>
      </c>
      <c r="AD521" s="26"/>
      <c r="AE521" s="26"/>
      <c r="AF521" s="32">
        <v>47.0</v>
      </c>
      <c r="AG521" s="37">
        <v>1.139900356397E12</v>
      </c>
      <c r="AH521" s="37" t="s">
        <v>665</v>
      </c>
      <c r="AI521" s="38" t="s">
        <v>4578</v>
      </c>
    </row>
    <row r="522" ht="38.25" hidden="1" customHeight="1">
      <c r="A522" s="32">
        <v>516.0</v>
      </c>
      <c r="B522" s="26" t="s">
        <v>1037</v>
      </c>
      <c r="C522" s="26" t="s">
        <v>5588</v>
      </c>
      <c r="D522" s="26" t="s">
        <v>5589</v>
      </c>
      <c r="E522" s="26" t="s">
        <v>5590</v>
      </c>
      <c r="F522" s="26" t="s">
        <v>5590</v>
      </c>
      <c r="G522" s="27" t="s">
        <v>1110</v>
      </c>
      <c r="H522" s="27" t="s">
        <v>1110</v>
      </c>
      <c r="I522" s="29">
        <v>4374.0</v>
      </c>
      <c r="J522" s="29" t="s">
        <v>1535</v>
      </c>
      <c r="K522" s="27" t="s">
        <v>4214</v>
      </c>
      <c r="L522" s="25">
        <v>2.0</v>
      </c>
      <c r="M522" s="27" t="s">
        <v>1137</v>
      </c>
      <c r="N522" s="30" t="s">
        <v>1174</v>
      </c>
      <c r="O522" s="26" t="str">
        <f t="shared" ref="O522:O533" si="105">+T522</f>
        <v>กลุ่มงานโภชนศาสตร์</v>
      </c>
      <c r="P522" s="26" t="s">
        <v>4423</v>
      </c>
      <c r="Q522" s="26" t="str">
        <f t="shared" si="103"/>
        <v>กลุ่มงานโภชนศาสตร์</v>
      </c>
      <c r="R522" s="26" t="str">
        <f t="shared" si="104"/>
        <v>ภารกิจด้านบริการทุติยภูมิและตติยภูมิ</v>
      </c>
      <c r="S522" s="26" t="str">
        <f t="shared" ref="S522:S554" si="106">+T522</f>
        <v>กลุ่มงานโภชนศาสตร์</v>
      </c>
      <c r="T522" s="26" t="s">
        <v>4424</v>
      </c>
      <c r="U522" s="26" t="s">
        <v>1302</v>
      </c>
      <c r="V522" s="25">
        <v>9.0</v>
      </c>
      <c r="W522" s="26" t="s">
        <v>4054</v>
      </c>
      <c r="X522" s="25" t="s">
        <v>3978</v>
      </c>
      <c r="Y522" s="31">
        <v>12.0</v>
      </c>
      <c r="Z522" s="31">
        <v>12.0</v>
      </c>
      <c r="AA522" s="31">
        <v>50.0</v>
      </c>
      <c r="AB522" s="31">
        <v>160.0</v>
      </c>
      <c r="AC522" s="32">
        <v>1.0</v>
      </c>
      <c r="AD522" s="26"/>
      <c r="AE522" s="26"/>
      <c r="AF522" s="32">
        <v>47.0</v>
      </c>
      <c r="AG522" s="37">
        <v>4.500600005117E12</v>
      </c>
      <c r="AH522" s="37" t="s">
        <v>3276</v>
      </c>
      <c r="AI522" s="38" t="s">
        <v>5591</v>
      </c>
    </row>
    <row r="523" ht="38.25" hidden="1" customHeight="1">
      <c r="A523" s="32">
        <v>517.0</v>
      </c>
      <c r="B523" s="26" t="s">
        <v>806</v>
      </c>
      <c r="C523" s="26" t="s">
        <v>5592</v>
      </c>
      <c r="D523" s="26" t="s">
        <v>5593</v>
      </c>
      <c r="E523" s="26" t="s">
        <v>5590</v>
      </c>
      <c r="F523" s="26" t="s">
        <v>5590</v>
      </c>
      <c r="G523" s="27" t="s">
        <v>1110</v>
      </c>
      <c r="H523" s="27" t="s">
        <v>1110</v>
      </c>
      <c r="I523" s="29">
        <v>4375.0</v>
      </c>
      <c r="J523" s="29" t="s">
        <v>1535</v>
      </c>
      <c r="K523" s="27" t="s">
        <v>4214</v>
      </c>
      <c r="L523" s="25">
        <v>2.0</v>
      </c>
      <c r="M523" s="27" t="s">
        <v>1137</v>
      </c>
      <c r="N523" s="30" t="s">
        <v>1174</v>
      </c>
      <c r="O523" s="26" t="str">
        <f t="shared" si="105"/>
        <v>กลุ่มงานโภชนศาสตร์</v>
      </c>
      <c r="P523" s="26" t="s">
        <v>4423</v>
      </c>
      <c r="Q523" s="26" t="str">
        <f t="shared" si="103"/>
        <v>กลุ่มงานโภชนศาสตร์</v>
      </c>
      <c r="R523" s="26" t="str">
        <f t="shared" si="104"/>
        <v>ภารกิจด้านบริการทุติยภูมิและตติยภูมิ</v>
      </c>
      <c r="S523" s="26" t="str">
        <f t="shared" si="106"/>
        <v>กลุ่มงานโภชนศาสตร์</v>
      </c>
      <c r="T523" s="26" t="s">
        <v>4424</v>
      </c>
      <c r="U523" s="26" t="s">
        <v>1302</v>
      </c>
      <c r="V523" s="25">
        <v>9.0</v>
      </c>
      <c r="W523" s="26" t="s">
        <v>4054</v>
      </c>
      <c r="X523" s="25" t="s">
        <v>3978</v>
      </c>
      <c r="Y523" s="31">
        <v>12.0</v>
      </c>
      <c r="Z523" s="31">
        <v>12.0</v>
      </c>
      <c r="AA523" s="31">
        <v>50.0</v>
      </c>
      <c r="AB523" s="31">
        <v>160.0</v>
      </c>
      <c r="AC523" s="32">
        <v>1.0</v>
      </c>
      <c r="AD523" s="26"/>
      <c r="AE523" s="26"/>
      <c r="AF523" s="32">
        <v>47.0</v>
      </c>
      <c r="AG523" s="33">
        <v>3.501200641272E12</v>
      </c>
      <c r="AH523" s="33" t="s">
        <v>3304</v>
      </c>
      <c r="AI523" s="34" t="s">
        <v>5594</v>
      </c>
    </row>
    <row r="524" ht="38.25" hidden="1" customHeight="1">
      <c r="A524" s="32">
        <v>518.0</v>
      </c>
      <c r="B524" s="26" t="s">
        <v>806</v>
      </c>
      <c r="C524" s="26" t="s">
        <v>5595</v>
      </c>
      <c r="D524" s="26" t="s">
        <v>5596</v>
      </c>
      <c r="E524" s="26" t="s">
        <v>5590</v>
      </c>
      <c r="F524" s="26" t="s">
        <v>5590</v>
      </c>
      <c r="G524" s="27" t="s">
        <v>1110</v>
      </c>
      <c r="H524" s="27" t="s">
        <v>1110</v>
      </c>
      <c r="I524" s="29">
        <v>4376.0</v>
      </c>
      <c r="J524" s="29" t="s">
        <v>1535</v>
      </c>
      <c r="K524" s="27" t="s">
        <v>4214</v>
      </c>
      <c r="L524" s="25">
        <v>2.0</v>
      </c>
      <c r="M524" s="27" t="s">
        <v>1137</v>
      </c>
      <c r="N524" s="30" t="s">
        <v>1174</v>
      </c>
      <c r="O524" s="26" t="str">
        <f t="shared" si="105"/>
        <v>กลุ่มงานโภชนศาสตร์</v>
      </c>
      <c r="P524" s="26" t="s">
        <v>4423</v>
      </c>
      <c r="Q524" s="26" t="str">
        <f t="shared" si="103"/>
        <v>กลุ่มงานโภชนศาสตร์</v>
      </c>
      <c r="R524" s="26" t="str">
        <f t="shared" si="104"/>
        <v>ภารกิจด้านบริการทุติยภูมิและตติยภูมิ</v>
      </c>
      <c r="S524" s="26" t="str">
        <f t="shared" si="106"/>
        <v>กลุ่มงานโภชนศาสตร์</v>
      </c>
      <c r="T524" s="26" t="s">
        <v>4424</v>
      </c>
      <c r="U524" s="26" t="s">
        <v>1302</v>
      </c>
      <c r="V524" s="25">
        <v>9.0</v>
      </c>
      <c r="W524" s="26" t="s">
        <v>4054</v>
      </c>
      <c r="X524" s="25" t="s">
        <v>3978</v>
      </c>
      <c r="Y524" s="31">
        <v>12.0</v>
      </c>
      <c r="Z524" s="31">
        <v>12.0</v>
      </c>
      <c r="AA524" s="31">
        <v>50.0</v>
      </c>
      <c r="AB524" s="31">
        <v>160.0</v>
      </c>
      <c r="AC524" s="32">
        <v>1.0</v>
      </c>
      <c r="AD524" s="26"/>
      <c r="AE524" s="26"/>
      <c r="AF524" s="32">
        <v>47.0</v>
      </c>
      <c r="AG524" s="37">
        <v>3.102100379261E12</v>
      </c>
      <c r="AH524" s="37" t="s">
        <v>3263</v>
      </c>
      <c r="AI524" s="38" t="s">
        <v>5597</v>
      </c>
    </row>
    <row r="525" ht="38.25" hidden="1" customHeight="1">
      <c r="A525" s="32">
        <v>519.0</v>
      </c>
      <c r="B525" s="26" t="s">
        <v>1037</v>
      </c>
      <c r="C525" s="26" t="s">
        <v>5598</v>
      </c>
      <c r="D525" s="26" t="s">
        <v>5599</v>
      </c>
      <c r="E525" s="26" t="s">
        <v>5590</v>
      </c>
      <c r="F525" s="26" t="s">
        <v>5590</v>
      </c>
      <c r="G525" s="27" t="s">
        <v>1110</v>
      </c>
      <c r="H525" s="27" t="s">
        <v>1110</v>
      </c>
      <c r="I525" s="29">
        <v>4377.0</v>
      </c>
      <c r="J525" s="29" t="s">
        <v>1535</v>
      </c>
      <c r="K525" s="27" t="s">
        <v>4214</v>
      </c>
      <c r="L525" s="25">
        <v>2.0</v>
      </c>
      <c r="M525" s="27" t="s">
        <v>1137</v>
      </c>
      <c r="N525" s="30" t="s">
        <v>1174</v>
      </c>
      <c r="O525" s="26" t="str">
        <f t="shared" si="105"/>
        <v>กลุ่มงานโภชนศาสตร์</v>
      </c>
      <c r="P525" s="26" t="s">
        <v>4423</v>
      </c>
      <c r="Q525" s="26" t="str">
        <f t="shared" si="103"/>
        <v>กลุ่มงานโภชนศาสตร์</v>
      </c>
      <c r="R525" s="26" t="str">
        <f t="shared" si="104"/>
        <v>ภารกิจด้านบริการทุติยภูมิและตติยภูมิ</v>
      </c>
      <c r="S525" s="26" t="str">
        <f t="shared" si="106"/>
        <v>กลุ่มงานโภชนศาสตร์</v>
      </c>
      <c r="T525" s="26" t="s">
        <v>4424</v>
      </c>
      <c r="U525" s="26" t="s">
        <v>1302</v>
      </c>
      <c r="V525" s="25">
        <v>9.0</v>
      </c>
      <c r="W525" s="26" t="s">
        <v>4054</v>
      </c>
      <c r="X525" s="25" t="s">
        <v>3978</v>
      </c>
      <c r="Y525" s="31">
        <v>12.0</v>
      </c>
      <c r="Z525" s="31">
        <v>12.0</v>
      </c>
      <c r="AA525" s="31">
        <v>50.0</v>
      </c>
      <c r="AB525" s="31">
        <v>160.0</v>
      </c>
      <c r="AC525" s="32">
        <v>1.0</v>
      </c>
      <c r="AD525" s="26"/>
      <c r="AE525" s="26"/>
      <c r="AF525" s="32">
        <v>47.0</v>
      </c>
      <c r="AG525" s="33">
        <v>5.510600024322E12</v>
      </c>
      <c r="AH525" s="33" t="s">
        <v>3281</v>
      </c>
      <c r="AI525" s="40">
        <v>228709.0</v>
      </c>
    </row>
    <row r="526" ht="38.25" hidden="1" customHeight="1">
      <c r="A526" s="32">
        <v>520.0</v>
      </c>
      <c r="B526" s="26" t="s">
        <v>2692</v>
      </c>
      <c r="C526" s="26" t="s">
        <v>5600</v>
      </c>
      <c r="D526" s="26" t="s">
        <v>5601</v>
      </c>
      <c r="E526" s="26" t="s">
        <v>5590</v>
      </c>
      <c r="F526" s="26" t="s">
        <v>5590</v>
      </c>
      <c r="G526" s="27" t="s">
        <v>1110</v>
      </c>
      <c r="H526" s="27" t="s">
        <v>1110</v>
      </c>
      <c r="I526" s="28" t="s">
        <v>5602</v>
      </c>
      <c r="J526" s="29" t="s">
        <v>3949</v>
      </c>
      <c r="K526" s="27" t="s">
        <v>4214</v>
      </c>
      <c r="L526" s="25">
        <v>2.0</v>
      </c>
      <c r="M526" s="27" t="s">
        <v>1137</v>
      </c>
      <c r="N526" s="30" t="s">
        <v>1174</v>
      </c>
      <c r="O526" s="26" t="str">
        <f t="shared" si="105"/>
        <v>กลุ่มงานโภชนศาสตร์</v>
      </c>
      <c r="P526" s="26" t="s">
        <v>4423</v>
      </c>
      <c r="Q526" s="26" t="str">
        <f t="shared" si="103"/>
        <v>กลุ่มงานโภชนศาสตร์</v>
      </c>
      <c r="R526" s="26" t="str">
        <f t="shared" si="104"/>
        <v>ภารกิจด้านบริการทุติยภูมิและตติยภูมิ</v>
      </c>
      <c r="S526" s="26" t="str">
        <f t="shared" si="106"/>
        <v>กลุ่มงานโภชนศาสตร์</v>
      </c>
      <c r="T526" s="26" t="s">
        <v>4424</v>
      </c>
      <c r="U526" s="26" t="s">
        <v>1302</v>
      </c>
      <c r="V526" s="25">
        <v>9.0</v>
      </c>
      <c r="W526" s="26" t="s">
        <v>4054</v>
      </c>
      <c r="X526" s="25" t="s">
        <v>3978</v>
      </c>
      <c r="Y526" s="31">
        <v>12.0</v>
      </c>
      <c r="Z526" s="31">
        <v>12.0</v>
      </c>
      <c r="AA526" s="31">
        <v>50.0</v>
      </c>
      <c r="AB526" s="31">
        <v>160.0</v>
      </c>
      <c r="AC526" s="32">
        <v>1.0</v>
      </c>
      <c r="AD526" s="26"/>
      <c r="AE526" s="26"/>
      <c r="AF526" s="32">
        <v>47.0</v>
      </c>
      <c r="AG526" s="33">
        <v>3.50070028981E12</v>
      </c>
      <c r="AH526" s="33" t="s">
        <v>2457</v>
      </c>
      <c r="AI526" s="34" t="s">
        <v>5603</v>
      </c>
    </row>
    <row r="527" ht="38.25" hidden="1" customHeight="1">
      <c r="A527" s="32">
        <v>521.0</v>
      </c>
      <c r="B527" s="26" t="s">
        <v>1037</v>
      </c>
      <c r="C527" s="26" t="s">
        <v>5604</v>
      </c>
      <c r="D527" s="26" t="s">
        <v>5605</v>
      </c>
      <c r="E527" s="26" t="s">
        <v>5590</v>
      </c>
      <c r="F527" s="26" t="s">
        <v>5590</v>
      </c>
      <c r="G527" s="27" t="s">
        <v>1110</v>
      </c>
      <c r="H527" s="27" t="s">
        <v>1110</v>
      </c>
      <c r="I527" s="28" t="s">
        <v>5606</v>
      </c>
      <c r="J527" s="29" t="s">
        <v>3949</v>
      </c>
      <c r="K527" s="27" t="s">
        <v>4214</v>
      </c>
      <c r="L527" s="25">
        <v>2.0</v>
      </c>
      <c r="M527" s="27" t="s">
        <v>1137</v>
      </c>
      <c r="N527" s="30" t="s">
        <v>1174</v>
      </c>
      <c r="O527" s="26" t="str">
        <f t="shared" si="105"/>
        <v>กลุ่มงานโภชนศาสตร์</v>
      </c>
      <c r="P527" s="26" t="s">
        <v>4423</v>
      </c>
      <c r="Q527" s="26" t="str">
        <f t="shared" si="103"/>
        <v>กลุ่มงานโภชนศาสตร์</v>
      </c>
      <c r="R527" s="26" t="str">
        <f t="shared" si="104"/>
        <v>ภารกิจด้านบริการทุติยภูมิและตติยภูมิ</v>
      </c>
      <c r="S527" s="26" t="str">
        <f t="shared" si="106"/>
        <v>กลุ่มงานโภชนศาสตร์</v>
      </c>
      <c r="T527" s="26" t="s">
        <v>4424</v>
      </c>
      <c r="U527" s="26" t="s">
        <v>1302</v>
      </c>
      <c r="V527" s="25">
        <v>9.0</v>
      </c>
      <c r="W527" s="26" t="s">
        <v>4054</v>
      </c>
      <c r="X527" s="25" t="s">
        <v>3978</v>
      </c>
      <c r="Y527" s="31">
        <v>12.0</v>
      </c>
      <c r="Z527" s="31">
        <v>12.0</v>
      </c>
      <c r="AA527" s="31">
        <v>50.0</v>
      </c>
      <c r="AB527" s="31">
        <v>160.0</v>
      </c>
      <c r="AC527" s="32">
        <v>1.0</v>
      </c>
      <c r="AD527" s="26"/>
      <c r="AE527" s="26"/>
      <c r="AF527" s="32">
        <v>47.0</v>
      </c>
      <c r="AG527" s="37">
        <v>1.509900164559E12</v>
      </c>
      <c r="AH527" s="37" t="s">
        <v>1830</v>
      </c>
      <c r="AI527" s="38" t="s">
        <v>5607</v>
      </c>
    </row>
    <row r="528" ht="38.25" hidden="1" customHeight="1">
      <c r="A528" s="32">
        <v>522.0</v>
      </c>
      <c r="B528" s="26" t="s">
        <v>1037</v>
      </c>
      <c r="C528" s="26" t="s">
        <v>5608</v>
      </c>
      <c r="D528" s="26" t="s">
        <v>5609</v>
      </c>
      <c r="E528" s="26" t="s">
        <v>5590</v>
      </c>
      <c r="F528" s="26" t="s">
        <v>5590</v>
      </c>
      <c r="G528" s="27" t="s">
        <v>1110</v>
      </c>
      <c r="H528" s="27" t="s">
        <v>1110</v>
      </c>
      <c r="I528" s="29" t="s">
        <v>5610</v>
      </c>
      <c r="J528" s="29" t="s">
        <v>3963</v>
      </c>
      <c r="K528" s="27" t="s">
        <v>4214</v>
      </c>
      <c r="L528" s="25">
        <v>2.0</v>
      </c>
      <c r="M528" s="27" t="s">
        <v>1137</v>
      </c>
      <c r="N528" s="30" t="s">
        <v>1174</v>
      </c>
      <c r="O528" s="26" t="str">
        <f t="shared" si="105"/>
        <v>กลุ่มงานโภชนศาสตร์</v>
      </c>
      <c r="P528" s="26" t="s">
        <v>4423</v>
      </c>
      <c r="Q528" s="26" t="str">
        <f t="shared" si="103"/>
        <v>กลุ่มงานโภชนศาสตร์</v>
      </c>
      <c r="R528" s="26" t="str">
        <f t="shared" si="104"/>
        <v>ภารกิจด้านบริการทุติยภูมิและตติยภูมิ</v>
      </c>
      <c r="S528" s="26" t="str">
        <f t="shared" si="106"/>
        <v>กลุ่มงานโภชนศาสตร์</v>
      </c>
      <c r="T528" s="26" t="s">
        <v>4424</v>
      </c>
      <c r="U528" s="26" t="s">
        <v>1302</v>
      </c>
      <c r="V528" s="25">
        <v>9.0</v>
      </c>
      <c r="W528" s="26" t="s">
        <v>4054</v>
      </c>
      <c r="X528" s="25" t="s">
        <v>3978</v>
      </c>
      <c r="Y528" s="31">
        <v>12.0</v>
      </c>
      <c r="Z528" s="31">
        <v>12.0</v>
      </c>
      <c r="AA528" s="31">
        <v>50.0</v>
      </c>
      <c r="AB528" s="31">
        <v>160.0</v>
      </c>
      <c r="AC528" s="32">
        <v>1.0</v>
      </c>
      <c r="AD528" s="26"/>
      <c r="AE528" s="26"/>
      <c r="AF528" s="32">
        <v>47.0</v>
      </c>
      <c r="AG528" s="33">
        <v>3.50090078749E12</v>
      </c>
      <c r="AH528" s="33" t="s">
        <v>1024</v>
      </c>
      <c r="AI528" s="34" t="s">
        <v>5611</v>
      </c>
    </row>
    <row r="529" ht="38.25" hidden="1" customHeight="1">
      <c r="A529" s="32">
        <v>523.0</v>
      </c>
      <c r="B529" s="26" t="s">
        <v>1037</v>
      </c>
      <c r="C529" s="26" t="s">
        <v>5612</v>
      </c>
      <c r="D529" s="26" t="s">
        <v>5613</v>
      </c>
      <c r="E529" s="26" t="s">
        <v>5590</v>
      </c>
      <c r="F529" s="26" t="s">
        <v>5590</v>
      </c>
      <c r="G529" s="27" t="s">
        <v>1110</v>
      </c>
      <c r="H529" s="27" t="s">
        <v>1110</v>
      </c>
      <c r="I529" s="29" t="s">
        <v>5614</v>
      </c>
      <c r="J529" s="29" t="s">
        <v>3963</v>
      </c>
      <c r="K529" s="27" t="s">
        <v>4214</v>
      </c>
      <c r="L529" s="25">
        <v>2.0</v>
      </c>
      <c r="M529" s="27" t="s">
        <v>1137</v>
      </c>
      <c r="N529" s="30" t="s">
        <v>1174</v>
      </c>
      <c r="O529" s="26" t="str">
        <f t="shared" si="105"/>
        <v>กลุ่มงานโภชนศาสตร์</v>
      </c>
      <c r="P529" s="26" t="s">
        <v>4423</v>
      </c>
      <c r="Q529" s="26" t="str">
        <f t="shared" si="103"/>
        <v>กลุ่มงานโภชนศาสตร์</v>
      </c>
      <c r="R529" s="26" t="str">
        <f t="shared" si="104"/>
        <v>ภารกิจด้านบริการทุติยภูมิและตติยภูมิ</v>
      </c>
      <c r="S529" s="26" t="str">
        <f t="shared" si="106"/>
        <v>กลุ่มงานโภชนศาสตร์</v>
      </c>
      <c r="T529" s="26" t="s">
        <v>4424</v>
      </c>
      <c r="U529" s="26" t="s">
        <v>1302</v>
      </c>
      <c r="V529" s="25">
        <v>9.0</v>
      </c>
      <c r="W529" s="26" t="s">
        <v>4054</v>
      </c>
      <c r="X529" s="25" t="s">
        <v>3978</v>
      </c>
      <c r="Y529" s="31">
        <v>12.0</v>
      </c>
      <c r="Z529" s="31">
        <v>12.0</v>
      </c>
      <c r="AA529" s="31">
        <v>50.0</v>
      </c>
      <c r="AB529" s="31">
        <v>160.0</v>
      </c>
      <c r="AC529" s="32">
        <v>1.0</v>
      </c>
      <c r="AD529" s="26"/>
      <c r="AE529" s="26"/>
      <c r="AF529" s="32">
        <v>47.0</v>
      </c>
      <c r="AG529" s="37">
        <v>1.500300063346E12</v>
      </c>
      <c r="AH529" s="37" t="s">
        <v>1029</v>
      </c>
      <c r="AI529" s="38" t="s">
        <v>5615</v>
      </c>
    </row>
    <row r="530" ht="38.25" hidden="1" customHeight="1">
      <c r="A530" s="32">
        <v>524.0</v>
      </c>
      <c r="B530" s="64" t="s">
        <v>2692</v>
      </c>
      <c r="C530" s="64" t="s">
        <v>5616</v>
      </c>
      <c r="D530" s="64" t="s">
        <v>5617</v>
      </c>
      <c r="E530" s="26" t="s">
        <v>5590</v>
      </c>
      <c r="F530" s="26" t="s">
        <v>5590</v>
      </c>
      <c r="G530" s="27" t="s">
        <v>1110</v>
      </c>
      <c r="H530" s="27" t="s">
        <v>1110</v>
      </c>
      <c r="I530" s="29" t="s">
        <v>5618</v>
      </c>
      <c r="J530" s="29" t="s">
        <v>3963</v>
      </c>
      <c r="K530" s="27" t="s">
        <v>4214</v>
      </c>
      <c r="L530" s="25">
        <v>2.0</v>
      </c>
      <c r="M530" s="27" t="s">
        <v>1137</v>
      </c>
      <c r="N530" s="30" t="s">
        <v>1174</v>
      </c>
      <c r="O530" s="26" t="str">
        <f t="shared" si="105"/>
        <v>กลุ่มงานโภชนศาสตร์</v>
      </c>
      <c r="P530" s="26" t="s">
        <v>4423</v>
      </c>
      <c r="Q530" s="26" t="str">
        <f t="shared" si="103"/>
        <v>กลุ่มงานโภชนศาสตร์</v>
      </c>
      <c r="R530" s="26" t="str">
        <f t="shared" si="104"/>
        <v>ภารกิจด้านบริการทุติยภูมิและตติยภูมิ</v>
      </c>
      <c r="S530" s="26" t="str">
        <f t="shared" si="106"/>
        <v>กลุ่มงานโภชนศาสตร์</v>
      </c>
      <c r="T530" s="26" t="s">
        <v>4424</v>
      </c>
      <c r="U530" s="26" t="s">
        <v>1302</v>
      </c>
      <c r="V530" s="25">
        <v>9.0</v>
      </c>
      <c r="W530" s="26" t="s">
        <v>4054</v>
      </c>
      <c r="X530" s="25" t="s">
        <v>3978</v>
      </c>
      <c r="Y530" s="31">
        <v>12.0</v>
      </c>
      <c r="Z530" s="31">
        <v>12.0</v>
      </c>
      <c r="AA530" s="31">
        <v>50.0</v>
      </c>
      <c r="AB530" s="31">
        <v>160.0</v>
      </c>
      <c r="AC530" s="32">
        <v>1.0</v>
      </c>
      <c r="AD530" s="26"/>
      <c r="AE530" s="26"/>
      <c r="AF530" s="32">
        <v>47.0</v>
      </c>
      <c r="AG530" s="61"/>
      <c r="AH530" s="61"/>
      <c r="AI530" s="62"/>
    </row>
    <row r="531" ht="38.25" hidden="1" customHeight="1">
      <c r="A531" s="32">
        <v>525.0</v>
      </c>
      <c r="B531" s="26" t="s">
        <v>806</v>
      </c>
      <c r="C531" s="26" t="s">
        <v>5619</v>
      </c>
      <c r="D531" s="26" t="s">
        <v>5620</v>
      </c>
      <c r="E531" s="26" t="s">
        <v>5590</v>
      </c>
      <c r="F531" s="26" t="s">
        <v>5590</v>
      </c>
      <c r="G531" s="27" t="s">
        <v>1110</v>
      </c>
      <c r="H531" s="27" t="s">
        <v>1110</v>
      </c>
      <c r="I531" s="29" t="s">
        <v>5621</v>
      </c>
      <c r="J531" s="29" t="s">
        <v>3963</v>
      </c>
      <c r="K531" s="27" t="s">
        <v>4214</v>
      </c>
      <c r="L531" s="25">
        <v>2.0</v>
      </c>
      <c r="M531" s="27" t="s">
        <v>1137</v>
      </c>
      <c r="N531" s="30" t="s">
        <v>1174</v>
      </c>
      <c r="O531" s="26" t="str">
        <f t="shared" si="105"/>
        <v>กลุ่มงานโภชนศาสตร์</v>
      </c>
      <c r="P531" s="26" t="s">
        <v>4423</v>
      </c>
      <c r="Q531" s="26" t="str">
        <f t="shared" si="103"/>
        <v>กลุ่มงานโภชนศาสตร์</v>
      </c>
      <c r="R531" s="26" t="str">
        <f t="shared" si="104"/>
        <v>ภารกิจด้านบริการทุติยภูมิและตติยภูมิ</v>
      </c>
      <c r="S531" s="26" t="str">
        <f t="shared" si="106"/>
        <v>กลุ่มงานโภชนศาสตร์</v>
      </c>
      <c r="T531" s="26" t="s">
        <v>4424</v>
      </c>
      <c r="U531" s="26" t="s">
        <v>1302</v>
      </c>
      <c r="V531" s="25">
        <v>9.0</v>
      </c>
      <c r="W531" s="26" t="s">
        <v>4054</v>
      </c>
      <c r="X531" s="25" t="s">
        <v>3978</v>
      </c>
      <c r="Y531" s="31">
        <v>12.0</v>
      </c>
      <c r="Z531" s="31">
        <v>12.0</v>
      </c>
      <c r="AA531" s="31">
        <v>50.0</v>
      </c>
      <c r="AB531" s="31">
        <v>160.0</v>
      </c>
      <c r="AC531" s="32">
        <v>1.0</v>
      </c>
      <c r="AD531" s="26"/>
      <c r="AE531" s="26"/>
      <c r="AF531" s="32">
        <v>47.0</v>
      </c>
      <c r="AG531" s="33">
        <v>3.501400397146E12</v>
      </c>
      <c r="AH531" s="33" t="s">
        <v>760</v>
      </c>
      <c r="AI531" s="34" t="s">
        <v>5622</v>
      </c>
    </row>
    <row r="532" ht="38.25" hidden="1" customHeight="1">
      <c r="A532" s="32">
        <v>526.0</v>
      </c>
      <c r="B532" s="26" t="s">
        <v>1037</v>
      </c>
      <c r="C532" s="26" t="s">
        <v>5623</v>
      </c>
      <c r="D532" s="26" t="s">
        <v>4766</v>
      </c>
      <c r="E532" s="26" t="s">
        <v>5624</v>
      </c>
      <c r="F532" s="26" t="s">
        <v>5624</v>
      </c>
      <c r="G532" s="27" t="s">
        <v>1110</v>
      </c>
      <c r="H532" s="27" t="s">
        <v>1110</v>
      </c>
      <c r="I532" s="29">
        <v>4386.0</v>
      </c>
      <c r="J532" s="29" t="s">
        <v>1535</v>
      </c>
      <c r="K532" s="27" t="s">
        <v>4214</v>
      </c>
      <c r="L532" s="25">
        <v>2.0</v>
      </c>
      <c r="M532" s="27" t="s">
        <v>1137</v>
      </c>
      <c r="N532" s="30" t="s">
        <v>1174</v>
      </c>
      <c r="O532" s="26" t="str">
        <f t="shared" si="105"/>
        <v>กลุ่มงานเทคนิคการแพทย์และพยาธิวิทยาคลินิก</v>
      </c>
      <c r="P532" s="26" t="s">
        <v>4328</v>
      </c>
      <c r="Q532" s="26" t="str">
        <f t="shared" si="103"/>
        <v>กลุ่มงานเทคนิคการแพทย์และพยาธิวิทยาคลินิก</v>
      </c>
      <c r="R532" s="26" t="str">
        <f t="shared" si="104"/>
        <v>ภารกิจด้านบริการทุติยภูมิและตติยภูมิ</v>
      </c>
      <c r="S532" s="26" t="str">
        <f t="shared" si="106"/>
        <v>กลุ่มงานเทคนิคการแพทย์และพยาธิวิทยาคลินิก</v>
      </c>
      <c r="T532" s="26" t="s">
        <v>4329</v>
      </c>
      <c r="U532" s="26" t="s">
        <v>1302</v>
      </c>
      <c r="V532" s="25">
        <v>16.0</v>
      </c>
      <c r="W532" s="26" t="s">
        <v>4054</v>
      </c>
      <c r="X532" s="25" t="s">
        <v>3978</v>
      </c>
      <c r="Y532" s="31">
        <v>5.0</v>
      </c>
      <c r="Z532" s="31">
        <v>7.0</v>
      </c>
      <c r="AA532" s="31">
        <v>50.0</v>
      </c>
      <c r="AB532" s="31">
        <v>160.0</v>
      </c>
      <c r="AC532" s="32">
        <v>1.0</v>
      </c>
      <c r="AD532" s="26"/>
      <c r="AE532" s="26"/>
      <c r="AF532" s="32">
        <v>47.0</v>
      </c>
      <c r="AG532" s="33">
        <v>1.500701297593E12</v>
      </c>
      <c r="AH532" s="33" t="s">
        <v>1083</v>
      </c>
      <c r="AI532" s="34" t="s">
        <v>5625</v>
      </c>
    </row>
    <row r="533" ht="38.25" hidden="1" customHeight="1">
      <c r="A533" s="32">
        <v>527.0</v>
      </c>
      <c r="B533" s="26" t="s">
        <v>1037</v>
      </c>
      <c r="C533" s="26" t="s">
        <v>1335</v>
      </c>
      <c r="D533" s="26" t="s">
        <v>5626</v>
      </c>
      <c r="E533" s="26" t="s">
        <v>5624</v>
      </c>
      <c r="F533" s="26" t="s">
        <v>5624</v>
      </c>
      <c r="G533" s="27" t="s">
        <v>1110</v>
      </c>
      <c r="H533" s="27" t="s">
        <v>1110</v>
      </c>
      <c r="I533" s="28" t="s">
        <v>5627</v>
      </c>
      <c r="J533" s="29" t="s">
        <v>3949</v>
      </c>
      <c r="K533" s="27" t="s">
        <v>4214</v>
      </c>
      <c r="L533" s="25">
        <v>2.0</v>
      </c>
      <c r="M533" s="27" t="s">
        <v>1137</v>
      </c>
      <c r="N533" s="30" t="s">
        <v>1174</v>
      </c>
      <c r="O533" s="26" t="str">
        <f t="shared" si="105"/>
        <v>กลุ่มงานเทคนิคการแพทย์และพยาธิวิทยาคลินิก</v>
      </c>
      <c r="P533" s="26" t="s">
        <v>4328</v>
      </c>
      <c r="Q533" s="26" t="str">
        <f t="shared" si="103"/>
        <v>กลุ่มงานเทคนิคการแพทย์และพยาธิวิทยาคลินิก</v>
      </c>
      <c r="R533" s="26" t="str">
        <f t="shared" si="104"/>
        <v>ภารกิจด้านบริการทุติยภูมิและตติยภูมิ</v>
      </c>
      <c r="S533" s="26" t="str">
        <f t="shared" si="106"/>
        <v>กลุ่มงานเทคนิคการแพทย์และพยาธิวิทยาคลินิก</v>
      </c>
      <c r="T533" s="26" t="s">
        <v>4329</v>
      </c>
      <c r="U533" s="26" t="s">
        <v>1302</v>
      </c>
      <c r="V533" s="25">
        <v>16.0</v>
      </c>
      <c r="W533" s="26" t="s">
        <v>4054</v>
      </c>
      <c r="X533" s="25" t="s">
        <v>3978</v>
      </c>
      <c r="Y533" s="31">
        <v>5.0</v>
      </c>
      <c r="Z533" s="31">
        <v>7.0</v>
      </c>
      <c r="AA533" s="31">
        <v>50.0</v>
      </c>
      <c r="AB533" s="31">
        <v>160.0</v>
      </c>
      <c r="AC533" s="32">
        <v>1.0</v>
      </c>
      <c r="AD533" s="26"/>
      <c r="AE533" s="26"/>
      <c r="AF533" s="32">
        <v>47.0</v>
      </c>
      <c r="AG533" s="37">
        <v>1.500801094821E12</v>
      </c>
      <c r="AH533" s="37" t="s">
        <v>1337</v>
      </c>
      <c r="AI533" s="44">
        <v>235132.0</v>
      </c>
    </row>
    <row r="534" ht="38.25" hidden="1" customHeight="1">
      <c r="A534" s="32">
        <v>528.0</v>
      </c>
      <c r="B534" s="197"/>
      <c r="C534" s="197"/>
      <c r="D534" s="64">
        <v>1.0</v>
      </c>
      <c r="E534" s="197" t="s">
        <v>5624</v>
      </c>
      <c r="F534" s="197" t="s">
        <v>5624</v>
      </c>
      <c r="G534" s="198" t="s">
        <v>1110</v>
      </c>
      <c r="H534" s="198" t="s">
        <v>1110</v>
      </c>
      <c r="I534" s="199" t="s">
        <v>5628</v>
      </c>
      <c r="J534" s="199" t="s">
        <v>3963</v>
      </c>
      <c r="K534" s="198" t="s">
        <v>4214</v>
      </c>
      <c r="L534" s="200">
        <v>2.0</v>
      </c>
      <c r="M534" s="198" t="s">
        <v>1137</v>
      </c>
      <c r="N534" s="200" t="s">
        <v>1174</v>
      </c>
      <c r="O534" s="197" t="s">
        <v>4327</v>
      </c>
      <c r="P534" s="197" t="s">
        <v>4328</v>
      </c>
      <c r="Q534" s="197" t="str">
        <f t="shared" si="103"/>
        <v>กลุ่มงานเทคนิคการแพทย์และพยาธิวิทยาคลินิก</v>
      </c>
      <c r="R534" s="197" t="s">
        <v>4054</v>
      </c>
      <c r="S534" s="197" t="str">
        <f t="shared" si="106"/>
        <v>กลุ่มงานเทคนิคการแพทย์และพยาธิวิทยาคลินิก</v>
      </c>
      <c r="T534" s="197" t="s">
        <v>4329</v>
      </c>
      <c r="U534" s="197" t="s">
        <v>1302</v>
      </c>
      <c r="V534" s="200">
        <v>16.0</v>
      </c>
      <c r="W534" s="197" t="s">
        <v>4054</v>
      </c>
      <c r="X534" s="200" t="s">
        <v>3978</v>
      </c>
      <c r="Y534" s="201">
        <v>5.0</v>
      </c>
      <c r="Z534" s="201">
        <v>7.0</v>
      </c>
      <c r="AA534" s="201">
        <v>50.0</v>
      </c>
      <c r="AB534" s="201">
        <v>160.0</v>
      </c>
      <c r="AC534" s="202">
        <v>0.0</v>
      </c>
      <c r="AD534" s="197" t="s">
        <v>4155</v>
      </c>
      <c r="AE534" s="197"/>
      <c r="AF534" s="202">
        <v>47.0</v>
      </c>
      <c r="AG534" s="216"/>
      <c r="AH534" s="216"/>
      <c r="AI534" s="217"/>
    </row>
    <row r="535" ht="38.25" hidden="1" customHeight="1">
      <c r="A535" s="32">
        <v>529.0</v>
      </c>
      <c r="B535" s="26"/>
      <c r="C535" s="26"/>
      <c r="D535" s="26"/>
      <c r="E535" s="26" t="s">
        <v>5629</v>
      </c>
      <c r="F535" s="26" t="s">
        <v>5629</v>
      </c>
      <c r="G535" s="27" t="s">
        <v>1110</v>
      </c>
      <c r="H535" s="27" t="s">
        <v>1110</v>
      </c>
      <c r="I535" s="29">
        <v>4396.0</v>
      </c>
      <c r="J535" s="29" t="s">
        <v>1535</v>
      </c>
      <c r="K535" s="27" t="s">
        <v>4214</v>
      </c>
      <c r="L535" s="25">
        <v>2.0</v>
      </c>
      <c r="M535" s="27" t="s">
        <v>1137</v>
      </c>
      <c r="N535" s="30" t="s">
        <v>1174</v>
      </c>
      <c r="O535" s="26" t="s">
        <v>4161</v>
      </c>
      <c r="P535" s="26" t="s">
        <v>4160</v>
      </c>
      <c r="Q535" s="26" t="s">
        <v>4161</v>
      </c>
      <c r="R535" s="26" t="s">
        <v>4054</v>
      </c>
      <c r="S535" s="26" t="str">
        <f t="shared" si="106"/>
        <v>กลุ่มงานเภสัชกรรม</v>
      </c>
      <c r="T535" s="26" t="s">
        <v>4161</v>
      </c>
      <c r="U535" s="26" t="s">
        <v>1302</v>
      </c>
      <c r="V535" s="25">
        <v>19.0</v>
      </c>
      <c r="W535" s="26" t="s">
        <v>4054</v>
      </c>
      <c r="X535" s="25" t="s">
        <v>3978</v>
      </c>
      <c r="Y535" s="31">
        <v>8.0</v>
      </c>
      <c r="Z535" s="31">
        <v>8.0</v>
      </c>
      <c r="AA535" s="31">
        <v>50.0</v>
      </c>
      <c r="AB535" s="31">
        <v>160.0</v>
      </c>
      <c r="AC535" s="32">
        <v>0.0</v>
      </c>
      <c r="AD535" s="26" t="s">
        <v>4155</v>
      </c>
      <c r="AE535" s="26"/>
      <c r="AF535" s="32">
        <v>47.0</v>
      </c>
      <c r="AG535" s="65"/>
      <c r="AH535" s="65"/>
      <c r="AI535" s="66"/>
    </row>
    <row r="536" ht="38.25" hidden="1" customHeight="1">
      <c r="A536" s="32">
        <v>530.0</v>
      </c>
      <c r="B536" s="64" t="s">
        <v>2692</v>
      </c>
      <c r="C536" s="64" t="s">
        <v>5630</v>
      </c>
      <c r="D536" s="64" t="s">
        <v>5631</v>
      </c>
      <c r="E536" s="26" t="s">
        <v>5629</v>
      </c>
      <c r="F536" s="26" t="s">
        <v>5629</v>
      </c>
      <c r="G536" s="27" t="s">
        <v>1110</v>
      </c>
      <c r="H536" s="27" t="s">
        <v>1110</v>
      </c>
      <c r="I536" s="29">
        <v>4394.0</v>
      </c>
      <c r="J536" s="29" t="s">
        <v>1535</v>
      </c>
      <c r="K536" s="27" t="s">
        <v>4214</v>
      </c>
      <c r="L536" s="25">
        <v>2.0</v>
      </c>
      <c r="M536" s="27" t="s">
        <v>1137</v>
      </c>
      <c r="N536" s="30" t="s">
        <v>1174</v>
      </c>
      <c r="O536" s="26" t="str">
        <f t="shared" ref="O536:O546" si="107">+T536</f>
        <v>กลุ่มงานเภสัชกรรม</v>
      </c>
      <c r="P536" s="26" t="s">
        <v>4160</v>
      </c>
      <c r="Q536" s="26" t="str">
        <f t="shared" ref="Q536:Q546" si="108">+T536</f>
        <v>กลุ่มงานเภสัชกรรม</v>
      </c>
      <c r="R536" s="26" t="str">
        <f t="shared" ref="R536:R546" si="109">+W536</f>
        <v>ภารกิจด้านบริการทุติยภูมิและตติยภูมิ</v>
      </c>
      <c r="S536" s="26" t="str">
        <f t="shared" si="106"/>
        <v>กลุ่มงานเภสัชกรรม</v>
      </c>
      <c r="T536" s="26" t="s">
        <v>4161</v>
      </c>
      <c r="U536" s="26" t="s">
        <v>1302</v>
      </c>
      <c r="V536" s="25">
        <v>19.0</v>
      </c>
      <c r="W536" s="26" t="s">
        <v>4054</v>
      </c>
      <c r="X536" s="25" t="s">
        <v>3978</v>
      </c>
      <c r="Y536" s="31">
        <v>8.0</v>
      </c>
      <c r="Z536" s="31">
        <v>8.0</v>
      </c>
      <c r="AA536" s="31">
        <v>50.0</v>
      </c>
      <c r="AB536" s="31">
        <v>160.0</v>
      </c>
      <c r="AC536" s="32">
        <v>1.0</v>
      </c>
      <c r="AD536" s="26"/>
      <c r="AE536" s="26"/>
      <c r="AF536" s="32">
        <v>47.0</v>
      </c>
      <c r="AG536" s="33">
        <v>1.749800105427E12</v>
      </c>
      <c r="AH536" s="33" t="s">
        <v>2518</v>
      </c>
      <c r="AI536" s="34" t="s">
        <v>5632</v>
      </c>
    </row>
    <row r="537" ht="38.25" hidden="1" customHeight="1">
      <c r="A537" s="32">
        <v>531.0</v>
      </c>
      <c r="B537" s="64" t="s">
        <v>2692</v>
      </c>
      <c r="C537" s="64" t="s">
        <v>5633</v>
      </c>
      <c r="D537" s="64" t="s">
        <v>5634</v>
      </c>
      <c r="E537" s="26" t="s">
        <v>5629</v>
      </c>
      <c r="F537" s="26" t="s">
        <v>5629</v>
      </c>
      <c r="G537" s="27" t="s">
        <v>1110</v>
      </c>
      <c r="H537" s="27" t="s">
        <v>1110</v>
      </c>
      <c r="I537" s="29">
        <v>4395.0</v>
      </c>
      <c r="J537" s="29" t="s">
        <v>1535</v>
      </c>
      <c r="K537" s="27" t="s">
        <v>4214</v>
      </c>
      <c r="L537" s="25">
        <v>2.0</v>
      </c>
      <c r="M537" s="27" t="s">
        <v>1137</v>
      </c>
      <c r="N537" s="30" t="s">
        <v>1174</v>
      </c>
      <c r="O537" s="26" t="str">
        <f t="shared" si="107"/>
        <v>กลุ่มงานเภสัชกรรม</v>
      </c>
      <c r="P537" s="26" t="s">
        <v>4160</v>
      </c>
      <c r="Q537" s="26" t="str">
        <f t="shared" si="108"/>
        <v>กลุ่มงานเภสัชกรรม</v>
      </c>
      <c r="R537" s="26" t="str">
        <f t="shared" si="109"/>
        <v>ภารกิจด้านบริการทุติยภูมิและตติยภูมิ</v>
      </c>
      <c r="S537" s="26" t="str">
        <f t="shared" si="106"/>
        <v>กลุ่มงานเภสัชกรรม</v>
      </c>
      <c r="T537" s="26" t="s">
        <v>4161</v>
      </c>
      <c r="U537" s="26" t="s">
        <v>1302</v>
      </c>
      <c r="V537" s="25">
        <v>19.0</v>
      </c>
      <c r="W537" s="26" t="s">
        <v>4054</v>
      </c>
      <c r="X537" s="25" t="s">
        <v>3978</v>
      </c>
      <c r="Y537" s="31">
        <v>8.0</v>
      </c>
      <c r="Z537" s="31">
        <v>8.0</v>
      </c>
      <c r="AA537" s="31">
        <v>50.0</v>
      </c>
      <c r="AB537" s="31">
        <v>160.0</v>
      </c>
      <c r="AC537" s="32">
        <v>1.0</v>
      </c>
      <c r="AD537" s="26"/>
      <c r="AE537" s="26"/>
      <c r="AF537" s="32">
        <v>47.0</v>
      </c>
      <c r="AG537" s="33">
        <v>3.500600136591E12</v>
      </c>
      <c r="AH537" s="33" t="s">
        <v>2107</v>
      </c>
      <c r="AI537" s="40">
        <v>227974.0</v>
      </c>
    </row>
    <row r="538" ht="38.25" hidden="1" customHeight="1">
      <c r="A538" s="32">
        <v>532.0</v>
      </c>
      <c r="B538" s="64" t="s">
        <v>1037</v>
      </c>
      <c r="C538" s="64" t="s">
        <v>5635</v>
      </c>
      <c r="D538" s="64" t="s">
        <v>5636</v>
      </c>
      <c r="E538" s="26" t="s">
        <v>5629</v>
      </c>
      <c r="F538" s="26" t="s">
        <v>5629</v>
      </c>
      <c r="G538" s="27" t="s">
        <v>1110</v>
      </c>
      <c r="H538" s="27" t="s">
        <v>1110</v>
      </c>
      <c r="I538" s="28" t="s">
        <v>5637</v>
      </c>
      <c r="J538" s="29" t="s">
        <v>3949</v>
      </c>
      <c r="K538" s="27" t="s">
        <v>4214</v>
      </c>
      <c r="L538" s="25">
        <v>2.0</v>
      </c>
      <c r="M538" s="27" t="s">
        <v>1137</v>
      </c>
      <c r="N538" s="30" t="s">
        <v>1174</v>
      </c>
      <c r="O538" s="26" t="str">
        <f t="shared" si="107"/>
        <v>กลุ่มงานเภสัชกรรม</v>
      </c>
      <c r="P538" s="26" t="s">
        <v>4160</v>
      </c>
      <c r="Q538" s="26" t="str">
        <f t="shared" si="108"/>
        <v>กลุ่มงานเภสัชกรรม</v>
      </c>
      <c r="R538" s="26" t="str">
        <f t="shared" si="109"/>
        <v>ภารกิจด้านบริการทุติยภูมิและตติยภูมิ</v>
      </c>
      <c r="S538" s="26" t="str">
        <f t="shared" si="106"/>
        <v>กลุ่มงานเภสัชกรรม</v>
      </c>
      <c r="T538" s="26" t="s">
        <v>4161</v>
      </c>
      <c r="U538" s="26" t="s">
        <v>1302</v>
      </c>
      <c r="V538" s="25">
        <v>19.0</v>
      </c>
      <c r="W538" s="26" t="s">
        <v>4054</v>
      </c>
      <c r="X538" s="25" t="s">
        <v>3978</v>
      </c>
      <c r="Y538" s="31">
        <v>8.0</v>
      </c>
      <c r="Z538" s="31">
        <v>8.0</v>
      </c>
      <c r="AA538" s="31">
        <v>50.0</v>
      </c>
      <c r="AB538" s="31">
        <v>160.0</v>
      </c>
      <c r="AC538" s="32">
        <v>1.0</v>
      </c>
      <c r="AD538" s="26"/>
      <c r="AE538" s="26"/>
      <c r="AF538" s="32">
        <v>47.0</v>
      </c>
      <c r="AG538" s="37">
        <v>1.301600133083E12</v>
      </c>
      <c r="AH538" s="37" t="s">
        <v>1496</v>
      </c>
      <c r="AI538" s="44">
        <v>233673.0</v>
      </c>
    </row>
    <row r="539" ht="38.25" hidden="1" customHeight="1">
      <c r="A539" s="32">
        <v>533.0</v>
      </c>
      <c r="B539" s="64" t="s">
        <v>2692</v>
      </c>
      <c r="C539" s="64" t="s">
        <v>5638</v>
      </c>
      <c r="D539" s="64" t="s">
        <v>5639</v>
      </c>
      <c r="E539" s="26" t="s">
        <v>5629</v>
      </c>
      <c r="F539" s="26" t="s">
        <v>5629</v>
      </c>
      <c r="G539" s="27" t="s">
        <v>1110</v>
      </c>
      <c r="H539" s="27" t="s">
        <v>1110</v>
      </c>
      <c r="I539" s="28" t="s">
        <v>5640</v>
      </c>
      <c r="J539" s="29" t="s">
        <v>3949</v>
      </c>
      <c r="K539" s="27" t="s">
        <v>4214</v>
      </c>
      <c r="L539" s="25">
        <v>2.0</v>
      </c>
      <c r="M539" s="27" t="s">
        <v>1137</v>
      </c>
      <c r="N539" s="30" t="s">
        <v>1174</v>
      </c>
      <c r="O539" s="26" t="str">
        <f t="shared" si="107"/>
        <v>กลุ่มงานเภสัชกรรม</v>
      </c>
      <c r="P539" s="26" t="s">
        <v>4160</v>
      </c>
      <c r="Q539" s="26" t="str">
        <f t="shared" si="108"/>
        <v>กลุ่มงานเภสัชกรรม</v>
      </c>
      <c r="R539" s="26" t="str">
        <f t="shared" si="109"/>
        <v>ภารกิจด้านบริการทุติยภูมิและตติยภูมิ</v>
      </c>
      <c r="S539" s="26" t="str">
        <f t="shared" si="106"/>
        <v>กลุ่มงานเภสัชกรรม</v>
      </c>
      <c r="T539" s="26" t="s">
        <v>4161</v>
      </c>
      <c r="U539" s="26" t="s">
        <v>1302</v>
      </c>
      <c r="V539" s="25">
        <v>19.0</v>
      </c>
      <c r="W539" s="26" t="s">
        <v>4054</v>
      </c>
      <c r="X539" s="25" t="s">
        <v>3978</v>
      </c>
      <c r="Y539" s="31">
        <v>8.0</v>
      </c>
      <c r="Z539" s="31">
        <v>8.0</v>
      </c>
      <c r="AA539" s="31">
        <v>50.0</v>
      </c>
      <c r="AB539" s="31">
        <v>160.0</v>
      </c>
      <c r="AC539" s="32">
        <v>1.0</v>
      </c>
      <c r="AD539" s="26"/>
      <c r="AE539" s="26"/>
      <c r="AF539" s="32">
        <v>47.0</v>
      </c>
      <c r="AG539" s="33">
        <v>1.509963054076E12</v>
      </c>
      <c r="AH539" s="33" t="s">
        <v>861</v>
      </c>
      <c r="AI539" s="34" t="s">
        <v>5641</v>
      </c>
    </row>
    <row r="540" ht="38.25" hidden="1" customHeight="1">
      <c r="A540" s="32">
        <v>534.0</v>
      </c>
      <c r="B540" s="64" t="s">
        <v>2692</v>
      </c>
      <c r="C540" s="64" t="s">
        <v>5642</v>
      </c>
      <c r="D540" s="64" t="s">
        <v>5643</v>
      </c>
      <c r="E540" s="26" t="s">
        <v>5629</v>
      </c>
      <c r="F540" s="26" t="s">
        <v>5629</v>
      </c>
      <c r="G540" s="27" t="s">
        <v>1110</v>
      </c>
      <c r="H540" s="27" t="s">
        <v>1110</v>
      </c>
      <c r="I540" s="28" t="s">
        <v>5644</v>
      </c>
      <c r="J540" s="29" t="s">
        <v>3949</v>
      </c>
      <c r="K540" s="27" t="s">
        <v>4214</v>
      </c>
      <c r="L540" s="25">
        <v>2.0</v>
      </c>
      <c r="M540" s="27" t="s">
        <v>1137</v>
      </c>
      <c r="N540" s="30" t="s">
        <v>1174</v>
      </c>
      <c r="O540" s="26" t="str">
        <f t="shared" si="107"/>
        <v>กลุ่มงานเภสัชกรรม</v>
      </c>
      <c r="P540" s="26" t="s">
        <v>4160</v>
      </c>
      <c r="Q540" s="26" t="str">
        <f t="shared" si="108"/>
        <v>กลุ่มงานเภสัชกรรม</v>
      </c>
      <c r="R540" s="26" t="str">
        <f t="shared" si="109"/>
        <v>ภารกิจด้านบริการทุติยภูมิและตติยภูมิ</v>
      </c>
      <c r="S540" s="26" t="str">
        <f t="shared" si="106"/>
        <v>กลุ่มงานเภสัชกรรม</v>
      </c>
      <c r="T540" s="26" t="s">
        <v>4161</v>
      </c>
      <c r="U540" s="26" t="s">
        <v>1302</v>
      </c>
      <c r="V540" s="25">
        <v>19.0</v>
      </c>
      <c r="W540" s="26" t="s">
        <v>4054</v>
      </c>
      <c r="X540" s="25" t="s">
        <v>3978</v>
      </c>
      <c r="Y540" s="31">
        <v>8.0</v>
      </c>
      <c r="Z540" s="31">
        <v>8.0</v>
      </c>
      <c r="AA540" s="31">
        <v>50.0</v>
      </c>
      <c r="AB540" s="31">
        <v>160.0</v>
      </c>
      <c r="AC540" s="32">
        <v>1.0</v>
      </c>
      <c r="AD540" s="26"/>
      <c r="AE540" s="26"/>
      <c r="AF540" s="32">
        <v>47.0</v>
      </c>
      <c r="AG540" s="37">
        <v>1.500700160438E12</v>
      </c>
      <c r="AH540" s="37" t="s">
        <v>1825</v>
      </c>
      <c r="AI540" s="38" t="s">
        <v>5645</v>
      </c>
    </row>
    <row r="541" ht="38.25" hidden="1" customHeight="1">
      <c r="A541" s="32">
        <v>535.0</v>
      </c>
      <c r="B541" s="64" t="s">
        <v>2692</v>
      </c>
      <c r="C541" s="64" t="s">
        <v>5646</v>
      </c>
      <c r="D541" s="64" t="s">
        <v>5647</v>
      </c>
      <c r="E541" s="26" t="s">
        <v>5629</v>
      </c>
      <c r="F541" s="26" t="s">
        <v>5629</v>
      </c>
      <c r="G541" s="27" t="s">
        <v>1110</v>
      </c>
      <c r="H541" s="27" t="s">
        <v>1110</v>
      </c>
      <c r="I541" s="28" t="s">
        <v>5648</v>
      </c>
      <c r="J541" s="29" t="s">
        <v>3949</v>
      </c>
      <c r="K541" s="27" t="s">
        <v>4214</v>
      </c>
      <c r="L541" s="25">
        <v>2.0</v>
      </c>
      <c r="M541" s="27" t="s">
        <v>1137</v>
      </c>
      <c r="N541" s="30" t="s">
        <v>1174</v>
      </c>
      <c r="O541" s="26" t="str">
        <f t="shared" si="107"/>
        <v>กลุ่มงานเภสัชกรรม</v>
      </c>
      <c r="P541" s="26" t="s">
        <v>4160</v>
      </c>
      <c r="Q541" s="26" t="str">
        <f t="shared" si="108"/>
        <v>กลุ่มงานเภสัชกรรม</v>
      </c>
      <c r="R541" s="26" t="str">
        <f t="shared" si="109"/>
        <v>ภารกิจด้านบริการทุติยภูมิและตติยภูมิ</v>
      </c>
      <c r="S541" s="26" t="str">
        <f t="shared" si="106"/>
        <v>กลุ่มงานเภสัชกรรม</v>
      </c>
      <c r="T541" s="26" t="s">
        <v>4161</v>
      </c>
      <c r="U541" s="26" t="s">
        <v>1302</v>
      </c>
      <c r="V541" s="25">
        <v>19.0</v>
      </c>
      <c r="W541" s="26" t="s">
        <v>4054</v>
      </c>
      <c r="X541" s="25" t="s">
        <v>3978</v>
      </c>
      <c r="Y541" s="31">
        <v>8.0</v>
      </c>
      <c r="Z541" s="31">
        <v>8.0</v>
      </c>
      <c r="AA541" s="31">
        <v>50.0</v>
      </c>
      <c r="AB541" s="31">
        <v>160.0</v>
      </c>
      <c r="AC541" s="32">
        <v>1.0</v>
      </c>
      <c r="AD541" s="26"/>
      <c r="AE541" s="26"/>
      <c r="AF541" s="32">
        <v>47.0</v>
      </c>
      <c r="AG541" s="37">
        <v>1.219800233446E12</v>
      </c>
      <c r="AH541" s="37" t="s">
        <v>1133</v>
      </c>
      <c r="AI541" s="62"/>
    </row>
    <row r="542" ht="38.25" hidden="1" customHeight="1">
      <c r="A542" s="32">
        <v>536.0</v>
      </c>
      <c r="B542" s="64" t="s">
        <v>1037</v>
      </c>
      <c r="C542" s="64" t="s">
        <v>5415</v>
      </c>
      <c r="D542" s="64" t="s">
        <v>5649</v>
      </c>
      <c r="E542" s="26" t="s">
        <v>5629</v>
      </c>
      <c r="F542" s="26" t="s">
        <v>5629</v>
      </c>
      <c r="G542" s="27" t="s">
        <v>1110</v>
      </c>
      <c r="H542" s="27" t="s">
        <v>1110</v>
      </c>
      <c r="I542" s="28" t="s">
        <v>5650</v>
      </c>
      <c r="J542" s="29" t="s">
        <v>3949</v>
      </c>
      <c r="K542" s="27" t="s">
        <v>4214</v>
      </c>
      <c r="L542" s="25">
        <v>2.0</v>
      </c>
      <c r="M542" s="27" t="s">
        <v>1137</v>
      </c>
      <c r="N542" s="30" t="s">
        <v>1174</v>
      </c>
      <c r="O542" s="26" t="str">
        <f t="shared" si="107"/>
        <v>กลุ่มงานเภสัชกรรม</v>
      </c>
      <c r="P542" s="26" t="s">
        <v>4160</v>
      </c>
      <c r="Q542" s="26" t="str">
        <f t="shared" si="108"/>
        <v>กลุ่มงานเภสัชกรรม</v>
      </c>
      <c r="R542" s="26" t="str">
        <f t="shared" si="109"/>
        <v>ภารกิจด้านบริการทุติยภูมิและตติยภูมิ</v>
      </c>
      <c r="S542" s="26" t="str">
        <f t="shared" si="106"/>
        <v>กลุ่มงานเภสัชกรรม</v>
      </c>
      <c r="T542" s="26" t="s">
        <v>4161</v>
      </c>
      <c r="U542" s="26" t="s">
        <v>1302</v>
      </c>
      <c r="V542" s="25">
        <v>19.0</v>
      </c>
      <c r="W542" s="26" t="s">
        <v>4054</v>
      </c>
      <c r="X542" s="25" t="s">
        <v>3978</v>
      </c>
      <c r="Y542" s="31">
        <v>8.0</v>
      </c>
      <c r="Z542" s="31">
        <v>8.0</v>
      </c>
      <c r="AA542" s="31">
        <v>50.0</v>
      </c>
      <c r="AB542" s="31">
        <v>160.0</v>
      </c>
      <c r="AC542" s="32">
        <v>1.0</v>
      </c>
      <c r="AD542" s="26"/>
      <c r="AE542" s="26"/>
      <c r="AF542" s="32">
        <v>47.0</v>
      </c>
      <c r="AG542" s="37">
        <v>1.5006011282E12</v>
      </c>
      <c r="AH542" s="37" t="s">
        <v>535</v>
      </c>
      <c r="AI542" s="38" t="s">
        <v>5651</v>
      </c>
    </row>
    <row r="543" ht="38.25" hidden="1" customHeight="1">
      <c r="A543" s="32">
        <v>537.0</v>
      </c>
      <c r="B543" s="64" t="s">
        <v>2692</v>
      </c>
      <c r="C543" s="64" t="s">
        <v>1504</v>
      </c>
      <c r="D543" s="64" t="s">
        <v>5652</v>
      </c>
      <c r="E543" s="26" t="s">
        <v>5629</v>
      </c>
      <c r="F543" s="26" t="s">
        <v>5629</v>
      </c>
      <c r="G543" s="27" t="s">
        <v>1110</v>
      </c>
      <c r="H543" s="27" t="s">
        <v>1110</v>
      </c>
      <c r="I543" s="28" t="s">
        <v>5653</v>
      </c>
      <c r="J543" s="29" t="s">
        <v>3949</v>
      </c>
      <c r="K543" s="27" t="s">
        <v>4214</v>
      </c>
      <c r="L543" s="25">
        <v>2.0</v>
      </c>
      <c r="M543" s="27" t="s">
        <v>1137</v>
      </c>
      <c r="N543" s="30" t="s">
        <v>1174</v>
      </c>
      <c r="O543" s="26" t="str">
        <f t="shared" si="107"/>
        <v>กลุ่มงานเภสัชกรรม</v>
      </c>
      <c r="P543" s="26" t="s">
        <v>4160</v>
      </c>
      <c r="Q543" s="26" t="str">
        <f t="shared" si="108"/>
        <v>กลุ่มงานเภสัชกรรม</v>
      </c>
      <c r="R543" s="26" t="str">
        <f t="shared" si="109"/>
        <v>ภารกิจด้านบริการทุติยภูมิและตติยภูมิ</v>
      </c>
      <c r="S543" s="26" t="str">
        <f t="shared" si="106"/>
        <v>กลุ่มงานเภสัชกรรม</v>
      </c>
      <c r="T543" s="26" t="s">
        <v>4161</v>
      </c>
      <c r="U543" s="26" t="s">
        <v>1302</v>
      </c>
      <c r="V543" s="25">
        <v>19.0</v>
      </c>
      <c r="W543" s="26" t="s">
        <v>4054</v>
      </c>
      <c r="X543" s="25" t="s">
        <v>3978</v>
      </c>
      <c r="Y543" s="31">
        <v>8.0</v>
      </c>
      <c r="Z543" s="31">
        <v>8.0</v>
      </c>
      <c r="AA543" s="31">
        <v>50.0</v>
      </c>
      <c r="AB543" s="31">
        <v>160.0</v>
      </c>
      <c r="AC543" s="32">
        <v>1.0</v>
      </c>
      <c r="AD543" s="26"/>
      <c r="AE543" s="26"/>
      <c r="AF543" s="32">
        <v>47.0</v>
      </c>
      <c r="AG543" s="33">
        <v>1.509901724931E12</v>
      </c>
      <c r="AH543" s="33" t="s">
        <v>1506</v>
      </c>
      <c r="AI543" s="34" t="s">
        <v>5654</v>
      </c>
    </row>
    <row r="544" ht="38.25" hidden="1" customHeight="1">
      <c r="A544" s="32">
        <v>538.0</v>
      </c>
      <c r="B544" s="64" t="s">
        <v>2692</v>
      </c>
      <c r="C544" s="64" t="s">
        <v>5655</v>
      </c>
      <c r="D544" s="64" t="s">
        <v>5656</v>
      </c>
      <c r="E544" s="26" t="s">
        <v>5629</v>
      </c>
      <c r="F544" s="26" t="s">
        <v>5629</v>
      </c>
      <c r="G544" s="27" t="s">
        <v>1110</v>
      </c>
      <c r="H544" s="27" t="s">
        <v>1110</v>
      </c>
      <c r="I544" s="28" t="s">
        <v>5657</v>
      </c>
      <c r="J544" s="29" t="s">
        <v>3949</v>
      </c>
      <c r="K544" s="27" t="s">
        <v>4214</v>
      </c>
      <c r="L544" s="25">
        <v>2.0</v>
      </c>
      <c r="M544" s="27" t="s">
        <v>1137</v>
      </c>
      <c r="N544" s="30" t="s">
        <v>1174</v>
      </c>
      <c r="O544" s="26" t="str">
        <f t="shared" si="107"/>
        <v>กลุ่มงานเภสัชกรรม</v>
      </c>
      <c r="P544" s="26" t="s">
        <v>4160</v>
      </c>
      <c r="Q544" s="26" t="str">
        <f t="shared" si="108"/>
        <v>กลุ่มงานเภสัชกรรม</v>
      </c>
      <c r="R544" s="26" t="str">
        <f t="shared" si="109"/>
        <v>ภารกิจด้านบริการทุติยภูมิและตติยภูมิ</v>
      </c>
      <c r="S544" s="26" t="str">
        <f t="shared" si="106"/>
        <v>กลุ่มงานเภสัชกรรม</v>
      </c>
      <c r="T544" s="26" t="s">
        <v>4161</v>
      </c>
      <c r="U544" s="26" t="s">
        <v>1302</v>
      </c>
      <c r="V544" s="25">
        <v>19.0</v>
      </c>
      <c r="W544" s="26" t="s">
        <v>4054</v>
      </c>
      <c r="X544" s="25" t="s">
        <v>3978</v>
      </c>
      <c r="Y544" s="31">
        <v>8.0</v>
      </c>
      <c r="Z544" s="31">
        <v>8.0</v>
      </c>
      <c r="AA544" s="31">
        <v>50.0</v>
      </c>
      <c r="AB544" s="31">
        <v>160.0</v>
      </c>
      <c r="AC544" s="32">
        <v>1.0</v>
      </c>
      <c r="AD544" s="26"/>
      <c r="AE544" s="26"/>
      <c r="AF544" s="32">
        <v>47.0</v>
      </c>
      <c r="AG544" s="33">
        <v>1.500201268284E12</v>
      </c>
      <c r="AH544" s="33" t="s">
        <v>1002</v>
      </c>
      <c r="AI544" s="40">
        <v>236687.0</v>
      </c>
    </row>
    <row r="545" ht="38.25" hidden="1" customHeight="1">
      <c r="A545" s="32">
        <v>539.0</v>
      </c>
      <c r="B545" s="64" t="s">
        <v>1037</v>
      </c>
      <c r="C545" s="64" t="s">
        <v>5658</v>
      </c>
      <c r="D545" s="64" t="s">
        <v>5659</v>
      </c>
      <c r="E545" s="26" t="s">
        <v>5629</v>
      </c>
      <c r="F545" s="26" t="s">
        <v>5629</v>
      </c>
      <c r="G545" s="27" t="s">
        <v>1110</v>
      </c>
      <c r="H545" s="27" t="s">
        <v>1110</v>
      </c>
      <c r="I545" s="29" t="s">
        <v>5660</v>
      </c>
      <c r="J545" s="29" t="s">
        <v>3963</v>
      </c>
      <c r="K545" s="27" t="s">
        <v>4214</v>
      </c>
      <c r="L545" s="25">
        <v>2.0</v>
      </c>
      <c r="M545" s="27" t="s">
        <v>1137</v>
      </c>
      <c r="N545" s="30" t="s">
        <v>1174</v>
      </c>
      <c r="O545" s="26" t="str">
        <f t="shared" si="107"/>
        <v>กลุ่มงานเภสัชกรรม</v>
      </c>
      <c r="P545" s="26" t="s">
        <v>4160</v>
      </c>
      <c r="Q545" s="26" t="str">
        <f t="shared" si="108"/>
        <v>กลุ่มงานเภสัชกรรม</v>
      </c>
      <c r="R545" s="26" t="str">
        <f t="shared" si="109"/>
        <v>ภารกิจด้านบริการทุติยภูมิและตติยภูมิ</v>
      </c>
      <c r="S545" s="26" t="str">
        <f t="shared" si="106"/>
        <v>กลุ่มงานเภสัชกรรม</v>
      </c>
      <c r="T545" s="26" t="s">
        <v>4161</v>
      </c>
      <c r="U545" s="26" t="s">
        <v>1302</v>
      </c>
      <c r="V545" s="25">
        <v>19.0</v>
      </c>
      <c r="W545" s="26" t="s">
        <v>4054</v>
      </c>
      <c r="X545" s="25" t="s">
        <v>3978</v>
      </c>
      <c r="Y545" s="31">
        <v>8.0</v>
      </c>
      <c r="Z545" s="31">
        <v>8.0</v>
      </c>
      <c r="AA545" s="31">
        <v>50.0</v>
      </c>
      <c r="AB545" s="31">
        <v>160.0</v>
      </c>
      <c r="AC545" s="32">
        <v>1.0</v>
      </c>
      <c r="AD545" s="26"/>
      <c r="AE545" s="26"/>
      <c r="AF545" s="32">
        <v>47.0</v>
      </c>
      <c r="AG545" s="33">
        <v>1.809902242422E12</v>
      </c>
      <c r="AH545" s="33" t="s">
        <v>266</v>
      </c>
      <c r="AI545" s="47"/>
    </row>
    <row r="546" ht="38.25" hidden="1" customHeight="1">
      <c r="A546" s="32">
        <v>540.0</v>
      </c>
      <c r="B546" s="64" t="s">
        <v>1037</v>
      </c>
      <c r="C546" s="64" t="s">
        <v>5661</v>
      </c>
      <c r="D546" s="64" t="s">
        <v>5662</v>
      </c>
      <c r="E546" s="26" t="s">
        <v>5629</v>
      </c>
      <c r="F546" s="26" t="s">
        <v>5629</v>
      </c>
      <c r="G546" s="27" t="s">
        <v>1110</v>
      </c>
      <c r="H546" s="27" t="s">
        <v>1110</v>
      </c>
      <c r="I546" s="29" t="s">
        <v>5663</v>
      </c>
      <c r="J546" s="29" t="s">
        <v>3963</v>
      </c>
      <c r="K546" s="27" t="s">
        <v>4214</v>
      </c>
      <c r="L546" s="25">
        <v>2.0</v>
      </c>
      <c r="M546" s="27" t="s">
        <v>1137</v>
      </c>
      <c r="N546" s="30" t="s">
        <v>1174</v>
      </c>
      <c r="O546" s="26" t="str">
        <f t="shared" si="107"/>
        <v>กลุ่มงานเภสัชกรรม</v>
      </c>
      <c r="P546" s="26" t="s">
        <v>4160</v>
      </c>
      <c r="Q546" s="26" t="str">
        <f t="shared" si="108"/>
        <v>กลุ่มงานเภสัชกรรม</v>
      </c>
      <c r="R546" s="26" t="str">
        <f t="shared" si="109"/>
        <v>ภารกิจด้านบริการทุติยภูมิและตติยภูมิ</v>
      </c>
      <c r="S546" s="26" t="str">
        <f t="shared" si="106"/>
        <v>กลุ่มงานเภสัชกรรม</v>
      </c>
      <c r="T546" s="26" t="s">
        <v>4161</v>
      </c>
      <c r="U546" s="26" t="s">
        <v>1302</v>
      </c>
      <c r="V546" s="25">
        <v>19.0</v>
      </c>
      <c r="W546" s="26" t="s">
        <v>4054</v>
      </c>
      <c r="X546" s="25" t="s">
        <v>3978</v>
      </c>
      <c r="Y546" s="31">
        <v>8.0</v>
      </c>
      <c r="Z546" s="31">
        <v>8.0</v>
      </c>
      <c r="AA546" s="31">
        <v>50.0</v>
      </c>
      <c r="AB546" s="31">
        <v>160.0</v>
      </c>
      <c r="AC546" s="32">
        <v>1.0</v>
      </c>
      <c r="AD546" s="26"/>
      <c r="AE546" s="26"/>
      <c r="AF546" s="32">
        <v>47.0</v>
      </c>
      <c r="AG546" s="37">
        <v>1.509966282703E12</v>
      </c>
      <c r="AH546" s="37" t="s">
        <v>425</v>
      </c>
      <c r="AI546" s="44">
        <v>236227.0</v>
      </c>
    </row>
    <row r="547" ht="38.25" hidden="1" customHeight="1">
      <c r="A547" s="32">
        <v>541.0</v>
      </c>
      <c r="B547" s="64" t="s">
        <v>2692</v>
      </c>
      <c r="C547" s="64" t="s">
        <v>5664</v>
      </c>
      <c r="D547" s="64" t="s">
        <v>5665</v>
      </c>
      <c r="E547" s="26" t="s">
        <v>5629</v>
      </c>
      <c r="F547" s="26" t="s">
        <v>5629</v>
      </c>
      <c r="G547" s="27" t="s">
        <v>1110</v>
      </c>
      <c r="H547" s="27" t="s">
        <v>1110</v>
      </c>
      <c r="I547" s="29" t="s">
        <v>5666</v>
      </c>
      <c r="J547" s="29" t="s">
        <v>3963</v>
      </c>
      <c r="K547" s="27" t="s">
        <v>4214</v>
      </c>
      <c r="L547" s="25">
        <v>2.0</v>
      </c>
      <c r="M547" s="27" t="s">
        <v>1137</v>
      </c>
      <c r="N547" s="30" t="s">
        <v>1174</v>
      </c>
      <c r="O547" s="26" t="s">
        <v>4161</v>
      </c>
      <c r="P547" s="26" t="s">
        <v>4160</v>
      </c>
      <c r="Q547" s="26" t="s">
        <v>4161</v>
      </c>
      <c r="R547" s="26" t="s">
        <v>4054</v>
      </c>
      <c r="S547" s="26" t="str">
        <f t="shared" si="106"/>
        <v>กลุ่มงานเภสัชกรรม</v>
      </c>
      <c r="T547" s="26" t="s">
        <v>4161</v>
      </c>
      <c r="U547" s="26" t="s">
        <v>1302</v>
      </c>
      <c r="V547" s="25">
        <v>19.0</v>
      </c>
      <c r="W547" s="26" t="s">
        <v>4054</v>
      </c>
      <c r="X547" s="25" t="s">
        <v>3978</v>
      </c>
      <c r="Y547" s="31">
        <v>8.0</v>
      </c>
      <c r="Z547" s="31">
        <v>8.0</v>
      </c>
      <c r="AA547" s="31">
        <v>50.0</v>
      </c>
      <c r="AB547" s="31">
        <v>160.0</v>
      </c>
      <c r="AC547" s="32">
        <v>0.0</v>
      </c>
      <c r="AD547" s="26" t="s">
        <v>4155</v>
      </c>
      <c r="AE547" s="26"/>
      <c r="AF547" s="32">
        <v>47.0</v>
      </c>
      <c r="AG547" s="67">
        <v>1.102003306592E12</v>
      </c>
      <c r="AH547" s="67" t="s">
        <v>180</v>
      </c>
      <c r="AI547" s="168" t="s">
        <v>5667</v>
      </c>
    </row>
    <row r="548" ht="38.25" hidden="1" customHeight="1">
      <c r="A548" s="32">
        <v>542.0</v>
      </c>
      <c r="B548" s="26"/>
      <c r="C548" s="26"/>
      <c r="D548" s="64">
        <v>1.0</v>
      </c>
      <c r="E548" s="26" t="s">
        <v>5629</v>
      </c>
      <c r="F548" s="26" t="s">
        <v>5629</v>
      </c>
      <c r="G548" s="27" t="s">
        <v>1110</v>
      </c>
      <c r="H548" s="27" t="s">
        <v>1110</v>
      </c>
      <c r="I548" s="29" t="s">
        <v>5668</v>
      </c>
      <c r="J548" s="29" t="s">
        <v>3963</v>
      </c>
      <c r="K548" s="27" t="s">
        <v>4214</v>
      </c>
      <c r="L548" s="25">
        <v>2.0</v>
      </c>
      <c r="M548" s="27" t="s">
        <v>1137</v>
      </c>
      <c r="N548" s="30" t="s">
        <v>1174</v>
      </c>
      <c r="O548" s="26" t="str">
        <f>+T548</f>
        <v>กลุ่มงานเภสัชกรรม</v>
      </c>
      <c r="P548" s="26" t="s">
        <v>4160</v>
      </c>
      <c r="Q548" s="26" t="str">
        <f>+T548</f>
        <v>กลุ่มงานเภสัชกรรม</v>
      </c>
      <c r="R548" s="26" t="str">
        <f>+W548</f>
        <v>ภารกิจด้านบริการทุติยภูมิและตติยภูมิ</v>
      </c>
      <c r="S548" s="26" t="str">
        <f t="shared" si="106"/>
        <v>กลุ่มงานเภสัชกรรม</v>
      </c>
      <c r="T548" s="26" t="s">
        <v>4161</v>
      </c>
      <c r="U548" s="26" t="s">
        <v>1302</v>
      </c>
      <c r="V548" s="25">
        <v>19.0</v>
      </c>
      <c r="W548" s="26" t="s">
        <v>4054</v>
      </c>
      <c r="X548" s="25" t="s">
        <v>3978</v>
      </c>
      <c r="Y548" s="31">
        <v>8.0</v>
      </c>
      <c r="Z548" s="31">
        <v>8.0</v>
      </c>
      <c r="AA548" s="31">
        <v>50.0</v>
      </c>
      <c r="AB548" s="31">
        <v>160.0</v>
      </c>
      <c r="AC548" s="32">
        <v>1.0</v>
      </c>
      <c r="AD548" s="26"/>
      <c r="AE548" s="26"/>
      <c r="AF548" s="32">
        <v>47.0</v>
      </c>
      <c r="AG548" s="33"/>
      <c r="AH548" s="33"/>
      <c r="AI548" s="40"/>
    </row>
    <row r="549" ht="38.25" hidden="1" customHeight="1">
      <c r="A549" s="32">
        <v>543.0</v>
      </c>
      <c r="B549" s="26" t="s">
        <v>806</v>
      </c>
      <c r="C549" s="26" t="s">
        <v>5669</v>
      </c>
      <c r="D549" s="26" t="s">
        <v>5670</v>
      </c>
      <c r="E549" s="26" t="s">
        <v>5671</v>
      </c>
      <c r="F549" s="26" t="s">
        <v>5671</v>
      </c>
      <c r="G549" s="27" t="s">
        <v>1110</v>
      </c>
      <c r="H549" s="27" t="s">
        <v>1110</v>
      </c>
      <c r="I549" s="29">
        <v>4333.0</v>
      </c>
      <c r="J549" s="29" t="s">
        <v>1535</v>
      </c>
      <c r="K549" s="27" t="s">
        <v>4214</v>
      </c>
      <c r="L549" s="25">
        <v>4.0</v>
      </c>
      <c r="M549" s="27" t="s">
        <v>4215</v>
      </c>
      <c r="N549" s="59" t="s">
        <v>3981</v>
      </c>
      <c r="O549" s="26" t="s">
        <v>4544</v>
      </c>
      <c r="P549" s="26" t="s">
        <v>4544</v>
      </c>
      <c r="Q549" s="26" t="s">
        <v>4544</v>
      </c>
      <c r="R549" s="26" t="s">
        <v>4064</v>
      </c>
      <c r="S549" s="26" t="str">
        <f t="shared" si="106"/>
        <v>กลุ่มงานบริหารทั่วไป</v>
      </c>
      <c r="T549" s="26" t="s">
        <v>3992</v>
      </c>
      <c r="U549" s="26" t="s">
        <v>1302</v>
      </c>
      <c r="V549" s="25" t="s">
        <v>46</v>
      </c>
      <c r="W549" s="26" t="s">
        <v>1323</v>
      </c>
      <c r="X549" s="25" t="s">
        <v>3935</v>
      </c>
      <c r="Y549" s="31">
        <v>3.0</v>
      </c>
      <c r="Z549" s="31">
        <v>54.0</v>
      </c>
      <c r="AA549" s="63">
        <v>57.0</v>
      </c>
      <c r="AB549" s="31">
        <v>55.0</v>
      </c>
      <c r="AC549" s="32">
        <v>1.0</v>
      </c>
      <c r="AD549" s="26"/>
      <c r="AE549" s="26"/>
      <c r="AF549" s="32">
        <v>45.0</v>
      </c>
      <c r="AG549" s="33">
        <v>1.50990097948E12</v>
      </c>
      <c r="AH549" s="33" t="s">
        <v>2924</v>
      </c>
      <c r="AI549" s="34" t="s">
        <v>5672</v>
      </c>
    </row>
    <row r="550" ht="38.25" customHeight="1">
      <c r="A550" s="32">
        <v>544.0</v>
      </c>
      <c r="B550" s="26" t="s">
        <v>1037</v>
      </c>
      <c r="C550" s="26" t="s">
        <v>5673</v>
      </c>
      <c r="D550" s="26" t="s">
        <v>5674</v>
      </c>
      <c r="E550" s="26" t="s">
        <v>5671</v>
      </c>
      <c r="F550" s="26" t="s">
        <v>5671</v>
      </c>
      <c r="G550" s="27" t="s">
        <v>1110</v>
      </c>
      <c r="H550" s="27" t="s">
        <v>1110</v>
      </c>
      <c r="I550" s="29" t="s">
        <v>5675</v>
      </c>
      <c r="J550" s="29" t="s">
        <v>3963</v>
      </c>
      <c r="K550" s="27" t="s">
        <v>4214</v>
      </c>
      <c r="L550" s="25">
        <v>4.0</v>
      </c>
      <c r="M550" s="27" t="s">
        <v>4215</v>
      </c>
      <c r="N550" s="59" t="s">
        <v>3981</v>
      </c>
      <c r="O550" s="26"/>
      <c r="P550" s="26" t="s">
        <v>4522</v>
      </c>
      <c r="Q550" s="26" t="s">
        <v>4063</v>
      </c>
      <c r="R550" s="26" t="s">
        <v>4064</v>
      </c>
      <c r="S550" s="26" t="str">
        <f t="shared" si="106"/>
        <v>กลุ่มงานบริหารทั่วไป</v>
      </c>
      <c r="T550" s="26" t="s">
        <v>3992</v>
      </c>
      <c r="U550" s="26" t="s">
        <v>1302</v>
      </c>
      <c r="V550" s="25" t="s">
        <v>46</v>
      </c>
      <c r="W550" s="26" t="s">
        <v>1323</v>
      </c>
      <c r="X550" s="25" t="s">
        <v>3935</v>
      </c>
      <c r="Y550" s="31">
        <v>3.0</v>
      </c>
      <c r="Z550" s="31">
        <v>54.0</v>
      </c>
      <c r="AA550" s="63">
        <v>57.0</v>
      </c>
      <c r="AB550" s="31">
        <v>55.0</v>
      </c>
      <c r="AC550" s="32">
        <v>1.0</v>
      </c>
      <c r="AD550" s="26"/>
      <c r="AE550" s="26"/>
      <c r="AF550" s="32">
        <v>45.0</v>
      </c>
      <c r="AG550" s="37">
        <v>1.509901446396E12</v>
      </c>
      <c r="AH550" s="37" t="s">
        <v>2487</v>
      </c>
      <c r="AI550" s="44">
        <v>232939.0</v>
      </c>
    </row>
    <row r="551" ht="38.25" hidden="1" customHeight="1">
      <c r="A551" s="32">
        <v>545.0</v>
      </c>
      <c r="B551" s="26" t="s">
        <v>806</v>
      </c>
      <c r="C551" s="26" t="s">
        <v>5676</v>
      </c>
      <c r="D551" s="26" t="s">
        <v>5677</v>
      </c>
      <c r="E551" s="26" t="s">
        <v>5671</v>
      </c>
      <c r="F551" s="26" t="s">
        <v>5671</v>
      </c>
      <c r="G551" s="27" t="s">
        <v>5678</v>
      </c>
      <c r="H551" s="27" t="s">
        <v>1110</v>
      </c>
      <c r="I551" s="29">
        <v>26067.0</v>
      </c>
      <c r="J551" s="29" t="s">
        <v>5423</v>
      </c>
      <c r="K551" s="27" t="s">
        <v>4214</v>
      </c>
      <c r="L551" s="25">
        <v>4.0</v>
      </c>
      <c r="M551" s="27" t="s">
        <v>4215</v>
      </c>
      <c r="N551" s="59" t="s">
        <v>3981</v>
      </c>
      <c r="O551" s="26" t="s">
        <v>4107</v>
      </c>
      <c r="P551" s="26" t="s">
        <v>4108</v>
      </c>
      <c r="Q551" s="26" t="str">
        <f>+T551</f>
        <v>กลุ่มงานบริหารทั่วไป</v>
      </c>
      <c r="R551" s="26" t="str">
        <f>+W551</f>
        <v>ภารกิจด้านอำนวยการ</v>
      </c>
      <c r="S551" s="26" t="str">
        <f t="shared" si="106"/>
        <v>กลุ่มงานบริหารทั่วไป</v>
      </c>
      <c r="T551" s="26" t="s">
        <v>3992</v>
      </c>
      <c r="U551" s="26" t="s">
        <v>1302</v>
      </c>
      <c r="V551" s="25" t="s">
        <v>46</v>
      </c>
      <c r="W551" s="26" t="s">
        <v>1323</v>
      </c>
      <c r="X551" s="25" t="s">
        <v>46</v>
      </c>
      <c r="Y551" s="31">
        <v>3.0</v>
      </c>
      <c r="Z551" s="31">
        <v>54.0</v>
      </c>
      <c r="AA551" s="31">
        <v>57.0</v>
      </c>
      <c r="AB551" s="31">
        <v>55.0</v>
      </c>
      <c r="AC551" s="32">
        <v>1.0</v>
      </c>
      <c r="AD551" s="26"/>
      <c r="AE551" s="26" t="s">
        <v>5679</v>
      </c>
      <c r="AF551" s="32">
        <v>45.0</v>
      </c>
      <c r="AG551" s="33">
        <v>3.501400623855E12</v>
      </c>
      <c r="AH551" s="33" t="s">
        <v>3373</v>
      </c>
      <c r="AI551" s="34" t="s">
        <v>5680</v>
      </c>
    </row>
    <row r="552" ht="38.25" hidden="1" customHeight="1">
      <c r="A552" s="32">
        <v>546.0</v>
      </c>
      <c r="B552" s="218" t="s">
        <v>1037</v>
      </c>
      <c r="C552" s="218" t="s">
        <v>5681</v>
      </c>
      <c r="D552" s="218" t="s">
        <v>5682</v>
      </c>
      <c r="E552" s="219" t="s">
        <v>4512</v>
      </c>
      <c r="F552" s="218" t="s">
        <v>5683</v>
      </c>
      <c r="G552" s="220" t="s">
        <v>1110</v>
      </c>
      <c r="H552" s="27" t="s">
        <v>1110</v>
      </c>
      <c r="I552" s="221" t="s">
        <v>5684</v>
      </c>
      <c r="J552" s="29" t="s">
        <v>3963</v>
      </c>
      <c r="K552" s="222" t="s">
        <v>1137</v>
      </c>
      <c r="L552" s="222">
        <v>1.0</v>
      </c>
      <c r="M552" s="27" t="s">
        <v>1137</v>
      </c>
      <c r="N552" s="223" t="s">
        <v>1174</v>
      </c>
      <c r="O552" s="224" t="s">
        <v>5685</v>
      </c>
      <c r="P552" s="225" t="s">
        <v>5183</v>
      </c>
      <c r="Q552" s="224" t="s">
        <v>5184</v>
      </c>
      <c r="R552" s="224" t="s">
        <v>3991</v>
      </c>
      <c r="S552" s="26" t="str">
        <f t="shared" si="106"/>
        <v>กลุ่มงานการพยาบาลผู้ป่วยห้องผ่าตัด</v>
      </c>
      <c r="T552" s="218" t="s">
        <v>5184</v>
      </c>
      <c r="U552" s="26" t="s">
        <v>1302</v>
      </c>
      <c r="V552" s="25">
        <v>5.0</v>
      </c>
      <c r="W552" s="218" t="s">
        <v>3991</v>
      </c>
      <c r="X552" s="98" t="s">
        <v>1312</v>
      </c>
      <c r="Y552" s="31">
        <v>25.0</v>
      </c>
      <c r="Z552" s="31">
        <v>25.0</v>
      </c>
      <c r="AA552" s="31">
        <v>266.0</v>
      </c>
      <c r="AB552" s="31">
        <v>295.0</v>
      </c>
      <c r="AC552" s="32">
        <v>1.0</v>
      </c>
      <c r="AD552" s="219" t="s">
        <v>5686</v>
      </c>
      <c r="AE552" s="26"/>
      <c r="AF552" s="32">
        <v>5.0</v>
      </c>
      <c r="AG552" s="37">
        <v>1.578000008096E12</v>
      </c>
      <c r="AH552" s="37" t="s">
        <v>355</v>
      </c>
      <c r="AI552" s="38" t="s">
        <v>5687</v>
      </c>
    </row>
    <row r="553" ht="38.25" hidden="1" customHeight="1">
      <c r="A553" s="32">
        <v>547.0</v>
      </c>
      <c r="B553" s="218" t="s">
        <v>1037</v>
      </c>
      <c r="C553" s="218" t="s">
        <v>5688</v>
      </c>
      <c r="D553" s="218" t="s">
        <v>5689</v>
      </c>
      <c r="E553" s="218" t="s">
        <v>5683</v>
      </c>
      <c r="F553" s="218" t="s">
        <v>5683</v>
      </c>
      <c r="G553" s="220" t="s">
        <v>4249</v>
      </c>
      <c r="H553" s="226" t="s">
        <v>1110</v>
      </c>
      <c r="I553" s="29">
        <v>91010.0</v>
      </c>
      <c r="J553" s="29" t="s">
        <v>1125</v>
      </c>
      <c r="K553" s="222" t="s">
        <v>1137</v>
      </c>
      <c r="L553" s="222">
        <v>1.0</v>
      </c>
      <c r="M553" s="27" t="s">
        <v>1137</v>
      </c>
      <c r="N553" s="227" t="s">
        <v>3981</v>
      </c>
      <c r="O553" s="228" t="s">
        <v>5690</v>
      </c>
      <c r="P553" s="228" t="s">
        <v>5690</v>
      </c>
      <c r="Q553" s="228" t="s">
        <v>5690</v>
      </c>
      <c r="R553" s="228" t="s">
        <v>5690</v>
      </c>
      <c r="S553" s="26" t="str">
        <f t="shared" si="106"/>
        <v>กลุ่มงานการพยาบาลจิตเวช</v>
      </c>
      <c r="T553" s="218" t="s">
        <v>5691</v>
      </c>
      <c r="U553" s="26" t="s">
        <v>1302</v>
      </c>
      <c r="V553" s="25">
        <v>10.0</v>
      </c>
      <c r="W553" s="218" t="s">
        <v>3991</v>
      </c>
      <c r="X553" s="98" t="s">
        <v>1312</v>
      </c>
      <c r="Y553" s="31">
        <v>6.0</v>
      </c>
      <c r="Z553" s="31">
        <v>6.0</v>
      </c>
      <c r="AA553" s="31">
        <v>266.0</v>
      </c>
      <c r="AB553" s="31">
        <v>266.0</v>
      </c>
      <c r="AC553" s="229">
        <v>4.0</v>
      </c>
      <c r="AD553" s="230"/>
      <c r="AE553" s="231"/>
      <c r="AF553" s="32">
        <v>5.0</v>
      </c>
      <c r="AG553" s="37">
        <v>1.50070020348E12</v>
      </c>
      <c r="AH553" s="37" t="s">
        <v>2654</v>
      </c>
      <c r="AI553" s="44">
        <v>233790.0</v>
      </c>
    </row>
    <row r="554" ht="38.25" hidden="1" customHeight="1">
      <c r="A554" s="32">
        <v>548.0</v>
      </c>
      <c r="B554" s="26"/>
      <c r="C554" s="26"/>
      <c r="D554" s="26"/>
      <c r="E554" s="218" t="s">
        <v>5683</v>
      </c>
      <c r="F554" s="218" t="s">
        <v>5683</v>
      </c>
      <c r="G554" s="220" t="s">
        <v>4226</v>
      </c>
      <c r="H554" s="226" t="s">
        <v>5692</v>
      </c>
      <c r="I554" s="29">
        <v>106420.0</v>
      </c>
      <c r="J554" s="29" t="s">
        <v>1125</v>
      </c>
      <c r="K554" s="222" t="s">
        <v>1137</v>
      </c>
      <c r="L554" s="222">
        <v>1.0</v>
      </c>
      <c r="M554" s="27" t="s">
        <v>1137</v>
      </c>
      <c r="N554" s="223" t="s">
        <v>1174</v>
      </c>
      <c r="O554" s="224" t="s">
        <v>4789</v>
      </c>
      <c r="P554" s="225" t="s">
        <v>4886</v>
      </c>
      <c r="Q554" s="224" t="s">
        <v>4887</v>
      </c>
      <c r="R554" s="224" t="s">
        <v>3991</v>
      </c>
      <c r="S554" s="26" t="str">
        <f t="shared" si="106"/>
        <v>กลุ่มงานการพยาบาลผู้ป่วยนอก</v>
      </c>
      <c r="T554" s="218" t="s">
        <v>4887</v>
      </c>
      <c r="U554" s="26" t="s">
        <v>1302</v>
      </c>
      <c r="V554" s="25">
        <v>2.0</v>
      </c>
      <c r="W554" s="218" t="s">
        <v>3991</v>
      </c>
      <c r="X554" s="98" t="s">
        <v>1312</v>
      </c>
      <c r="Y554" s="31">
        <v>25.0</v>
      </c>
      <c r="Z554" s="31">
        <v>25.0</v>
      </c>
      <c r="AA554" s="31">
        <v>266.0</v>
      </c>
      <c r="AB554" s="31">
        <v>295.0</v>
      </c>
      <c r="AC554" s="32">
        <v>0.0</v>
      </c>
      <c r="AD554" s="219" t="s">
        <v>5693</v>
      </c>
      <c r="AE554" s="26"/>
      <c r="AF554" s="32">
        <v>5.0</v>
      </c>
      <c r="AG554" s="65"/>
      <c r="AH554" s="65"/>
      <c r="AI554" s="66"/>
    </row>
    <row r="555" ht="38.25" customHeight="1">
      <c r="A555" s="32">
        <v>549.0</v>
      </c>
      <c r="B555" s="26"/>
      <c r="C555" s="26"/>
      <c r="D555" s="26"/>
      <c r="E555" s="26" t="s">
        <v>5683</v>
      </c>
      <c r="F555" s="26" t="str">
        <f>+E555</f>
        <v>พยาบาลวิชาชีพ</v>
      </c>
      <c r="G555" s="27" t="s">
        <v>4249</v>
      </c>
      <c r="H555" s="27" t="s">
        <v>1110</v>
      </c>
      <c r="I555" s="29">
        <v>104439.0</v>
      </c>
      <c r="J555" s="29" t="s">
        <v>1125</v>
      </c>
      <c r="K555" s="27" t="s">
        <v>1137</v>
      </c>
      <c r="L555" s="25">
        <v>1.0</v>
      </c>
      <c r="M555" s="27" t="s">
        <v>1137</v>
      </c>
      <c r="N555" s="30" t="s">
        <v>1174</v>
      </c>
      <c r="O555" s="26"/>
      <c r="P555" s="218" t="s">
        <v>4522</v>
      </c>
      <c r="Q555" s="26" t="s">
        <v>5379</v>
      </c>
      <c r="R555" s="26" t="s">
        <v>4064</v>
      </c>
      <c r="S555" s="26" t="s">
        <v>5380</v>
      </c>
      <c r="T555" s="26" t="str">
        <f>+Q555</f>
        <v>กลุ่มงานการพยาบาลชุมชน</v>
      </c>
      <c r="U555" s="26" t="s">
        <v>1302</v>
      </c>
      <c r="V555" s="25" t="s">
        <v>1312</v>
      </c>
      <c r="W555" s="26" t="s">
        <v>4064</v>
      </c>
      <c r="X555" s="25" t="s">
        <v>3935</v>
      </c>
      <c r="Y555" s="31">
        <v>4.0</v>
      </c>
      <c r="Z555" s="31">
        <v>5.0</v>
      </c>
      <c r="AA555" s="63">
        <v>66.0</v>
      </c>
      <c r="AB555" s="31">
        <v>295.0</v>
      </c>
      <c r="AC555" s="32">
        <v>0.0</v>
      </c>
      <c r="AD555" s="64" t="s">
        <v>5694</v>
      </c>
      <c r="AE555" s="26"/>
      <c r="AF555" s="32">
        <v>5.0</v>
      </c>
      <c r="AG555" s="65"/>
      <c r="AH555" s="65"/>
      <c r="AI555" s="66"/>
    </row>
    <row r="556" ht="38.25" customHeight="1">
      <c r="A556" s="32">
        <v>550.0</v>
      </c>
      <c r="B556" s="148"/>
      <c r="C556" s="148"/>
      <c r="D556" s="148"/>
      <c r="E556" s="148" t="s">
        <v>5683</v>
      </c>
      <c r="F556" s="148" t="s">
        <v>5683</v>
      </c>
      <c r="G556" s="149" t="s">
        <v>4226</v>
      </c>
      <c r="H556" s="149" t="s">
        <v>5692</v>
      </c>
      <c r="I556" s="150">
        <v>107125.0</v>
      </c>
      <c r="J556" s="150" t="s">
        <v>1125</v>
      </c>
      <c r="K556" s="149" t="s">
        <v>1137</v>
      </c>
      <c r="L556" s="151">
        <v>1.0</v>
      </c>
      <c r="M556" s="27" t="s">
        <v>1137</v>
      </c>
      <c r="N556" s="232" t="s">
        <v>1174</v>
      </c>
      <c r="O556" s="148"/>
      <c r="P556" s="218" t="s">
        <v>4522</v>
      </c>
      <c r="Q556" s="148" t="str">
        <f>+T556</f>
        <v>กลุ่มงานการพยาบาลชุมชน</v>
      </c>
      <c r="R556" s="148" t="str">
        <f>+W556</f>
        <v>ภารกิจด้านบริการปฐมภูมิ</v>
      </c>
      <c r="S556" s="148" t="s">
        <v>5380</v>
      </c>
      <c r="T556" s="148" t="s">
        <v>5379</v>
      </c>
      <c r="U556" s="26" t="s">
        <v>1302</v>
      </c>
      <c r="V556" s="151" t="s">
        <v>5695</v>
      </c>
      <c r="W556" s="148" t="s">
        <v>4064</v>
      </c>
      <c r="X556" s="25" t="s">
        <v>3935</v>
      </c>
      <c r="Y556" s="154">
        <v>5.0</v>
      </c>
      <c r="Z556" s="154">
        <v>5.0</v>
      </c>
      <c r="AA556" s="63">
        <v>66.0</v>
      </c>
      <c r="AB556" s="154">
        <v>295.0</v>
      </c>
      <c r="AC556" s="32">
        <v>1.0</v>
      </c>
      <c r="AD556" s="233" t="s">
        <v>5696</v>
      </c>
      <c r="AE556" s="233"/>
      <c r="AF556" s="137">
        <v>5.0</v>
      </c>
      <c r="AG556" s="33">
        <v>3.500700162623E12</v>
      </c>
      <c r="AH556" s="33" t="s">
        <v>3555</v>
      </c>
      <c r="AI556" s="40">
        <v>222528.0</v>
      </c>
    </row>
    <row r="557" ht="38.25" hidden="1" customHeight="1">
      <c r="A557" s="32">
        <v>551.0</v>
      </c>
      <c r="B557" s="26" t="s">
        <v>1037</v>
      </c>
      <c r="C557" s="26" t="s">
        <v>5697</v>
      </c>
      <c r="D557" s="26" t="s">
        <v>5698</v>
      </c>
      <c r="E557" s="218" t="s">
        <v>5683</v>
      </c>
      <c r="F557" s="218" t="s">
        <v>5683</v>
      </c>
      <c r="G557" s="220" t="s">
        <v>4249</v>
      </c>
      <c r="H557" s="226" t="s">
        <v>1110</v>
      </c>
      <c r="I557" s="29">
        <v>194127.0</v>
      </c>
      <c r="J557" s="29" t="s">
        <v>1125</v>
      </c>
      <c r="K557" s="222" t="s">
        <v>1137</v>
      </c>
      <c r="L557" s="222">
        <v>1.0</v>
      </c>
      <c r="M557" s="27" t="s">
        <v>1137</v>
      </c>
      <c r="N557" s="223" t="s">
        <v>1174</v>
      </c>
      <c r="O557" s="224" t="s">
        <v>4789</v>
      </c>
      <c r="P557" s="225" t="s">
        <v>4886</v>
      </c>
      <c r="Q557" s="224" t="s">
        <v>4887</v>
      </c>
      <c r="R557" s="224" t="s">
        <v>3991</v>
      </c>
      <c r="S557" s="26" t="str">
        <f t="shared" ref="S557:S570" si="110">+T557</f>
        <v>กลุ่มงานการพยาบาลผู้ป่วยนอก</v>
      </c>
      <c r="T557" s="218" t="s">
        <v>4887</v>
      </c>
      <c r="U557" s="26" t="s">
        <v>1302</v>
      </c>
      <c r="V557" s="25">
        <v>2.0</v>
      </c>
      <c r="W557" s="218" t="s">
        <v>3991</v>
      </c>
      <c r="X557" s="98" t="s">
        <v>1312</v>
      </c>
      <c r="Y557" s="31">
        <v>25.0</v>
      </c>
      <c r="Z557" s="31">
        <v>25.0</v>
      </c>
      <c r="AA557" s="31">
        <v>266.0</v>
      </c>
      <c r="AB557" s="31">
        <v>295.0</v>
      </c>
      <c r="AC557" s="32">
        <v>1.0</v>
      </c>
      <c r="AD557" s="218"/>
      <c r="AE557" s="26"/>
      <c r="AF557" s="32">
        <v>5.0</v>
      </c>
      <c r="AG557" s="37">
        <v>1.509900833906E12</v>
      </c>
      <c r="AH557" s="37" t="s">
        <v>2033</v>
      </c>
      <c r="AI557" s="38" t="s">
        <v>5699</v>
      </c>
    </row>
    <row r="558" ht="38.25" hidden="1" customHeight="1">
      <c r="A558" s="32">
        <v>552.0</v>
      </c>
      <c r="B558" s="218" t="s">
        <v>1037</v>
      </c>
      <c r="C558" s="218" t="s">
        <v>5700</v>
      </c>
      <c r="D558" s="218" t="s">
        <v>5701</v>
      </c>
      <c r="E558" s="218" t="s">
        <v>5683</v>
      </c>
      <c r="F558" s="218" t="s">
        <v>5683</v>
      </c>
      <c r="G558" s="234" t="s">
        <v>4249</v>
      </c>
      <c r="H558" s="235" t="s">
        <v>1110</v>
      </c>
      <c r="I558" s="29">
        <v>219171.0</v>
      </c>
      <c r="J558" s="29" t="s">
        <v>1125</v>
      </c>
      <c r="K558" s="222" t="s">
        <v>1137</v>
      </c>
      <c r="L558" s="222">
        <v>1.0</v>
      </c>
      <c r="M558" s="27" t="s">
        <v>1137</v>
      </c>
      <c r="N558" s="236" t="s">
        <v>1174</v>
      </c>
      <c r="O558" s="237" t="s">
        <v>4789</v>
      </c>
      <c r="P558" s="238" t="s">
        <v>4886</v>
      </c>
      <c r="Q558" s="237" t="s">
        <v>4887</v>
      </c>
      <c r="R558" s="237" t="s">
        <v>3991</v>
      </c>
      <c r="S558" s="26" t="str">
        <f t="shared" si="110"/>
        <v>กลุ่มงานการพยาบาลผู้ป่วยนอก</v>
      </c>
      <c r="T558" s="218" t="s">
        <v>4887</v>
      </c>
      <c r="U558" s="26" t="s">
        <v>1302</v>
      </c>
      <c r="V558" s="25">
        <v>2.0</v>
      </c>
      <c r="W558" s="218" t="s">
        <v>3991</v>
      </c>
      <c r="X558" s="98" t="s">
        <v>1312</v>
      </c>
      <c r="Y558" s="31">
        <v>25.0</v>
      </c>
      <c r="Z558" s="31">
        <v>25.0</v>
      </c>
      <c r="AA558" s="31">
        <v>266.0</v>
      </c>
      <c r="AB558" s="31">
        <v>295.0</v>
      </c>
      <c r="AC558" s="32">
        <v>1.0</v>
      </c>
      <c r="AD558" s="26"/>
      <c r="AE558" s="26"/>
      <c r="AF558" s="32">
        <v>5.0</v>
      </c>
      <c r="AG558" s="33">
        <v>1.50180007786E12</v>
      </c>
      <c r="AH558" s="33" t="s">
        <v>2763</v>
      </c>
      <c r="AI558" s="34" t="s">
        <v>5702</v>
      </c>
    </row>
    <row r="559" ht="38.25" hidden="1" customHeight="1">
      <c r="A559" s="32">
        <v>553.0</v>
      </c>
      <c r="B559" s="218" t="s">
        <v>1037</v>
      </c>
      <c r="C559" s="218" t="s">
        <v>5703</v>
      </c>
      <c r="D559" s="218" t="s">
        <v>5704</v>
      </c>
      <c r="E559" s="218" t="s">
        <v>5683</v>
      </c>
      <c r="F559" s="218" t="s">
        <v>5683</v>
      </c>
      <c r="G559" s="234" t="s">
        <v>4249</v>
      </c>
      <c r="H559" s="235" t="s">
        <v>1110</v>
      </c>
      <c r="I559" s="29">
        <v>31671.0</v>
      </c>
      <c r="J559" s="29" t="s">
        <v>1125</v>
      </c>
      <c r="K559" s="222" t="s">
        <v>1137</v>
      </c>
      <c r="L559" s="222">
        <v>1.0</v>
      </c>
      <c r="M559" s="27" t="s">
        <v>1137</v>
      </c>
      <c r="N559" s="236" t="s">
        <v>1174</v>
      </c>
      <c r="O559" s="237" t="s">
        <v>4789</v>
      </c>
      <c r="P559" s="238" t="s">
        <v>4886</v>
      </c>
      <c r="Q559" s="237" t="s">
        <v>4887</v>
      </c>
      <c r="R559" s="237" t="s">
        <v>3991</v>
      </c>
      <c r="S559" s="26" t="str">
        <f t="shared" si="110"/>
        <v>กลุ่มงานการพยาบาลผู้ป่วยนอก</v>
      </c>
      <c r="T559" s="218" t="s">
        <v>4887</v>
      </c>
      <c r="U559" s="26" t="s">
        <v>1302</v>
      </c>
      <c r="V559" s="25">
        <v>2.0</v>
      </c>
      <c r="W559" s="218" t="s">
        <v>3991</v>
      </c>
      <c r="X559" s="98" t="s">
        <v>1312</v>
      </c>
      <c r="Y559" s="31">
        <v>25.0</v>
      </c>
      <c r="Z559" s="31">
        <v>25.0</v>
      </c>
      <c r="AA559" s="31">
        <v>266.0</v>
      </c>
      <c r="AB559" s="31">
        <v>295.0</v>
      </c>
      <c r="AC559" s="32">
        <v>1.0</v>
      </c>
      <c r="AD559" s="26"/>
      <c r="AE559" s="26"/>
      <c r="AF559" s="32">
        <v>5.0</v>
      </c>
      <c r="AG559" s="37">
        <v>1.571000042883E12</v>
      </c>
      <c r="AH559" s="37" t="s">
        <v>2482</v>
      </c>
      <c r="AI559" s="38" t="s">
        <v>5705</v>
      </c>
    </row>
    <row r="560" ht="38.25" hidden="1" customHeight="1">
      <c r="A560" s="32">
        <v>554.0</v>
      </c>
      <c r="B560" s="218" t="s">
        <v>1037</v>
      </c>
      <c r="C560" s="218" t="s">
        <v>4307</v>
      </c>
      <c r="D560" s="218" t="s">
        <v>5706</v>
      </c>
      <c r="E560" s="218" t="s">
        <v>5683</v>
      </c>
      <c r="F560" s="218" t="s">
        <v>5683</v>
      </c>
      <c r="G560" s="234" t="s">
        <v>4220</v>
      </c>
      <c r="H560" s="235" t="s">
        <v>5692</v>
      </c>
      <c r="I560" s="29">
        <v>106893.0</v>
      </c>
      <c r="J560" s="29" t="s">
        <v>1125</v>
      </c>
      <c r="K560" s="222" t="s">
        <v>1137</v>
      </c>
      <c r="L560" s="222">
        <v>1.0</v>
      </c>
      <c r="M560" s="27" t="s">
        <v>1137</v>
      </c>
      <c r="N560" s="236" t="s">
        <v>1174</v>
      </c>
      <c r="O560" s="237" t="s">
        <v>4789</v>
      </c>
      <c r="P560" s="238" t="s">
        <v>4886</v>
      </c>
      <c r="Q560" s="237" t="s">
        <v>4887</v>
      </c>
      <c r="R560" s="237" t="s">
        <v>3991</v>
      </c>
      <c r="S560" s="26" t="str">
        <f t="shared" si="110"/>
        <v>กลุ่มงานการพยาบาลผู้ป่วยนอก</v>
      </c>
      <c r="T560" s="218" t="s">
        <v>4887</v>
      </c>
      <c r="U560" s="26" t="s">
        <v>1302</v>
      </c>
      <c r="V560" s="25">
        <v>2.0</v>
      </c>
      <c r="W560" s="218" t="s">
        <v>3991</v>
      </c>
      <c r="X560" s="98" t="s">
        <v>1312</v>
      </c>
      <c r="Y560" s="31">
        <v>25.0</v>
      </c>
      <c r="Z560" s="31">
        <v>25.0</v>
      </c>
      <c r="AA560" s="31">
        <v>266.0</v>
      </c>
      <c r="AB560" s="31">
        <v>295.0</v>
      </c>
      <c r="AC560" s="32">
        <v>1.0</v>
      </c>
      <c r="AD560" s="26"/>
      <c r="AE560" s="26"/>
      <c r="AF560" s="32">
        <v>5.0</v>
      </c>
      <c r="AG560" s="33">
        <v>1.501600071698E12</v>
      </c>
      <c r="AH560" s="33" t="s">
        <v>3565</v>
      </c>
      <c r="AI560" s="34" t="s">
        <v>5707</v>
      </c>
    </row>
    <row r="561" ht="38.25" hidden="1" customHeight="1">
      <c r="A561" s="32">
        <v>555.0</v>
      </c>
      <c r="B561" s="218" t="s">
        <v>1037</v>
      </c>
      <c r="C561" s="218" t="s">
        <v>5708</v>
      </c>
      <c r="D561" s="218" t="s">
        <v>5709</v>
      </c>
      <c r="E561" s="218" t="s">
        <v>5683</v>
      </c>
      <c r="F561" s="218" t="s">
        <v>5683</v>
      </c>
      <c r="G561" s="234" t="s">
        <v>4249</v>
      </c>
      <c r="H561" s="235" t="s">
        <v>1110</v>
      </c>
      <c r="I561" s="29">
        <v>219227.0</v>
      </c>
      <c r="J561" s="29" t="s">
        <v>1125</v>
      </c>
      <c r="K561" s="222" t="s">
        <v>1137</v>
      </c>
      <c r="L561" s="222">
        <v>1.0</v>
      </c>
      <c r="M561" s="27" t="s">
        <v>1137</v>
      </c>
      <c r="N561" s="236" t="s">
        <v>1174</v>
      </c>
      <c r="O561" s="237" t="s">
        <v>4789</v>
      </c>
      <c r="P561" s="238" t="s">
        <v>4886</v>
      </c>
      <c r="Q561" s="237" t="s">
        <v>4887</v>
      </c>
      <c r="R561" s="237" t="s">
        <v>3991</v>
      </c>
      <c r="S561" s="26" t="str">
        <f t="shared" si="110"/>
        <v>กลุ่มงานการพยาบาลผู้ป่วยนอก</v>
      </c>
      <c r="T561" s="218" t="s">
        <v>4887</v>
      </c>
      <c r="U561" s="26" t="s">
        <v>1302</v>
      </c>
      <c r="V561" s="25">
        <v>2.0</v>
      </c>
      <c r="W561" s="218" t="s">
        <v>3991</v>
      </c>
      <c r="X561" s="98" t="s">
        <v>1312</v>
      </c>
      <c r="Y561" s="31">
        <v>25.0</v>
      </c>
      <c r="Z561" s="31">
        <v>25.0</v>
      </c>
      <c r="AA561" s="31">
        <v>266.0</v>
      </c>
      <c r="AB561" s="31">
        <v>295.0</v>
      </c>
      <c r="AC561" s="32">
        <v>1.0</v>
      </c>
      <c r="AD561" s="26"/>
      <c r="AE561" s="26"/>
      <c r="AF561" s="32">
        <v>5.0</v>
      </c>
      <c r="AG561" s="37">
        <v>1.50990133864E12</v>
      </c>
      <c r="AH561" s="37" t="s">
        <v>2947</v>
      </c>
      <c r="AI561" s="38" t="s">
        <v>5710</v>
      </c>
    </row>
    <row r="562" ht="38.25" hidden="1" customHeight="1">
      <c r="A562" s="32">
        <v>556.0</v>
      </c>
      <c r="B562" s="218" t="s">
        <v>806</v>
      </c>
      <c r="C562" s="218" t="s">
        <v>5711</v>
      </c>
      <c r="D562" s="218" t="s">
        <v>5712</v>
      </c>
      <c r="E562" s="218" t="s">
        <v>5683</v>
      </c>
      <c r="F562" s="218" t="s">
        <v>5683</v>
      </c>
      <c r="G562" s="234" t="s">
        <v>4226</v>
      </c>
      <c r="H562" s="235" t="s">
        <v>5692</v>
      </c>
      <c r="I562" s="29">
        <v>117310.0</v>
      </c>
      <c r="J562" s="29" t="s">
        <v>1125</v>
      </c>
      <c r="K562" s="222" t="s">
        <v>1137</v>
      </c>
      <c r="L562" s="222">
        <v>1.0</v>
      </c>
      <c r="M562" s="27" t="s">
        <v>1137</v>
      </c>
      <c r="N562" s="236" t="s">
        <v>1174</v>
      </c>
      <c r="O562" s="237" t="s">
        <v>4789</v>
      </c>
      <c r="P562" s="238" t="s">
        <v>4886</v>
      </c>
      <c r="Q562" s="237" t="s">
        <v>4887</v>
      </c>
      <c r="R562" s="237" t="s">
        <v>3991</v>
      </c>
      <c r="S562" s="26" t="str">
        <f t="shared" si="110"/>
        <v>กลุ่มงานการพยาบาลผู้ป่วยนอก</v>
      </c>
      <c r="T562" s="218" t="s">
        <v>4887</v>
      </c>
      <c r="U562" s="26" t="s">
        <v>1302</v>
      </c>
      <c r="V562" s="25">
        <v>2.0</v>
      </c>
      <c r="W562" s="218" t="s">
        <v>3991</v>
      </c>
      <c r="X562" s="98" t="s">
        <v>1312</v>
      </c>
      <c r="Y562" s="31">
        <v>25.0</v>
      </c>
      <c r="Z562" s="31">
        <v>25.0</v>
      </c>
      <c r="AA562" s="31">
        <v>266.0</v>
      </c>
      <c r="AB562" s="31">
        <v>295.0</v>
      </c>
      <c r="AC562" s="32">
        <v>1.0</v>
      </c>
      <c r="AD562" s="26"/>
      <c r="AE562" s="26"/>
      <c r="AF562" s="32">
        <v>5.0</v>
      </c>
      <c r="AG562" s="33">
        <v>3.509900511719E12</v>
      </c>
      <c r="AH562" s="33" t="s">
        <v>3762</v>
      </c>
      <c r="AI562" s="34" t="s">
        <v>5713</v>
      </c>
    </row>
    <row r="563" ht="38.25" hidden="1" customHeight="1">
      <c r="A563" s="32">
        <v>557.0</v>
      </c>
      <c r="B563" s="218" t="s">
        <v>1037</v>
      </c>
      <c r="C563" s="218" t="s">
        <v>5714</v>
      </c>
      <c r="D563" s="218" t="s">
        <v>5077</v>
      </c>
      <c r="E563" s="218" t="s">
        <v>5683</v>
      </c>
      <c r="F563" s="218" t="s">
        <v>5683</v>
      </c>
      <c r="G563" s="234" t="s">
        <v>4226</v>
      </c>
      <c r="H563" s="235" t="s">
        <v>5692</v>
      </c>
      <c r="I563" s="29">
        <v>106873.0</v>
      </c>
      <c r="J563" s="29" t="s">
        <v>1125</v>
      </c>
      <c r="K563" s="222" t="s">
        <v>1137</v>
      </c>
      <c r="L563" s="222">
        <v>1.0</v>
      </c>
      <c r="M563" s="27" t="s">
        <v>1137</v>
      </c>
      <c r="N563" s="236" t="s">
        <v>1174</v>
      </c>
      <c r="O563" s="237" t="s">
        <v>4789</v>
      </c>
      <c r="P563" s="238" t="s">
        <v>4886</v>
      </c>
      <c r="Q563" s="237" t="s">
        <v>4887</v>
      </c>
      <c r="R563" s="237" t="s">
        <v>3991</v>
      </c>
      <c r="S563" s="26" t="str">
        <f t="shared" si="110"/>
        <v>กลุ่มงานการพยาบาลผู้ป่วยนอก</v>
      </c>
      <c r="T563" s="218" t="s">
        <v>4887</v>
      </c>
      <c r="U563" s="26" t="s">
        <v>1302</v>
      </c>
      <c r="V563" s="25">
        <v>2.0</v>
      </c>
      <c r="W563" s="218" t="s">
        <v>3991</v>
      </c>
      <c r="X563" s="98" t="s">
        <v>1312</v>
      </c>
      <c r="Y563" s="31">
        <v>25.0</v>
      </c>
      <c r="Z563" s="31">
        <v>25.0</v>
      </c>
      <c r="AA563" s="31">
        <v>266.0</v>
      </c>
      <c r="AB563" s="31">
        <v>295.0</v>
      </c>
      <c r="AC563" s="32">
        <v>1.0</v>
      </c>
      <c r="AD563" s="26"/>
      <c r="AE563" s="26"/>
      <c r="AF563" s="32">
        <v>5.0</v>
      </c>
      <c r="AG563" s="37">
        <v>3.520700269436E12</v>
      </c>
      <c r="AH563" s="37" t="s">
        <v>3756</v>
      </c>
      <c r="AI563" s="44">
        <v>226122.0</v>
      </c>
    </row>
    <row r="564" ht="38.25" hidden="1" customHeight="1">
      <c r="A564" s="32">
        <v>558.0</v>
      </c>
      <c r="B564" s="218" t="s">
        <v>1037</v>
      </c>
      <c r="C564" s="218" t="s">
        <v>5715</v>
      </c>
      <c r="D564" s="218" t="s">
        <v>5716</v>
      </c>
      <c r="E564" s="218" t="s">
        <v>5683</v>
      </c>
      <c r="F564" s="218" t="s">
        <v>5683</v>
      </c>
      <c r="G564" s="234" t="s">
        <v>4226</v>
      </c>
      <c r="H564" s="235" t="s">
        <v>5692</v>
      </c>
      <c r="I564" s="29">
        <v>159196.0</v>
      </c>
      <c r="J564" s="29" t="s">
        <v>1125</v>
      </c>
      <c r="K564" s="222" t="s">
        <v>1137</v>
      </c>
      <c r="L564" s="222">
        <v>1.0</v>
      </c>
      <c r="M564" s="27" t="s">
        <v>1137</v>
      </c>
      <c r="N564" s="239" t="s">
        <v>3981</v>
      </c>
      <c r="O564" s="237" t="s">
        <v>4789</v>
      </c>
      <c r="P564" s="238" t="s">
        <v>4886</v>
      </c>
      <c r="Q564" s="237" t="s">
        <v>4887</v>
      </c>
      <c r="R564" s="237" t="s">
        <v>3991</v>
      </c>
      <c r="S564" s="26" t="str">
        <f t="shared" si="110"/>
        <v>กลุ่มงานการพยาบาลผู้ป่วยนอก</v>
      </c>
      <c r="T564" s="218" t="s">
        <v>4887</v>
      </c>
      <c r="U564" s="26" t="s">
        <v>1302</v>
      </c>
      <c r="V564" s="25">
        <v>2.0</v>
      </c>
      <c r="W564" s="218" t="s">
        <v>3991</v>
      </c>
      <c r="X564" s="98" t="s">
        <v>1312</v>
      </c>
      <c r="Y564" s="31">
        <v>25.0</v>
      </c>
      <c r="Z564" s="31">
        <v>25.0</v>
      </c>
      <c r="AA564" s="31">
        <v>266.0</v>
      </c>
      <c r="AB564" s="31">
        <v>295.0</v>
      </c>
      <c r="AC564" s="32">
        <v>1.0</v>
      </c>
      <c r="AD564" s="26"/>
      <c r="AE564" s="26" t="s">
        <v>5717</v>
      </c>
      <c r="AF564" s="32">
        <v>5.0</v>
      </c>
      <c r="AG564" s="33">
        <v>3.501200294246E12</v>
      </c>
      <c r="AH564" s="33" t="s">
        <v>3774</v>
      </c>
      <c r="AI564" s="34" t="s">
        <v>5718</v>
      </c>
    </row>
    <row r="565" ht="38.25" hidden="1" customHeight="1">
      <c r="A565" s="32">
        <v>559.0</v>
      </c>
      <c r="B565" s="218" t="s">
        <v>806</v>
      </c>
      <c r="C565" s="218" t="s">
        <v>5719</v>
      </c>
      <c r="D565" s="218" t="s">
        <v>5720</v>
      </c>
      <c r="E565" s="218" t="s">
        <v>5683</v>
      </c>
      <c r="F565" s="218" t="s">
        <v>5683</v>
      </c>
      <c r="G565" s="234" t="s">
        <v>4226</v>
      </c>
      <c r="H565" s="235" t="s">
        <v>5692</v>
      </c>
      <c r="I565" s="29">
        <v>194124.0</v>
      </c>
      <c r="J565" s="29" t="s">
        <v>1125</v>
      </c>
      <c r="K565" s="222" t="s">
        <v>1137</v>
      </c>
      <c r="L565" s="222">
        <v>1.0</v>
      </c>
      <c r="M565" s="27" t="s">
        <v>1137</v>
      </c>
      <c r="N565" s="236" t="s">
        <v>1174</v>
      </c>
      <c r="O565" s="237" t="s">
        <v>4789</v>
      </c>
      <c r="P565" s="238" t="s">
        <v>4886</v>
      </c>
      <c r="Q565" s="237" t="s">
        <v>4887</v>
      </c>
      <c r="R565" s="237" t="s">
        <v>3991</v>
      </c>
      <c r="S565" s="26" t="str">
        <f t="shared" si="110"/>
        <v>กลุ่มงานการพยาบาลผู้ป่วยนอก</v>
      </c>
      <c r="T565" s="218" t="s">
        <v>4887</v>
      </c>
      <c r="U565" s="26" t="s">
        <v>1302</v>
      </c>
      <c r="V565" s="25">
        <v>2.0</v>
      </c>
      <c r="W565" s="218" t="s">
        <v>3991</v>
      </c>
      <c r="X565" s="98" t="s">
        <v>1312</v>
      </c>
      <c r="Y565" s="31">
        <v>25.0</v>
      </c>
      <c r="Z565" s="31">
        <v>25.0</v>
      </c>
      <c r="AA565" s="31">
        <v>266.0</v>
      </c>
      <c r="AB565" s="31">
        <v>295.0</v>
      </c>
      <c r="AC565" s="32">
        <v>1.0</v>
      </c>
      <c r="AD565" s="26"/>
      <c r="AE565" s="26"/>
      <c r="AF565" s="32">
        <v>5.0</v>
      </c>
      <c r="AG565" s="33">
        <v>3.501100248919E12</v>
      </c>
      <c r="AH565" s="33" t="s">
        <v>3581</v>
      </c>
      <c r="AI565" s="40">
        <v>225215.0</v>
      </c>
    </row>
    <row r="566" ht="38.25" hidden="1" customHeight="1">
      <c r="A566" s="32">
        <v>560.0</v>
      </c>
      <c r="B566" s="218" t="s">
        <v>1037</v>
      </c>
      <c r="C566" s="218" t="s">
        <v>5721</v>
      </c>
      <c r="D566" s="218" t="s">
        <v>5722</v>
      </c>
      <c r="E566" s="218" t="s">
        <v>5683</v>
      </c>
      <c r="F566" s="218" t="s">
        <v>5683</v>
      </c>
      <c r="G566" s="234" t="s">
        <v>4249</v>
      </c>
      <c r="H566" s="235" t="s">
        <v>1110</v>
      </c>
      <c r="I566" s="29">
        <v>246030.0</v>
      </c>
      <c r="J566" s="29" t="s">
        <v>1125</v>
      </c>
      <c r="K566" s="222" t="s">
        <v>1137</v>
      </c>
      <c r="L566" s="222">
        <v>1.0</v>
      </c>
      <c r="M566" s="27" t="s">
        <v>1137</v>
      </c>
      <c r="N566" s="236" t="s">
        <v>1174</v>
      </c>
      <c r="O566" s="237" t="s">
        <v>4789</v>
      </c>
      <c r="P566" s="238" t="s">
        <v>4886</v>
      </c>
      <c r="Q566" s="237" t="s">
        <v>4887</v>
      </c>
      <c r="R566" s="237" t="s">
        <v>3991</v>
      </c>
      <c r="S566" s="26" t="str">
        <f t="shared" si="110"/>
        <v>กลุ่มงานการพยาบาลผู้ป่วยนอก</v>
      </c>
      <c r="T566" s="218" t="s">
        <v>4887</v>
      </c>
      <c r="U566" s="26" t="s">
        <v>1302</v>
      </c>
      <c r="V566" s="25">
        <v>2.0</v>
      </c>
      <c r="W566" s="218" t="s">
        <v>3991</v>
      </c>
      <c r="X566" s="98" t="s">
        <v>1312</v>
      </c>
      <c r="Y566" s="31">
        <v>25.0</v>
      </c>
      <c r="Z566" s="31">
        <v>25.0</v>
      </c>
      <c r="AA566" s="31">
        <v>266.0</v>
      </c>
      <c r="AB566" s="31">
        <v>295.0</v>
      </c>
      <c r="AC566" s="32">
        <v>1.0</v>
      </c>
      <c r="AD566" s="26"/>
      <c r="AE566" s="26"/>
      <c r="AF566" s="32">
        <v>5.0</v>
      </c>
      <c r="AG566" s="37">
        <v>1.501800096635E12</v>
      </c>
      <c r="AH566" s="37" t="s">
        <v>1907</v>
      </c>
      <c r="AI566" s="44">
        <v>233726.0</v>
      </c>
    </row>
    <row r="567" ht="38.25" hidden="1" customHeight="1">
      <c r="A567" s="32">
        <v>561.0</v>
      </c>
      <c r="B567" s="218" t="s">
        <v>806</v>
      </c>
      <c r="C567" s="218" t="s">
        <v>5723</v>
      </c>
      <c r="D567" s="218" t="s">
        <v>5724</v>
      </c>
      <c r="E567" s="218" t="s">
        <v>5683</v>
      </c>
      <c r="F567" s="218" t="s">
        <v>5683</v>
      </c>
      <c r="G567" s="234" t="s">
        <v>4226</v>
      </c>
      <c r="H567" s="235" t="s">
        <v>5692</v>
      </c>
      <c r="I567" s="29">
        <v>107144.0</v>
      </c>
      <c r="J567" s="29" t="s">
        <v>1125</v>
      </c>
      <c r="K567" s="222" t="s">
        <v>1137</v>
      </c>
      <c r="L567" s="222">
        <v>1.0</v>
      </c>
      <c r="M567" s="27" t="s">
        <v>1137</v>
      </c>
      <c r="N567" s="236" t="s">
        <v>1174</v>
      </c>
      <c r="O567" s="237" t="s">
        <v>4789</v>
      </c>
      <c r="P567" s="238" t="s">
        <v>4886</v>
      </c>
      <c r="Q567" s="237" t="s">
        <v>4887</v>
      </c>
      <c r="R567" s="237" t="s">
        <v>3991</v>
      </c>
      <c r="S567" s="26" t="str">
        <f t="shared" si="110"/>
        <v>กลุ่มงานการพยาบาลผู้ป่วยนอก</v>
      </c>
      <c r="T567" s="218" t="s">
        <v>4887</v>
      </c>
      <c r="U567" s="26" t="s">
        <v>1302</v>
      </c>
      <c r="V567" s="25">
        <v>2.0</v>
      </c>
      <c r="W567" s="218" t="s">
        <v>3991</v>
      </c>
      <c r="X567" s="98" t="s">
        <v>1312</v>
      </c>
      <c r="Y567" s="31">
        <v>25.0</v>
      </c>
      <c r="Z567" s="31">
        <v>25.0</v>
      </c>
      <c r="AA567" s="31">
        <v>266.0</v>
      </c>
      <c r="AB567" s="31">
        <v>295.0</v>
      </c>
      <c r="AC567" s="32">
        <v>1.0</v>
      </c>
      <c r="AD567" s="26"/>
      <c r="AE567" s="26"/>
      <c r="AF567" s="32">
        <v>5.0</v>
      </c>
      <c r="AG567" s="33">
        <v>3.500300178107E12</v>
      </c>
      <c r="AH567" s="33" t="s">
        <v>3751</v>
      </c>
      <c r="AI567" s="34" t="s">
        <v>5725</v>
      </c>
    </row>
    <row r="568" ht="38.25" hidden="1" customHeight="1">
      <c r="A568" s="32">
        <v>562.0</v>
      </c>
      <c r="B568" s="218" t="s">
        <v>1037</v>
      </c>
      <c r="C568" s="218" t="s">
        <v>5726</v>
      </c>
      <c r="D568" s="218" t="s">
        <v>5727</v>
      </c>
      <c r="E568" s="218" t="s">
        <v>5683</v>
      </c>
      <c r="F568" s="218" t="s">
        <v>5683</v>
      </c>
      <c r="G568" s="234" t="s">
        <v>4249</v>
      </c>
      <c r="H568" s="235" t="s">
        <v>1110</v>
      </c>
      <c r="I568" s="29" t="s">
        <v>5728</v>
      </c>
      <c r="J568" s="29" t="s">
        <v>1125</v>
      </c>
      <c r="K568" s="222" t="s">
        <v>1137</v>
      </c>
      <c r="L568" s="222">
        <v>1.0</v>
      </c>
      <c r="M568" s="27" t="s">
        <v>1137</v>
      </c>
      <c r="N568" s="236" t="s">
        <v>1174</v>
      </c>
      <c r="O568" s="237" t="s">
        <v>4789</v>
      </c>
      <c r="P568" s="238" t="s">
        <v>4886</v>
      </c>
      <c r="Q568" s="237" t="s">
        <v>4887</v>
      </c>
      <c r="R568" s="237" t="s">
        <v>3991</v>
      </c>
      <c r="S568" s="26" t="str">
        <f t="shared" si="110"/>
        <v>กลุ่มงานการพยาบาลผู้ป่วยนอก</v>
      </c>
      <c r="T568" s="218" t="s">
        <v>4887</v>
      </c>
      <c r="U568" s="26" t="s">
        <v>1302</v>
      </c>
      <c r="V568" s="25">
        <v>2.0</v>
      </c>
      <c r="W568" s="218" t="s">
        <v>3991</v>
      </c>
      <c r="X568" s="98" t="s">
        <v>1312</v>
      </c>
      <c r="Y568" s="31">
        <v>25.0</v>
      </c>
      <c r="Z568" s="31">
        <v>25.0</v>
      </c>
      <c r="AA568" s="31">
        <v>266.0</v>
      </c>
      <c r="AB568" s="31">
        <v>295.0</v>
      </c>
      <c r="AC568" s="32">
        <v>1.0</v>
      </c>
      <c r="AD568" s="26"/>
      <c r="AE568" s="26"/>
      <c r="AF568" s="32">
        <v>5.0</v>
      </c>
      <c r="AG568" s="37">
        <v>1.580300064954E12</v>
      </c>
      <c r="AH568" s="37" t="s">
        <v>2824</v>
      </c>
      <c r="AI568" s="38" t="s">
        <v>4582</v>
      </c>
    </row>
    <row r="569" ht="38.25" hidden="1" customHeight="1">
      <c r="A569" s="32">
        <v>563.0</v>
      </c>
      <c r="B569" s="218" t="s">
        <v>1037</v>
      </c>
      <c r="C569" s="218" t="s">
        <v>5729</v>
      </c>
      <c r="D569" s="218" t="s">
        <v>5730</v>
      </c>
      <c r="E569" s="218" t="s">
        <v>5683</v>
      </c>
      <c r="F569" s="218" t="s">
        <v>5683</v>
      </c>
      <c r="G569" s="234" t="s">
        <v>4249</v>
      </c>
      <c r="H569" s="235" t="s">
        <v>1110</v>
      </c>
      <c r="I569" s="29">
        <v>219196.0</v>
      </c>
      <c r="J569" s="29" t="s">
        <v>1125</v>
      </c>
      <c r="K569" s="222" t="s">
        <v>1137</v>
      </c>
      <c r="L569" s="222">
        <v>1.0</v>
      </c>
      <c r="M569" s="27" t="s">
        <v>1137</v>
      </c>
      <c r="N569" s="239" t="s">
        <v>3981</v>
      </c>
      <c r="O569" s="237" t="s">
        <v>4789</v>
      </c>
      <c r="P569" s="238" t="s">
        <v>4886</v>
      </c>
      <c r="Q569" s="237" t="s">
        <v>4887</v>
      </c>
      <c r="R569" s="237" t="s">
        <v>3991</v>
      </c>
      <c r="S569" s="26" t="str">
        <f t="shared" si="110"/>
        <v>กลุ่มงานการพยาบาลผู้ป่วยหนัก</v>
      </c>
      <c r="T569" s="218" t="s">
        <v>4959</v>
      </c>
      <c r="U569" s="26" t="s">
        <v>1302</v>
      </c>
      <c r="V569" s="25">
        <v>2.0</v>
      </c>
      <c r="W569" s="218" t="s">
        <v>3991</v>
      </c>
      <c r="X569" s="98" t="s">
        <v>1312</v>
      </c>
      <c r="Y569" s="31">
        <v>25.0</v>
      </c>
      <c r="Z569" s="31">
        <v>25.0</v>
      </c>
      <c r="AA569" s="31">
        <v>266.0</v>
      </c>
      <c r="AB569" s="31">
        <v>295.0</v>
      </c>
      <c r="AC569" s="32">
        <v>1.0</v>
      </c>
      <c r="AD569" s="26"/>
      <c r="AE569" s="26"/>
      <c r="AF569" s="32">
        <v>5.0</v>
      </c>
      <c r="AG569" s="33">
        <v>1.580400123154E12</v>
      </c>
      <c r="AH569" s="33" t="s">
        <v>2078</v>
      </c>
      <c r="AI569" s="40">
        <v>231511.0</v>
      </c>
    </row>
    <row r="570" ht="38.25" hidden="1" customHeight="1">
      <c r="A570" s="32">
        <v>564.0</v>
      </c>
      <c r="B570" s="218" t="s">
        <v>1037</v>
      </c>
      <c r="C570" s="218" t="s">
        <v>5731</v>
      </c>
      <c r="D570" s="218" t="s">
        <v>5732</v>
      </c>
      <c r="E570" s="218" t="s">
        <v>5683</v>
      </c>
      <c r="F570" s="218" t="s">
        <v>5683</v>
      </c>
      <c r="G570" s="234" t="s">
        <v>4249</v>
      </c>
      <c r="H570" s="235" t="s">
        <v>1110</v>
      </c>
      <c r="I570" s="29">
        <v>232914.0</v>
      </c>
      <c r="J570" s="29" t="s">
        <v>1125</v>
      </c>
      <c r="K570" s="222" t="s">
        <v>1137</v>
      </c>
      <c r="L570" s="222">
        <v>1.0</v>
      </c>
      <c r="M570" s="27" t="s">
        <v>1137</v>
      </c>
      <c r="N570" s="239" t="s">
        <v>3981</v>
      </c>
      <c r="O570" s="237" t="s">
        <v>4789</v>
      </c>
      <c r="P570" s="238" t="s">
        <v>4886</v>
      </c>
      <c r="Q570" s="237" t="s">
        <v>4887</v>
      </c>
      <c r="R570" s="237" t="s">
        <v>3991</v>
      </c>
      <c r="S570" s="26" t="str">
        <f t="shared" si="110"/>
        <v>กลุ่มงานการพยาบาลผู้ป่วยหนัก</v>
      </c>
      <c r="T570" s="218" t="s">
        <v>4959</v>
      </c>
      <c r="U570" s="26" t="s">
        <v>1302</v>
      </c>
      <c r="V570" s="25">
        <v>2.0</v>
      </c>
      <c r="W570" s="218" t="s">
        <v>3991</v>
      </c>
      <c r="X570" s="98" t="s">
        <v>1312</v>
      </c>
      <c r="Y570" s="31">
        <v>25.0</v>
      </c>
      <c r="Z570" s="31">
        <v>25.0</v>
      </c>
      <c r="AA570" s="31">
        <v>266.0</v>
      </c>
      <c r="AB570" s="31">
        <v>295.0</v>
      </c>
      <c r="AC570" s="32">
        <v>1.0</v>
      </c>
      <c r="AD570" s="26"/>
      <c r="AE570" s="26"/>
      <c r="AF570" s="32">
        <v>5.0</v>
      </c>
      <c r="AG570" s="37">
        <v>1.505200003087E12</v>
      </c>
      <c r="AH570" s="37" t="s">
        <v>2675</v>
      </c>
      <c r="AI570" s="38" t="s">
        <v>5733</v>
      </c>
    </row>
    <row r="571" ht="38.25" hidden="1" customHeight="1">
      <c r="A571" s="32">
        <v>565.0</v>
      </c>
      <c r="B571" s="86" t="s">
        <v>1037</v>
      </c>
      <c r="C571" s="86" t="s">
        <v>5734</v>
      </c>
      <c r="D571" s="86" t="s">
        <v>5735</v>
      </c>
      <c r="E571" s="86" t="s">
        <v>5683</v>
      </c>
      <c r="F571" s="86" t="s">
        <v>5683</v>
      </c>
      <c r="G571" s="114" t="s">
        <v>4249</v>
      </c>
      <c r="H571" s="240" t="s">
        <v>1110</v>
      </c>
      <c r="I571" s="84">
        <v>203551.0</v>
      </c>
      <c r="J571" s="84" t="s">
        <v>1125</v>
      </c>
      <c r="K571" s="241" t="s">
        <v>1137</v>
      </c>
      <c r="L571" s="241">
        <v>1.0</v>
      </c>
      <c r="M571" s="27" t="s">
        <v>1137</v>
      </c>
      <c r="N571" s="116" t="s">
        <v>3981</v>
      </c>
      <c r="O571" s="113" t="s">
        <v>4789</v>
      </c>
      <c r="P571" s="242" t="s">
        <v>4886</v>
      </c>
      <c r="Q571" s="113" t="s">
        <v>4887</v>
      </c>
      <c r="R571" s="113" t="s">
        <v>3991</v>
      </c>
      <c r="S571" s="82" t="s">
        <v>5736</v>
      </c>
      <c r="T571" s="82" t="s">
        <v>5736</v>
      </c>
      <c r="U571" s="86" t="s">
        <v>5736</v>
      </c>
      <c r="V571" s="25">
        <v>2.0</v>
      </c>
      <c r="W571" s="86" t="s">
        <v>3991</v>
      </c>
      <c r="X571" s="243" t="s">
        <v>1312</v>
      </c>
      <c r="Y571" s="87">
        <v>25.0</v>
      </c>
      <c r="Z571" s="87">
        <v>25.0</v>
      </c>
      <c r="AA571" s="87">
        <v>266.0</v>
      </c>
      <c r="AB571" s="87">
        <v>295.0</v>
      </c>
      <c r="AC571" s="88">
        <v>3.0</v>
      </c>
      <c r="AD571" s="82"/>
      <c r="AE571" s="82"/>
      <c r="AF571" s="88">
        <v>5.0</v>
      </c>
      <c r="AG571" s="33">
        <v>1.549900574226E12</v>
      </c>
      <c r="AH571" s="46"/>
      <c r="AI571" s="34" t="s">
        <v>5737</v>
      </c>
    </row>
    <row r="572" ht="38.25" customHeight="1">
      <c r="A572" s="32">
        <v>566.0</v>
      </c>
      <c r="B572" s="148" t="s">
        <v>806</v>
      </c>
      <c r="C572" s="148" t="s">
        <v>5738</v>
      </c>
      <c r="D572" s="148" t="s">
        <v>5739</v>
      </c>
      <c r="E572" s="148" t="s">
        <v>5683</v>
      </c>
      <c r="F572" s="148" t="s">
        <v>5683</v>
      </c>
      <c r="G572" s="131" t="s">
        <v>4220</v>
      </c>
      <c r="H572" s="131" t="s">
        <v>5692</v>
      </c>
      <c r="I572" s="150">
        <v>34733.0</v>
      </c>
      <c r="J572" s="150" t="s">
        <v>1125</v>
      </c>
      <c r="K572" s="149" t="s">
        <v>1137</v>
      </c>
      <c r="L572" s="151">
        <v>1.0</v>
      </c>
      <c r="M572" s="27" t="s">
        <v>1137</v>
      </c>
      <c r="N572" s="134" t="s">
        <v>1174</v>
      </c>
      <c r="O572" s="130"/>
      <c r="P572" s="218" t="s">
        <v>4522</v>
      </c>
      <c r="Q572" s="130" t="str">
        <f t="shared" ref="Q572:Q574" si="111">+T572</f>
        <v>กลุ่มงานการพยาบาลชุมชน</v>
      </c>
      <c r="R572" s="130" t="str">
        <f t="shared" ref="R572:R574" si="112">+W572</f>
        <v>ภารกิจด้านบริการปฐมภูมิ</v>
      </c>
      <c r="S572" s="148" t="s">
        <v>5380</v>
      </c>
      <c r="T572" s="148" t="s">
        <v>5379</v>
      </c>
      <c r="U572" s="26" t="s">
        <v>1302</v>
      </c>
      <c r="V572" s="151" t="s">
        <v>5695</v>
      </c>
      <c r="W572" s="148" t="s">
        <v>4064</v>
      </c>
      <c r="X572" s="25" t="s">
        <v>3935</v>
      </c>
      <c r="Y572" s="154">
        <v>5.0</v>
      </c>
      <c r="Z572" s="154">
        <v>5.0</v>
      </c>
      <c r="AA572" s="63">
        <v>66.0</v>
      </c>
      <c r="AB572" s="154">
        <v>295.0</v>
      </c>
      <c r="AC572" s="32">
        <v>1.0</v>
      </c>
      <c r="AD572" s="148"/>
      <c r="AE572" s="148"/>
      <c r="AF572" s="137">
        <v>5.0</v>
      </c>
      <c r="AG572" s="37">
        <v>3.700800408436E12</v>
      </c>
      <c r="AH572" s="37" t="s">
        <v>2134</v>
      </c>
      <c r="AI572" s="38" t="s">
        <v>5740</v>
      </c>
    </row>
    <row r="573" ht="38.25" customHeight="1">
      <c r="A573" s="32">
        <v>567.0</v>
      </c>
      <c r="B573" s="148" t="s">
        <v>806</v>
      </c>
      <c r="C573" s="148" t="s">
        <v>5741</v>
      </c>
      <c r="D573" s="148" t="s">
        <v>5742</v>
      </c>
      <c r="E573" s="148" t="s">
        <v>5683</v>
      </c>
      <c r="F573" s="148" t="s">
        <v>5683</v>
      </c>
      <c r="G573" s="131" t="s">
        <v>4226</v>
      </c>
      <c r="H573" s="131" t="s">
        <v>5692</v>
      </c>
      <c r="I573" s="150">
        <v>106804.0</v>
      </c>
      <c r="J573" s="150" t="s">
        <v>1125</v>
      </c>
      <c r="K573" s="149" t="s">
        <v>1137</v>
      </c>
      <c r="L573" s="151">
        <v>1.0</v>
      </c>
      <c r="M573" s="27" t="s">
        <v>1137</v>
      </c>
      <c r="N573" s="134" t="s">
        <v>1174</v>
      </c>
      <c r="O573" s="130"/>
      <c r="P573" s="244" t="s">
        <v>4522</v>
      </c>
      <c r="Q573" s="130" t="str">
        <f t="shared" si="111"/>
        <v>กลุ่มงานการพยาบาลชุมชน</v>
      </c>
      <c r="R573" s="130" t="str">
        <f t="shared" si="112"/>
        <v>ภารกิจด้านบริการปฐมภูมิ</v>
      </c>
      <c r="S573" s="148" t="s">
        <v>5380</v>
      </c>
      <c r="T573" s="148" t="s">
        <v>5379</v>
      </c>
      <c r="U573" s="26" t="s">
        <v>1302</v>
      </c>
      <c r="V573" s="151" t="s">
        <v>5695</v>
      </c>
      <c r="W573" s="148" t="s">
        <v>4064</v>
      </c>
      <c r="X573" s="25" t="s">
        <v>3935</v>
      </c>
      <c r="Y573" s="154">
        <v>5.0</v>
      </c>
      <c r="Z573" s="154">
        <v>5.0</v>
      </c>
      <c r="AA573" s="63">
        <v>66.0</v>
      </c>
      <c r="AB573" s="154">
        <v>295.0</v>
      </c>
      <c r="AC573" s="32">
        <v>1.0</v>
      </c>
      <c r="AD573" s="148"/>
      <c r="AE573" s="148"/>
      <c r="AF573" s="137">
        <v>5.0</v>
      </c>
      <c r="AG573" s="33">
        <v>3.509900347731E12</v>
      </c>
      <c r="AH573" s="33" t="s">
        <v>3569</v>
      </c>
      <c r="AI573" s="34" t="s">
        <v>5743</v>
      </c>
    </row>
    <row r="574" ht="38.25" hidden="1" customHeight="1">
      <c r="A574" s="32">
        <v>568.0</v>
      </c>
      <c r="B574" s="130" t="s">
        <v>806</v>
      </c>
      <c r="C574" s="130" t="s">
        <v>5744</v>
      </c>
      <c r="D574" s="130" t="s">
        <v>5745</v>
      </c>
      <c r="E574" s="130" t="s">
        <v>5683</v>
      </c>
      <c r="F574" s="130" t="s">
        <v>5683</v>
      </c>
      <c r="G574" s="131" t="s">
        <v>4249</v>
      </c>
      <c r="H574" s="131" t="s">
        <v>1110</v>
      </c>
      <c r="I574" s="132">
        <v>107032.0</v>
      </c>
      <c r="J574" s="132" t="s">
        <v>1125</v>
      </c>
      <c r="K574" s="131" t="s">
        <v>1137</v>
      </c>
      <c r="L574" s="133">
        <v>1.0</v>
      </c>
      <c r="M574" s="27" t="s">
        <v>1137</v>
      </c>
      <c r="N574" s="134" t="s">
        <v>1174</v>
      </c>
      <c r="O574" s="130" t="s">
        <v>5125</v>
      </c>
      <c r="P574" s="244" t="s">
        <v>5125</v>
      </c>
      <c r="Q574" s="130" t="str">
        <f t="shared" si="111"/>
        <v>กลุ่มงานการพยาบาลชุมชน</v>
      </c>
      <c r="R574" s="130" t="str">
        <f t="shared" si="112"/>
        <v>ภารกิจด้านบริการปฐมภูมิ</v>
      </c>
      <c r="S574" s="130" t="s">
        <v>5380</v>
      </c>
      <c r="T574" s="130" t="s">
        <v>5379</v>
      </c>
      <c r="U574" s="76" t="s">
        <v>1302</v>
      </c>
      <c r="V574" s="133" t="s">
        <v>5695</v>
      </c>
      <c r="W574" s="130" t="s">
        <v>4064</v>
      </c>
      <c r="X574" s="79" t="s">
        <v>3935</v>
      </c>
      <c r="Y574" s="154">
        <v>5.0</v>
      </c>
      <c r="Z574" s="154">
        <v>5.0</v>
      </c>
      <c r="AA574" s="63">
        <v>66.0</v>
      </c>
      <c r="AB574" s="154">
        <v>295.0</v>
      </c>
      <c r="AC574" s="32">
        <v>1.0</v>
      </c>
      <c r="AD574" s="130"/>
      <c r="AE574" s="130"/>
      <c r="AF574" s="137">
        <v>5.0</v>
      </c>
      <c r="AG574" s="37">
        <v>1.501100081911E12</v>
      </c>
      <c r="AH574" s="61"/>
      <c r="AI574" s="44">
        <v>231358.0</v>
      </c>
    </row>
    <row r="575" ht="38.25" hidden="1" customHeight="1">
      <c r="A575" s="32">
        <v>569.0</v>
      </c>
      <c r="B575" s="218" t="s">
        <v>806</v>
      </c>
      <c r="C575" s="218" t="s">
        <v>5746</v>
      </c>
      <c r="D575" s="218" t="s">
        <v>5747</v>
      </c>
      <c r="E575" s="218" t="s">
        <v>5683</v>
      </c>
      <c r="F575" s="218" t="s">
        <v>5683</v>
      </c>
      <c r="G575" s="234" t="s">
        <v>4220</v>
      </c>
      <c r="H575" s="235" t="s">
        <v>5692</v>
      </c>
      <c r="I575" s="29">
        <v>194258.0</v>
      </c>
      <c r="J575" s="29" t="s">
        <v>1125</v>
      </c>
      <c r="K575" s="222" t="s">
        <v>1137</v>
      </c>
      <c r="L575" s="222">
        <v>1.0</v>
      </c>
      <c r="M575" s="27" t="s">
        <v>1137</v>
      </c>
      <c r="N575" s="236" t="s">
        <v>1174</v>
      </c>
      <c r="O575" s="238" t="s">
        <v>5748</v>
      </c>
      <c r="P575" s="238" t="s">
        <v>5748</v>
      </c>
      <c r="Q575" s="237" t="s">
        <v>5433</v>
      </c>
      <c r="R575" s="237" t="s">
        <v>3991</v>
      </c>
      <c r="S575" s="26" t="str">
        <f t="shared" ref="S575:S631" si="113">+T575</f>
        <v>กลุ่มงานการพยาบาลด้านการควบคุมและป้องกันการติดเชื้อ</v>
      </c>
      <c r="T575" s="218" t="s">
        <v>5433</v>
      </c>
      <c r="U575" s="26" t="s">
        <v>1302</v>
      </c>
      <c r="V575" s="25">
        <v>14.0</v>
      </c>
      <c r="W575" s="218" t="s">
        <v>3991</v>
      </c>
      <c r="X575" s="98" t="s">
        <v>1312</v>
      </c>
      <c r="Y575" s="31">
        <v>5.0</v>
      </c>
      <c r="Z575" s="31">
        <v>5.0</v>
      </c>
      <c r="AA575" s="31">
        <v>266.0</v>
      </c>
      <c r="AB575" s="31">
        <v>295.0</v>
      </c>
      <c r="AC575" s="32">
        <v>1.0</v>
      </c>
      <c r="AD575" s="26"/>
      <c r="AE575" s="26" t="s">
        <v>5749</v>
      </c>
      <c r="AF575" s="32">
        <v>5.0</v>
      </c>
      <c r="AG575" s="33">
        <v>1.500300091331E12</v>
      </c>
      <c r="AH575" s="33" t="s">
        <v>3673</v>
      </c>
      <c r="AI575" s="34" t="s">
        <v>5750</v>
      </c>
    </row>
    <row r="576" ht="38.25" hidden="1" customHeight="1">
      <c r="A576" s="32">
        <v>570.0</v>
      </c>
      <c r="B576" s="218"/>
      <c r="C576" s="218"/>
      <c r="D576" s="218"/>
      <c r="E576" s="218" t="s">
        <v>5683</v>
      </c>
      <c r="F576" s="218" t="s">
        <v>5683</v>
      </c>
      <c r="G576" s="234" t="s">
        <v>4220</v>
      </c>
      <c r="H576" s="235" t="s">
        <v>5692</v>
      </c>
      <c r="I576" s="29">
        <v>194088.0</v>
      </c>
      <c r="J576" s="29" t="s">
        <v>1125</v>
      </c>
      <c r="K576" s="222" t="s">
        <v>1137</v>
      </c>
      <c r="L576" s="222">
        <v>1.0</v>
      </c>
      <c r="M576" s="27" t="s">
        <v>1137</v>
      </c>
      <c r="N576" s="239" t="s">
        <v>3981</v>
      </c>
      <c r="O576" s="237" t="s">
        <v>4904</v>
      </c>
      <c r="P576" s="238" t="s">
        <v>4905</v>
      </c>
      <c r="Q576" s="237" t="s">
        <v>4874</v>
      </c>
      <c r="R576" s="237" t="s">
        <v>3991</v>
      </c>
      <c r="S576" s="26" t="str">
        <f t="shared" si="113"/>
        <v>กลุ่มงานการพยาบาลตรวจรักษาพิเศษ</v>
      </c>
      <c r="T576" s="218" t="s">
        <v>4028</v>
      </c>
      <c r="U576" s="26" t="s">
        <v>1302</v>
      </c>
      <c r="V576" s="25">
        <v>7.0</v>
      </c>
      <c r="W576" s="218" t="s">
        <v>3991</v>
      </c>
      <c r="X576" s="98" t="s">
        <v>1312</v>
      </c>
      <c r="Y576" s="31">
        <v>44.0</v>
      </c>
      <c r="Z576" s="31">
        <v>44.0</v>
      </c>
      <c r="AA576" s="31">
        <v>266.0</v>
      </c>
      <c r="AB576" s="31">
        <v>295.0</v>
      </c>
      <c r="AC576" s="32">
        <v>1.0</v>
      </c>
      <c r="AD576" s="64" t="s">
        <v>5751</v>
      </c>
      <c r="AE576" s="26"/>
      <c r="AF576" s="32">
        <v>5.0</v>
      </c>
      <c r="AG576" s="65"/>
      <c r="AH576" s="65"/>
      <c r="AI576" s="66"/>
    </row>
    <row r="577" ht="38.25" hidden="1" customHeight="1">
      <c r="A577" s="32">
        <v>571.0</v>
      </c>
      <c r="B577" s="218" t="s">
        <v>806</v>
      </c>
      <c r="C577" s="218" t="s">
        <v>5752</v>
      </c>
      <c r="D577" s="218" t="s">
        <v>5753</v>
      </c>
      <c r="E577" s="218" t="s">
        <v>5683</v>
      </c>
      <c r="F577" s="218" t="s">
        <v>5683</v>
      </c>
      <c r="G577" s="234" t="s">
        <v>4220</v>
      </c>
      <c r="H577" s="235" t="s">
        <v>5692</v>
      </c>
      <c r="I577" s="29">
        <v>219216.0</v>
      </c>
      <c r="J577" s="29" t="s">
        <v>1125</v>
      </c>
      <c r="K577" s="222" t="s">
        <v>1137</v>
      </c>
      <c r="L577" s="222">
        <v>1.0</v>
      </c>
      <c r="M577" s="27" t="s">
        <v>1137</v>
      </c>
      <c r="N577" s="236" t="s">
        <v>1174</v>
      </c>
      <c r="O577" s="237" t="s">
        <v>5754</v>
      </c>
      <c r="P577" s="238" t="s">
        <v>4857</v>
      </c>
      <c r="Q577" s="237" t="s">
        <v>4028</v>
      </c>
      <c r="R577" s="237" t="s">
        <v>3991</v>
      </c>
      <c r="S577" s="26" t="str">
        <f t="shared" si="113"/>
        <v>กลุ่มงานการพยาบาลตรวจรักษาพิเศษ</v>
      </c>
      <c r="T577" s="218" t="s">
        <v>4028</v>
      </c>
      <c r="U577" s="26" t="s">
        <v>1302</v>
      </c>
      <c r="V577" s="25">
        <v>15.0</v>
      </c>
      <c r="W577" s="218" t="s">
        <v>3991</v>
      </c>
      <c r="X577" s="98" t="s">
        <v>1312</v>
      </c>
      <c r="Y577" s="31">
        <v>24.0</v>
      </c>
      <c r="Z577" s="31">
        <v>24.0</v>
      </c>
      <c r="AA577" s="31">
        <v>266.0</v>
      </c>
      <c r="AB577" s="31">
        <v>295.0</v>
      </c>
      <c r="AC577" s="32">
        <v>1.0</v>
      </c>
      <c r="AD577" s="26"/>
      <c r="AE577" s="26"/>
      <c r="AF577" s="32">
        <v>5.0</v>
      </c>
      <c r="AG577" s="37">
        <v>3.520100930999E12</v>
      </c>
      <c r="AH577" s="37" t="s">
        <v>3003</v>
      </c>
      <c r="AI577" s="44">
        <v>227827.0</v>
      </c>
    </row>
    <row r="578" ht="38.25" hidden="1" customHeight="1">
      <c r="A578" s="32">
        <v>572.0</v>
      </c>
      <c r="B578" s="218" t="s">
        <v>806</v>
      </c>
      <c r="C578" s="218" t="s">
        <v>5755</v>
      </c>
      <c r="D578" s="218" t="s">
        <v>5756</v>
      </c>
      <c r="E578" s="218" t="s">
        <v>5683</v>
      </c>
      <c r="F578" s="218" t="s">
        <v>5683</v>
      </c>
      <c r="G578" s="234" t="s">
        <v>4226</v>
      </c>
      <c r="H578" s="235" t="s">
        <v>5757</v>
      </c>
      <c r="I578" s="29">
        <v>106587.0</v>
      </c>
      <c r="J578" s="29" t="s">
        <v>1125</v>
      </c>
      <c r="K578" s="222" t="s">
        <v>1137</v>
      </c>
      <c r="L578" s="222">
        <v>1.0</v>
      </c>
      <c r="M578" s="27" t="s">
        <v>1137</v>
      </c>
      <c r="N578" s="236" t="s">
        <v>1174</v>
      </c>
      <c r="O578" s="237" t="s">
        <v>5754</v>
      </c>
      <c r="P578" s="238" t="s">
        <v>4857</v>
      </c>
      <c r="Q578" s="237" t="s">
        <v>4028</v>
      </c>
      <c r="R578" s="237" t="s">
        <v>3991</v>
      </c>
      <c r="S578" s="26" t="str">
        <f t="shared" si="113"/>
        <v>กลุ่มงานการพยาบาลตรวจรักษาพิเศษ</v>
      </c>
      <c r="T578" s="218" t="s">
        <v>4028</v>
      </c>
      <c r="U578" s="26" t="s">
        <v>1302</v>
      </c>
      <c r="V578" s="25">
        <v>15.0</v>
      </c>
      <c r="W578" s="218" t="s">
        <v>3991</v>
      </c>
      <c r="X578" s="98" t="s">
        <v>1312</v>
      </c>
      <c r="Y578" s="31">
        <v>24.0</v>
      </c>
      <c r="Z578" s="31">
        <v>24.0</v>
      </c>
      <c r="AA578" s="31">
        <v>266.0</v>
      </c>
      <c r="AB578" s="31">
        <v>295.0</v>
      </c>
      <c r="AC578" s="32">
        <v>1.0</v>
      </c>
      <c r="AD578" s="26"/>
      <c r="AE578" s="26"/>
      <c r="AF578" s="32">
        <v>5.0</v>
      </c>
      <c r="AG578" s="33">
        <v>3.501400138957E12</v>
      </c>
      <c r="AH578" s="33" t="s">
        <v>3803</v>
      </c>
      <c r="AI578" s="34" t="s">
        <v>5758</v>
      </c>
    </row>
    <row r="579" ht="38.25" hidden="1" customHeight="1">
      <c r="A579" s="32">
        <v>573.0</v>
      </c>
      <c r="B579" s="218" t="s">
        <v>1037</v>
      </c>
      <c r="C579" s="218" t="s">
        <v>5759</v>
      </c>
      <c r="D579" s="218" t="s">
        <v>5760</v>
      </c>
      <c r="E579" s="218" t="s">
        <v>5683</v>
      </c>
      <c r="F579" s="218" t="s">
        <v>5683</v>
      </c>
      <c r="G579" s="234" t="s">
        <v>4220</v>
      </c>
      <c r="H579" s="235" t="s">
        <v>5692</v>
      </c>
      <c r="I579" s="29">
        <v>106282.0</v>
      </c>
      <c r="J579" s="29" t="s">
        <v>1125</v>
      </c>
      <c r="K579" s="222" t="s">
        <v>1137</v>
      </c>
      <c r="L579" s="222">
        <v>1.0</v>
      </c>
      <c r="M579" s="27" t="s">
        <v>1137</v>
      </c>
      <c r="N579" s="239" t="s">
        <v>3981</v>
      </c>
      <c r="O579" s="237" t="s">
        <v>4894</v>
      </c>
      <c r="P579" s="238" t="s">
        <v>5761</v>
      </c>
      <c r="Q579" s="237" t="s">
        <v>4028</v>
      </c>
      <c r="R579" s="237" t="s">
        <v>3991</v>
      </c>
      <c r="S579" s="26" t="str">
        <f t="shared" si="113"/>
        <v>กลุ่มงานการพยาบาลตรวจรักษาพิเศษ</v>
      </c>
      <c r="T579" s="218" t="s">
        <v>4028</v>
      </c>
      <c r="U579" s="26" t="s">
        <v>1302</v>
      </c>
      <c r="V579" s="25">
        <v>15.0</v>
      </c>
      <c r="W579" s="218" t="s">
        <v>3991</v>
      </c>
      <c r="X579" s="98" t="s">
        <v>1312</v>
      </c>
      <c r="Y579" s="31">
        <v>24.0</v>
      </c>
      <c r="Z579" s="31">
        <v>24.0</v>
      </c>
      <c r="AA579" s="31">
        <v>266.0</v>
      </c>
      <c r="AB579" s="31">
        <v>295.0</v>
      </c>
      <c r="AC579" s="32">
        <v>1.0</v>
      </c>
      <c r="AD579" s="26"/>
      <c r="AE579" s="26"/>
      <c r="AF579" s="32">
        <v>5.0</v>
      </c>
      <c r="AG579" s="33">
        <v>3.501400698766E12</v>
      </c>
      <c r="AH579" s="33" t="s">
        <v>3793</v>
      </c>
      <c r="AI579" s="40">
        <v>226119.0</v>
      </c>
    </row>
    <row r="580" ht="38.25" hidden="1" customHeight="1">
      <c r="A580" s="32">
        <v>574.0</v>
      </c>
      <c r="B580" s="218" t="s">
        <v>806</v>
      </c>
      <c r="C580" s="218" t="s">
        <v>5762</v>
      </c>
      <c r="D580" s="218" t="s">
        <v>5763</v>
      </c>
      <c r="E580" s="218" t="s">
        <v>5683</v>
      </c>
      <c r="F580" s="218" t="s">
        <v>5683</v>
      </c>
      <c r="G580" s="234" t="s">
        <v>4226</v>
      </c>
      <c r="H580" s="235" t="s">
        <v>5757</v>
      </c>
      <c r="I580" s="29">
        <v>106755.0</v>
      </c>
      <c r="J580" s="29" t="s">
        <v>1125</v>
      </c>
      <c r="K580" s="222" t="s">
        <v>1137</v>
      </c>
      <c r="L580" s="222">
        <v>1.0</v>
      </c>
      <c r="M580" s="27" t="s">
        <v>1137</v>
      </c>
      <c r="N580" s="239" t="s">
        <v>3981</v>
      </c>
      <c r="O580" s="237" t="s">
        <v>4894</v>
      </c>
      <c r="P580" s="238" t="s">
        <v>5761</v>
      </c>
      <c r="Q580" s="237" t="s">
        <v>4028</v>
      </c>
      <c r="R580" s="237" t="s">
        <v>3991</v>
      </c>
      <c r="S580" s="26" t="str">
        <f t="shared" si="113"/>
        <v>กลุ่มงานการพยาบาลตรวจรักษาพิเศษ</v>
      </c>
      <c r="T580" s="218" t="s">
        <v>4028</v>
      </c>
      <c r="U580" s="26" t="s">
        <v>1302</v>
      </c>
      <c r="V580" s="25">
        <v>15.0</v>
      </c>
      <c r="W580" s="218" t="s">
        <v>3991</v>
      </c>
      <c r="X580" s="98" t="s">
        <v>1312</v>
      </c>
      <c r="Y580" s="31">
        <v>24.0</v>
      </c>
      <c r="Z580" s="31">
        <v>24.0</v>
      </c>
      <c r="AA580" s="31">
        <v>266.0</v>
      </c>
      <c r="AB580" s="31">
        <v>295.0</v>
      </c>
      <c r="AC580" s="32">
        <v>1.0</v>
      </c>
      <c r="AD580" s="26"/>
      <c r="AE580" s="26"/>
      <c r="AF580" s="32">
        <v>5.0</v>
      </c>
      <c r="AG580" s="37">
        <v>3.501200058313E12</v>
      </c>
      <c r="AH580" s="37" t="s">
        <v>3807</v>
      </c>
      <c r="AI580" s="38" t="s">
        <v>5764</v>
      </c>
    </row>
    <row r="581" ht="38.25" hidden="1" customHeight="1">
      <c r="A581" s="32">
        <v>575.0</v>
      </c>
      <c r="B581" s="218" t="s">
        <v>1037</v>
      </c>
      <c r="C581" s="218" t="s">
        <v>4934</v>
      </c>
      <c r="D581" s="218" t="s">
        <v>5765</v>
      </c>
      <c r="E581" s="218" t="s">
        <v>5683</v>
      </c>
      <c r="F581" s="218" t="s">
        <v>5683</v>
      </c>
      <c r="G581" s="234" t="s">
        <v>4220</v>
      </c>
      <c r="H581" s="235" t="s">
        <v>5692</v>
      </c>
      <c r="I581" s="29">
        <v>194171.0</v>
      </c>
      <c r="J581" s="29" t="s">
        <v>1125</v>
      </c>
      <c r="K581" s="222" t="s">
        <v>1137</v>
      </c>
      <c r="L581" s="222">
        <v>1.0</v>
      </c>
      <c r="M581" s="27" t="s">
        <v>1137</v>
      </c>
      <c r="N581" s="236" t="s">
        <v>1174</v>
      </c>
      <c r="O581" s="237" t="s">
        <v>5766</v>
      </c>
      <c r="P581" s="238" t="s">
        <v>4027</v>
      </c>
      <c r="Q581" s="237" t="s">
        <v>4028</v>
      </c>
      <c r="R581" s="237" t="s">
        <v>3991</v>
      </c>
      <c r="S581" s="26" t="str">
        <f t="shared" si="113"/>
        <v>กลุ่มงานการพยาบาลตรวจรักษาพิเศษ</v>
      </c>
      <c r="T581" s="218" t="s">
        <v>4028</v>
      </c>
      <c r="U581" s="26" t="s">
        <v>1302</v>
      </c>
      <c r="V581" s="25">
        <v>15.0</v>
      </c>
      <c r="W581" s="218" t="s">
        <v>3991</v>
      </c>
      <c r="X581" s="98" t="s">
        <v>1312</v>
      </c>
      <c r="Y581" s="31">
        <v>24.0</v>
      </c>
      <c r="Z581" s="31">
        <v>24.0</v>
      </c>
      <c r="AA581" s="31">
        <v>266.0</v>
      </c>
      <c r="AB581" s="31">
        <v>295.0</v>
      </c>
      <c r="AC581" s="32">
        <v>1.0</v>
      </c>
      <c r="AD581" s="26"/>
      <c r="AE581" s="26"/>
      <c r="AF581" s="32">
        <v>5.0</v>
      </c>
      <c r="AG581" s="33">
        <v>1.540600056817E12</v>
      </c>
      <c r="AH581" s="33" t="s">
        <v>3766</v>
      </c>
      <c r="AI581" s="34" t="s">
        <v>5767</v>
      </c>
    </row>
    <row r="582" ht="38.25" hidden="1" customHeight="1">
      <c r="A582" s="32">
        <v>576.0</v>
      </c>
      <c r="B582" s="218" t="s">
        <v>1037</v>
      </c>
      <c r="C582" s="218" t="s">
        <v>5768</v>
      </c>
      <c r="D582" s="218" t="s">
        <v>5769</v>
      </c>
      <c r="E582" s="218" t="s">
        <v>5683</v>
      </c>
      <c r="F582" s="218" t="s">
        <v>5683</v>
      </c>
      <c r="G582" s="234" t="s">
        <v>4226</v>
      </c>
      <c r="H582" s="235" t="s">
        <v>5757</v>
      </c>
      <c r="I582" s="29">
        <v>173981.0</v>
      </c>
      <c r="J582" s="29" t="s">
        <v>1125</v>
      </c>
      <c r="K582" s="222" t="s">
        <v>1137</v>
      </c>
      <c r="L582" s="222">
        <v>1.0</v>
      </c>
      <c r="M582" s="27" t="s">
        <v>1137</v>
      </c>
      <c r="N582" s="236" t="s">
        <v>1174</v>
      </c>
      <c r="O582" s="237" t="s">
        <v>5766</v>
      </c>
      <c r="P582" s="238" t="s">
        <v>4027</v>
      </c>
      <c r="Q582" s="237" t="s">
        <v>4028</v>
      </c>
      <c r="R582" s="237" t="s">
        <v>3991</v>
      </c>
      <c r="S582" s="26" t="str">
        <f t="shared" si="113"/>
        <v>กลุ่มงานการพยาบาลตรวจรักษาพิเศษ</v>
      </c>
      <c r="T582" s="218" t="s">
        <v>4028</v>
      </c>
      <c r="U582" s="26" t="s">
        <v>1302</v>
      </c>
      <c r="V582" s="25">
        <v>15.0</v>
      </c>
      <c r="W582" s="218" t="s">
        <v>3991</v>
      </c>
      <c r="X582" s="98" t="s">
        <v>1312</v>
      </c>
      <c r="Y582" s="31">
        <v>24.0</v>
      </c>
      <c r="Z582" s="31">
        <v>24.0</v>
      </c>
      <c r="AA582" s="31">
        <v>266.0</v>
      </c>
      <c r="AB582" s="31">
        <v>295.0</v>
      </c>
      <c r="AC582" s="32">
        <v>1.0</v>
      </c>
      <c r="AD582" s="26"/>
      <c r="AE582" s="26"/>
      <c r="AF582" s="32">
        <v>5.0</v>
      </c>
      <c r="AG582" s="37">
        <v>3.501400144884E12</v>
      </c>
      <c r="AH582" s="37" t="s">
        <v>3770</v>
      </c>
      <c r="AI582" s="38" t="s">
        <v>5770</v>
      </c>
    </row>
    <row r="583" ht="38.25" hidden="1" customHeight="1">
      <c r="A583" s="32">
        <v>577.0</v>
      </c>
      <c r="B583" s="218" t="s">
        <v>806</v>
      </c>
      <c r="C583" s="218" t="s">
        <v>5771</v>
      </c>
      <c r="D583" s="218" t="s">
        <v>5772</v>
      </c>
      <c r="E583" s="218" t="s">
        <v>5683</v>
      </c>
      <c r="F583" s="218" t="s">
        <v>5683</v>
      </c>
      <c r="G583" s="234" t="s">
        <v>4220</v>
      </c>
      <c r="H583" s="226" t="s">
        <v>5692</v>
      </c>
      <c r="I583" s="29">
        <v>194174.0</v>
      </c>
      <c r="J583" s="29" t="s">
        <v>1125</v>
      </c>
      <c r="K583" s="222" t="s">
        <v>1137</v>
      </c>
      <c r="L583" s="222">
        <v>1.0</v>
      </c>
      <c r="M583" s="27" t="s">
        <v>1137</v>
      </c>
      <c r="N583" s="236" t="s">
        <v>1174</v>
      </c>
      <c r="O583" s="237" t="s">
        <v>5766</v>
      </c>
      <c r="P583" s="238" t="s">
        <v>4027</v>
      </c>
      <c r="Q583" s="237" t="s">
        <v>4028</v>
      </c>
      <c r="R583" s="237" t="s">
        <v>3991</v>
      </c>
      <c r="S583" s="26" t="str">
        <f t="shared" si="113"/>
        <v>กลุ่มงานการพยาบาลตรวจรักษาพิเศษ</v>
      </c>
      <c r="T583" s="218" t="s">
        <v>4028</v>
      </c>
      <c r="U583" s="26" t="s">
        <v>1302</v>
      </c>
      <c r="V583" s="25">
        <v>15.0</v>
      </c>
      <c r="W583" s="218" t="s">
        <v>3991</v>
      </c>
      <c r="X583" s="98" t="s">
        <v>1312</v>
      </c>
      <c r="Y583" s="31">
        <v>24.0</v>
      </c>
      <c r="Z583" s="31">
        <v>24.0</v>
      </c>
      <c r="AA583" s="31">
        <v>266.0</v>
      </c>
      <c r="AB583" s="31">
        <v>295.0</v>
      </c>
      <c r="AC583" s="32">
        <v>1.0</v>
      </c>
      <c r="AD583" s="26"/>
      <c r="AE583" s="26"/>
      <c r="AF583" s="32">
        <v>5.0</v>
      </c>
      <c r="AG583" s="33">
        <v>1.509900763142E12</v>
      </c>
      <c r="AH583" s="33" t="s">
        <v>3609</v>
      </c>
      <c r="AI583" s="40">
        <v>230963.0</v>
      </c>
    </row>
    <row r="584" ht="38.25" hidden="1" customHeight="1">
      <c r="A584" s="32">
        <v>578.0</v>
      </c>
      <c r="B584" s="218" t="s">
        <v>1037</v>
      </c>
      <c r="C584" s="218" t="s">
        <v>5773</v>
      </c>
      <c r="D584" s="218" t="s">
        <v>5774</v>
      </c>
      <c r="E584" s="218" t="s">
        <v>5683</v>
      </c>
      <c r="F584" s="218" t="s">
        <v>5683</v>
      </c>
      <c r="G584" s="234" t="s">
        <v>4249</v>
      </c>
      <c r="H584" s="235" t="s">
        <v>1110</v>
      </c>
      <c r="I584" s="29">
        <v>15798.0</v>
      </c>
      <c r="J584" s="29" t="s">
        <v>1125</v>
      </c>
      <c r="K584" s="222" t="s">
        <v>1137</v>
      </c>
      <c r="L584" s="222">
        <v>1.0</v>
      </c>
      <c r="M584" s="27" t="s">
        <v>1137</v>
      </c>
      <c r="N584" s="236" t="s">
        <v>1174</v>
      </c>
      <c r="O584" s="224" t="s">
        <v>5766</v>
      </c>
      <c r="P584" s="238" t="s">
        <v>4027</v>
      </c>
      <c r="Q584" s="237" t="s">
        <v>4028</v>
      </c>
      <c r="R584" s="237" t="s">
        <v>3991</v>
      </c>
      <c r="S584" s="26" t="str">
        <f t="shared" si="113"/>
        <v>กลุ่มงานการพยาบาลตรวจรักษาพิเศษ</v>
      </c>
      <c r="T584" s="218" t="s">
        <v>4028</v>
      </c>
      <c r="U584" s="26" t="s">
        <v>1302</v>
      </c>
      <c r="V584" s="25">
        <v>15.0</v>
      </c>
      <c r="W584" s="218" t="s">
        <v>3991</v>
      </c>
      <c r="X584" s="98" t="s">
        <v>1312</v>
      </c>
      <c r="Y584" s="31">
        <v>24.0</v>
      </c>
      <c r="Z584" s="31">
        <v>24.0</v>
      </c>
      <c r="AA584" s="31">
        <v>266.0</v>
      </c>
      <c r="AB584" s="31">
        <v>295.0</v>
      </c>
      <c r="AC584" s="32">
        <v>1.0</v>
      </c>
      <c r="AD584" s="26"/>
      <c r="AE584" s="26"/>
      <c r="AF584" s="32">
        <v>5.0</v>
      </c>
      <c r="AG584" s="37">
        <v>1.560300136041E12</v>
      </c>
      <c r="AH584" s="37" t="s">
        <v>2373</v>
      </c>
      <c r="AI584" s="38" t="s">
        <v>5775</v>
      </c>
    </row>
    <row r="585" ht="38.25" hidden="1" customHeight="1">
      <c r="A585" s="32">
        <v>579.0</v>
      </c>
      <c r="B585" s="218" t="s">
        <v>1037</v>
      </c>
      <c r="C585" s="218" t="s">
        <v>5776</v>
      </c>
      <c r="D585" s="218" t="s">
        <v>5777</v>
      </c>
      <c r="E585" s="218" t="s">
        <v>5683</v>
      </c>
      <c r="F585" s="218" t="s">
        <v>5683</v>
      </c>
      <c r="G585" s="234" t="s">
        <v>4249</v>
      </c>
      <c r="H585" s="235" t="s">
        <v>1110</v>
      </c>
      <c r="I585" s="29">
        <v>106756.0</v>
      </c>
      <c r="J585" s="29" t="s">
        <v>1125</v>
      </c>
      <c r="K585" s="222" t="s">
        <v>1137</v>
      </c>
      <c r="L585" s="222">
        <v>1.0</v>
      </c>
      <c r="M585" s="27" t="s">
        <v>1137</v>
      </c>
      <c r="N585" s="236" t="s">
        <v>1174</v>
      </c>
      <c r="O585" s="224" t="s">
        <v>5766</v>
      </c>
      <c r="P585" s="238" t="s">
        <v>4027</v>
      </c>
      <c r="Q585" s="237" t="s">
        <v>4028</v>
      </c>
      <c r="R585" s="237" t="s">
        <v>3991</v>
      </c>
      <c r="S585" s="26" t="str">
        <f t="shared" si="113"/>
        <v>กลุ่มงานการพยาบาลตรวจรักษาพิเศษ</v>
      </c>
      <c r="T585" s="218" t="s">
        <v>4028</v>
      </c>
      <c r="U585" s="26" t="s">
        <v>1302</v>
      </c>
      <c r="V585" s="25">
        <v>15.0</v>
      </c>
      <c r="W585" s="218" t="s">
        <v>3991</v>
      </c>
      <c r="X585" s="98" t="s">
        <v>1312</v>
      </c>
      <c r="Y585" s="31">
        <v>24.0</v>
      </c>
      <c r="Z585" s="31">
        <v>24.0</v>
      </c>
      <c r="AA585" s="31">
        <v>266.0</v>
      </c>
      <c r="AB585" s="31">
        <v>295.0</v>
      </c>
      <c r="AC585" s="32">
        <v>1.0</v>
      </c>
      <c r="AD585" s="26"/>
      <c r="AE585" s="26"/>
      <c r="AF585" s="32">
        <v>5.0</v>
      </c>
      <c r="AG585" s="33">
        <v>1.500800081181E12</v>
      </c>
      <c r="AH585" s="33" t="s">
        <v>2671</v>
      </c>
      <c r="AI585" s="34" t="s">
        <v>5778</v>
      </c>
    </row>
    <row r="586" ht="38.25" hidden="1" customHeight="1">
      <c r="A586" s="32">
        <v>580.0</v>
      </c>
      <c r="B586" s="218" t="s">
        <v>806</v>
      </c>
      <c r="C586" s="218" t="s">
        <v>5779</v>
      </c>
      <c r="D586" s="218" t="s">
        <v>5727</v>
      </c>
      <c r="E586" s="218" t="s">
        <v>5683</v>
      </c>
      <c r="F586" s="218" t="s">
        <v>5683</v>
      </c>
      <c r="G586" s="234" t="s">
        <v>4226</v>
      </c>
      <c r="H586" s="235" t="s">
        <v>5757</v>
      </c>
      <c r="I586" s="29">
        <v>107156.0</v>
      </c>
      <c r="J586" s="29" t="s">
        <v>1125</v>
      </c>
      <c r="K586" s="222" t="s">
        <v>1137</v>
      </c>
      <c r="L586" s="222">
        <v>1.0</v>
      </c>
      <c r="M586" s="27" t="s">
        <v>1137</v>
      </c>
      <c r="N586" s="236" t="s">
        <v>1174</v>
      </c>
      <c r="O586" s="224" t="s">
        <v>5766</v>
      </c>
      <c r="P586" s="238" t="s">
        <v>4027</v>
      </c>
      <c r="Q586" s="237" t="s">
        <v>4028</v>
      </c>
      <c r="R586" s="237" t="s">
        <v>3991</v>
      </c>
      <c r="S586" s="26" t="str">
        <f t="shared" si="113"/>
        <v>กลุ่มงานการพยาบาลตรวจรักษาพิเศษ</v>
      </c>
      <c r="T586" s="218" t="s">
        <v>4028</v>
      </c>
      <c r="U586" s="26" t="s">
        <v>1302</v>
      </c>
      <c r="V586" s="25">
        <v>15.0</v>
      </c>
      <c r="W586" s="218" t="s">
        <v>3991</v>
      </c>
      <c r="X586" s="98" t="s">
        <v>1312</v>
      </c>
      <c r="Y586" s="31">
        <v>24.0</v>
      </c>
      <c r="Z586" s="31">
        <v>24.0</v>
      </c>
      <c r="AA586" s="31">
        <v>266.0</v>
      </c>
      <c r="AB586" s="31">
        <v>295.0</v>
      </c>
      <c r="AC586" s="32">
        <v>1.0</v>
      </c>
      <c r="AD586" s="26"/>
      <c r="AE586" s="26" t="s">
        <v>5780</v>
      </c>
      <c r="AF586" s="32">
        <v>5.0</v>
      </c>
      <c r="AG586" s="37">
        <v>3.580300021194E12</v>
      </c>
      <c r="AH586" s="37" t="s">
        <v>3784</v>
      </c>
      <c r="AI586" s="38" t="s">
        <v>5781</v>
      </c>
    </row>
    <row r="587" ht="38.25" hidden="1" customHeight="1">
      <c r="A587" s="32">
        <v>581.0</v>
      </c>
      <c r="B587" s="26"/>
      <c r="C587" s="26"/>
      <c r="D587" s="26"/>
      <c r="E587" s="218" t="s">
        <v>5683</v>
      </c>
      <c r="F587" s="218" t="s">
        <v>5683</v>
      </c>
      <c r="G587" s="234" t="s">
        <v>4226</v>
      </c>
      <c r="H587" s="235" t="s">
        <v>5782</v>
      </c>
      <c r="I587" s="29">
        <v>107147.0</v>
      </c>
      <c r="J587" s="29" t="s">
        <v>1125</v>
      </c>
      <c r="K587" s="222" t="s">
        <v>1137</v>
      </c>
      <c r="L587" s="222">
        <v>1.0</v>
      </c>
      <c r="M587" s="27" t="s">
        <v>1137</v>
      </c>
      <c r="N587" s="236" t="s">
        <v>1174</v>
      </c>
      <c r="O587" s="26" t="s">
        <v>5173</v>
      </c>
      <c r="P587" s="238" t="s">
        <v>5174</v>
      </c>
      <c r="Q587" s="237" t="s">
        <v>5115</v>
      </c>
      <c r="R587" s="237" t="s">
        <v>3991</v>
      </c>
      <c r="S587" s="26" t="str">
        <f t="shared" si="113"/>
        <v>กลุ่มงานการพยาบาลผู้คลอด</v>
      </c>
      <c r="T587" s="218" t="s">
        <v>5115</v>
      </c>
      <c r="U587" s="26" t="s">
        <v>1302</v>
      </c>
      <c r="V587" s="25">
        <v>4.0</v>
      </c>
      <c r="W587" s="218" t="s">
        <v>3991</v>
      </c>
      <c r="X587" s="98" t="s">
        <v>1312</v>
      </c>
      <c r="Y587" s="31">
        <v>9.0</v>
      </c>
      <c r="Z587" s="31">
        <v>9.0</v>
      </c>
      <c r="AA587" s="31">
        <v>266.0</v>
      </c>
      <c r="AB587" s="31">
        <v>295.0</v>
      </c>
      <c r="AC587" s="32">
        <v>0.0</v>
      </c>
      <c r="AD587" s="219" t="s">
        <v>5783</v>
      </c>
      <c r="AE587" s="26"/>
      <c r="AF587" s="32">
        <v>5.0</v>
      </c>
      <c r="AG587" s="65"/>
      <c r="AH587" s="65"/>
      <c r="AI587" s="66"/>
    </row>
    <row r="588" ht="38.25" hidden="1" customHeight="1">
      <c r="A588" s="32">
        <v>582.0</v>
      </c>
      <c r="B588" s="218" t="s">
        <v>1037</v>
      </c>
      <c r="C588" s="218" t="s">
        <v>5784</v>
      </c>
      <c r="D588" s="218" t="s">
        <v>5785</v>
      </c>
      <c r="E588" s="218" t="s">
        <v>5683</v>
      </c>
      <c r="F588" s="218" t="s">
        <v>5683</v>
      </c>
      <c r="G588" s="234" t="s">
        <v>4249</v>
      </c>
      <c r="H588" s="235" t="s">
        <v>1110</v>
      </c>
      <c r="I588" s="29">
        <v>219234.0</v>
      </c>
      <c r="J588" s="29" t="s">
        <v>1125</v>
      </c>
      <c r="K588" s="222" t="s">
        <v>1137</v>
      </c>
      <c r="L588" s="222">
        <v>1.0</v>
      </c>
      <c r="M588" s="27" t="s">
        <v>1137</v>
      </c>
      <c r="N588" s="236" t="s">
        <v>1174</v>
      </c>
      <c r="O588" s="26" t="s">
        <v>5173</v>
      </c>
      <c r="P588" s="238" t="s">
        <v>5174</v>
      </c>
      <c r="Q588" s="237" t="s">
        <v>5115</v>
      </c>
      <c r="R588" s="237" t="s">
        <v>3991</v>
      </c>
      <c r="S588" s="26" t="str">
        <f t="shared" si="113"/>
        <v>กลุ่มงานการพยาบาลผู้คลอด</v>
      </c>
      <c r="T588" s="218" t="s">
        <v>5115</v>
      </c>
      <c r="U588" s="26" t="s">
        <v>1302</v>
      </c>
      <c r="V588" s="25">
        <v>4.0</v>
      </c>
      <c r="W588" s="218" t="s">
        <v>3991</v>
      </c>
      <c r="X588" s="98" t="s">
        <v>1312</v>
      </c>
      <c r="Y588" s="31">
        <v>9.0</v>
      </c>
      <c r="Z588" s="31">
        <v>9.0</v>
      </c>
      <c r="AA588" s="31">
        <v>266.0</v>
      </c>
      <c r="AB588" s="31">
        <v>295.0</v>
      </c>
      <c r="AC588" s="32">
        <v>1.0</v>
      </c>
      <c r="AD588" s="26"/>
      <c r="AE588" s="26"/>
      <c r="AF588" s="32">
        <v>5.0</v>
      </c>
      <c r="AG588" s="37">
        <v>1.560300275238E12</v>
      </c>
      <c r="AH588" s="37" t="s">
        <v>2561</v>
      </c>
      <c r="AI588" s="44">
        <v>233643.0</v>
      </c>
    </row>
    <row r="589" ht="38.25" hidden="1" customHeight="1">
      <c r="A589" s="32">
        <v>583.0</v>
      </c>
      <c r="B589" s="218" t="s">
        <v>806</v>
      </c>
      <c r="C589" s="218" t="s">
        <v>4300</v>
      </c>
      <c r="D589" s="218" t="s">
        <v>5786</v>
      </c>
      <c r="E589" s="218" t="s">
        <v>5683</v>
      </c>
      <c r="F589" s="218" t="s">
        <v>5683</v>
      </c>
      <c r="G589" s="234" t="s">
        <v>4226</v>
      </c>
      <c r="H589" s="235" t="s">
        <v>5782</v>
      </c>
      <c r="I589" s="29">
        <v>107315.0</v>
      </c>
      <c r="J589" s="29" t="s">
        <v>1125</v>
      </c>
      <c r="K589" s="222" t="s">
        <v>1137</v>
      </c>
      <c r="L589" s="222">
        <v>1.0</v>
      </c>
      <c r="M589" s="27" t="s">
        <v>1137</v>
      </c>
      <c r="N589" s="236" t="s">
        <v>1174</v>
      </c>
      <c r="O589" s="26" t="s">
        <v>5173</v>
      </c>
      <c r="P589" s="238" t="s">
        <v>5174</v>
      </c>
      <c r="Q589" s="237" t="s">
        <v>5115</v>
      </c>
      <c r="R589" s="237" t="s">
        <v>3991</v>
      </c>
      <c r="S589" s="26" t="str">
        <f t="shared" si="113"/>
        <v>กลุ่มงานการพยาบาลผู้คลอด</v>
      </c>
      <c r="T589" s="218" t="s">
        <v>5115</v>
      </c>
      <c r="U589" s="26" t="s">
        <v>1302</v>
      </c>
      <c r="V589" s="25">
        <v>4.0</v>
      </c>
      <c r="W589" s="218" t="s">
        <v>3991</v>
      </c>
      <c r="X589" s="98" t="s">
        <v>1312</v>
      </c>
      <c r="Y589" s="31">
        <v>9.0</v>
      </c>
      <c r="Z589" s="31">
        <v>9.0</v>
      </c>
      <c r="AA589" s="31">
        <v>266.0</v>
      </c>
      <c r="AB589" s="31">
        <v>295.0</v>
      </c>
      <c r="AC589" s="32">
        <v>1.0</v>
      </c>
      <c r="AD589" s="26"/>
      <c r="AE589" s="26" t="s">
        <v>5787</v>
      </c>
      <c r="AF589" s="32">
        <v>5.0</v>
      </c>
      <c r="AG589" s="33">
        <v>3.560700318488E12</v>
      </c>
      <c r="AH589" s="33" t="s">
        <v>3594</v>
      </c>
      <c r="AI589" s="34" t="s">
        <v>5788</v>
      </c>
    </row>
    <row r="590" ht="38.25" hidden="1" customHeight="1">
      <c r="A590" s="32">
        <v>584.0</v>
      </c>
      <c r="B590" s="218" t="s">
        <v>1037</v>
      </c>
      <c r="C590" s="218" t="s">
        <v>4499</v>
      </c>
      <c r="D590" s="218" t="s">
        <v>5484</v>
      </c>
      <c r="E590" s="218" t="s">
        <v>5683</v>
      </c>
      <c r="F590" s="218" t="s">
        <v>5683</v>
      </c>
      <c r="G590" s="234" t="s">
        <v>4220</v>
      </c>
      <c r="H590" s="226" t="s">
        <v>5692</v>
      </c>
      <c r="I590" s="29">
        <v>194152.0</v>
      </c>
      <c r="J590" s="29" t="s">
        <v>1125</v>
      </c>
      <c r="K590" s="222" t="s">
        <v>1137</v>
      </c>
      <c r="L590" s="222">
        <v>1.0</v>
      </c>
      <c r="M590" s="27" t="s">
        <v>1137</v>
      </c>
      <c r="N590" s="236" t="s">
        <v>1174</v>
      </c>
      <c r="O590" s="26" t="s">
        <v>5173</v>
      </c>
      <c r="P590" s="238" t="s">
        <v>5174</v>
      </c>
      <c r="Q590" s="237" t="s">
        <v>5115</v>
      </c>
      <c r="R590" s="237" t="s">
        <v>3991</v>
      </c>
      <c r="S590" s="26" t="str">
        <f t="shared" si="113"/>
        <v>กลุ่มงานการพยาบาลผู้คลอด</v>
      </c>
      <c r="T590" s="218" t="s">
        <v>5115</v>
      </c>
      <c r="U590" s="26" t="s">
        <v>1302</v>
      </c>
      <c r="V590" s="25">
        <v>4.0</v>
      </c>
      <c r="W590" s="218" t="s">
        <v>3991</v>
      </c>
      <c r="X590" s="98" t="s">
        <v>1312</v>
      </c>
      <c r="Y590" s="31">
        <v>9.0</v>
      </c>
      <c r="Z590" s="31">
        <v>9.0</v>
      </c>
      <c r="AA590" s="31">
        <v>266.0</v>
      </c>
      <c r="AB590" s="31">
        <v>295.0</v>
      </c>
      <c r="AC590" s="32">
        <v>1.0</v>
      </c>
      <c r="AD590" s="26"/>
      <c r="AE590" s="26"/>
      <c r="AF590" s="32">
        <v>5.0</v>
      </c>
      <c r="AG590" s="33">
        <v>1.509900806585E12</v>
      </c>
      <c r="AH590" s="33" t="s">
        <v>3604</v>
      </c>
      <c r="AI590" s="40">
        <v>230906.0</v>
      </c>
    </row>
    <row r="591" ht="38.25" hidden="1" customHeight="1">
      <c r="A591" s="32">
        <v>585.0</v>
      </c>
      <c r="B591" s="218" t="s">
        <v>1037</v>
      </c>
      <c r="C591" s="218" t="s">
        <v>5789</v>
      </c>
      <c r="D591" s="218" t="s">
        <v>5790</v>
      </c>
      <c r="E591" s="218" t="s">
        <v>5683</v>
      </c>
      <c r="F591" s="218" t="s">
        <v>5683</v>
      </c>
      <c r="G591" s="234" t="s">
        <v>4249</v>
      </c>
      <c r="H591" s="226" t="s">
        <v>1110</v>
      </c>
      <c r="I591" s="29">
        <v>219174.0</v>
      </c>
      <c r="J591" s="29" t="s">
        <v>1125</v>
      </c>
      <c r="K591" s="222" t="s">
        <v>1137</v>
      </c>
      <c r="L591" s="222">
        <v>1.0</v>
      </c>
      <c r="M591" s="27" t="s">
        <v>1137</v>
      </c>
      <c r="N591" s="236" t="s">
        <v>1174</v>
      </c>
      <c r="O591" s="26" t="s">
        <v>5173</v>
      </c>
      <c r="P591" s="238" t="s">
        <v>5174</v>
      </c>
      <c r="Q591" s="237" t="s">
        <v>5115</v>
      </c>
      <c r="R591" s="237" t="s">
        <v>3991</v>
      </c>
      <c r="S591" s="26" t="str">
        <f t="shared" si="113"/>
        <v>กลุ่มงานการพยาบาลผู้คลอด</v>
      </c>
      <c r="T591" s="218" t="s">
        <v>5115</v>
      </c>
      <c r="U591" s="26" t="s">
        <v>1302</v>
      </c>
      <c r="V591" s="25">
        <v>4.0</v>
      </c>
      <c r="W591" s="218" t="s">
        <v>3991</v>
      </c>
      <c r="X591" s="98" t="s">
        <v>1312</v>
      </c>
      <c r="Y591" s="31">
        <v>9.0</v>
      </c>
      <c r="Z591" s="31">
        <v>9.0</v>
      </c>
      <c r="AA591" s="31">
        <v>266.0</v>
      </c>
      <c r="AB591" s="31">
        <v>295.0</v>
      </c>
      <c r="AC591" s="32">
        <v>1.0</v>
      </c>
      <c r="AD591" s="26"/>
      <c r="AE591" s="26"/>
      <c r="AF591" s="32">
        <v>5.0</v>
      </c>
      <c r="AG591" s="37">
        <v>1.509901447406E12</v>
      </c>
      <c r="AH591" s="37" t="s">
        <v>2828</v>
      </c>
      <c r="AI591" s="38" t="s">
        <v>5791</v>
      </c>
    </row>
    <row r="592" ht="38.25" hidden="1" customHeight="1">
      <c r="A592" s="32">
        <v>586.0</v>
      </c>
      <c r="B592" s="218" t="s">
        <v>1037</v>
      </c>
      <c r="C592" s="218" t="s">
        <v>5792</v>
      </c>
      <c r="D592" s="218" t="s">
        <v>5793</v>
      </c>
      <c r="E592" s="218" t="s">
        <v>5683</v>
      </c>
      <c r="F592" s="218" t="s">
        <v>5683</v>
      </c>
      <c r="G592" s="234" t="s">
        <v>4249</v>
      </c>
      <c r="H592" s="235" t="s">
        <v>1110</v>
      </c>
      <c r="I592" s="29">
        <v>219233.0</v>
      </c>
      <c r="J592" s="29" t="s">
        <v>1125</v>
      </c>
      <c r="K592" s="222" t="s">
        <v>1137</v>
      </c>
      <c r="L592" s="222">
        <v>1.0</v>
      </c>
      <c r="M592" s="27" t="s">
        <v>1137</v>
      </c>
      <c r="N592" s="239" t="s">
        <v>3981</v>
      </c>
      <c r="O592" s="237" t="s">
        <v>5685</v>
      </c>
      <c r="P592" s="238" t="s">
        <v>5183</v>
      </c>
      <c r="Q592" s="237" t="s">
        <v>5184</v>
      </c>
      <c r="R592" s="237" t="s">
        <v>3991</v>
      </c>
      <c r="S592" s="26" t="str">
        <f t="shared" si="113"/>
        <v>กลุ่มงานการพยาบาลผู้คลอด</v>
      </c>
      <c r="T592" s="218" t="s">
        <v>5115</v>
      </c>
      <c r="U592" s="26" t="s">
        <v>1302</v>
      </c>
      <c r="V592" s="25">
        <v>5.0</v>
      </c>
      <c r="W592" s="218" t="s">
        <v>3991</v>
      </c>
      <c r="X592" s="98" t="s">
        <v>1312</v>
      </c>
      <c r="Y592" s="31">
        <v>25.0</v>
      </c>
      <c r="Z592" s="31">
        <v>25.0</v>
      </c>
      <c r="AA592" s="31">
        <v>266.0</v>
      </c>
      <c r="AB592" s="31">
        <v>266.0</v>
      </c>
      <c r="AC592" s="32">
        <v>1.0</v>
      </c>
      <c r="AD592" s="26"/>
      <c r="AE592" s="26"/>
      <c r="AF592" s="32">
        <v>6.0</v>
      </c>
      <c r="AG592" s="37">
        <v>1.509901688365E12</v>
      </c>
      <c r="AH592" s="37" t="s">
        <v>2556</v>
      </c>
      <c r="AI592" s="44">
        <v>233575.0</v>
      </c>
    </row>
    <row r="593" ht="38.25" hidden="1" customHeight="1">
      <c r="A593" s="32">
        <v>587.0</v>
      </c>
      <c r="B593" s="218" t="s">
        <v>1037</v>
      </c>
      <c r="C593" s="218" t="s">
        <v>5794</v>
      </c>
      <c r="D593" s="218" t="s">
        <v>5795</v>
      </c>
      <c r="E593" s="218" t="s">
        <v>5683</v>
      </c>
      <c r="F593" s="218" t="s">
        <v>5683</v>
      </c>
      <c r="G593" s="234" t="s">
        <v>4249</v>
      </c>
      <c r="H593" s="235" t="s">
        <v>1110</v>
      </c>
      <c r="I593" s="29">
        <v>194071.0</v>
      </c>
      <c r="J593" s="29" t="s">
        <v>1125</v>
      </c>
      <c r="K593" s="222" t="s">
        <v>1137</v>
      </c>
      <c r="L593" s="222">
        <v>1.0</v>
      </c>
      <c r="M593" s="27" t="s">
        <v>1137</v>
      </c>
      <c r="N593" s="239" t="s">
        <v>3981</v>
      </c>
      <c r="O593" s="237" t="s">
        <v>5173</v>
      </c>
      <c r="P593" s="238" t="s">
        <v>4918</v>
      </c>
      <c r="Q593" s="237" t="s">
        <v>4919</v>
      </c>
      <c r="R593" s="237" t="s">
        <v>3991</v>
      </c>
      <c r="S593" s="26" t="str">
        <f t="shared" si="113"/>
        <v>กลุ่มงานการพยาบาลผู้คลอด</v>
      </c>
      <c r="T593" s="218" t="s">
        <v>5115</v>
      </c>
      <c r="U593" s="26" t="s">
        <v>1302</v>
      </c>
      <c r="V593" s="25">
        <v>9.0</v>
      </c>
      <c r="W593" s="218" t="s">
        <v>3991</v>
      </c>
      <c r="X593" s="98" t="s">
        <v>1312</v>
      </c>
      <c r="Y593" s="31">
        <v>9.0</v>
      </c>
      <c r="Z593" s="31">
        <v>12.0</v>
      </c>
      <c r="AA593" s="31">
        <v>266.0</v>
      </c>
      <c r="AB593" s="31">
        <v>295.0</v>
      </c>
      <c r="AC593" s="32">
        <v>1.0</v>
      </c>
      <c r="AD593" s="26"/>
      <c r="AE593" s="26"/>
      <c r="AF593" s="32">
        <v>5.0</v>
      </c>
      <c r="AG593" s="33">
        <v>1.500700111291E12</v>
      </c>
      <c r="AH593" s="33" t="s">
        <v>3599</v>
      </c>
      <c r="AI593" s="40">
        <v>231477.0</v>
      </c>
    </row>
    <row r="594" ht="38.25" hidden="1" customHeight="1">
      <c r="A594" s="32">
        <v>588.0</v>
      </c>
      <c r="B594" s="218" t="s">
        <v>806</v>
      </c>
      <c r="C594" s="218" t="s">
        <v>4836</v>
      </c>
      <c r="D594" s="218" t="s">
        <v>5796</v>
      </c>
      <c r="E594" s="218" t="s">
        <v>5683</v>
      </c>
      <c r="F594" s="218" t="s">
        <v>5683</v>
      </c>
      <c r="G594" s="234" t="s">
        <v>4226</v>
      </c>
      <c r="H594" s="235" t="s">
        <v>5782</v>
      </c>
      <c r="I594" s="29">
        <v>107135.0</v>
      </c>
      <c r="J594" s="29" t="s">
        <v>1125</v>
      </c>
      <c r="K594" s="222" t="s">
        <v>1137</v>
      </c>
      <c r="L594" s="222">
        <v>1.0</v>
      </c>
      <c r="M594" s="27" t="s">
        <v>1137</v>
      </c>
      <c r="N594" s="236" t="s">
        <v>1174</v>
      </c>
      <c r="O594" s="238" t="s">
        <v>5797</v>
      </c>
      <c r="P594" s="238" t="s">
        <v>5797</v>
      </c>
      <c r="Q594" s="76" t="s">
        <v>3991</v>
      </c>
      <c r="R594" s="237" t="s">
        <v>3991</v>
      </c>
      <c r="S594" s="26" t="str">
        <f t="shared" si="113"/>
        <v>กลุ่มงานการพยาบาลผู้คลอด</v>
      </c>
      <c r="T594" s="218" t="s">
        <v>5115</v>
      </c>
      <c r="U594" s="26" t="s">
        <v>1302</v>
      </c>
      <c r="V594" s="25">
        <v>4.0</v>
      </c>
      <c r="W594" s="218" t="s">
        <v>3991</v>
      </c>
      <c r="X594" s="98" t="s">
        <v>1312</v>
      </c>
      <c r="Y594" s="26"/>
      <c r="Z594" s="26"/>
      <c r="AA594" s="31">
        <v>266.0</v>
      </c>
      <c r="AB594" s="31">
        <v>295.0</v>
      </c>
      <c r="AC594" s="32">
        <v>1.0</v>
      </c>
      <c r="AD594" s="26"/>
      <c r="AE594" s="218" t="s">
        <v>5798</v>
      </c>
      <c r="AF594" s="32">
        <v>5.0</v>
      </c>
      <c r="AG594" s="33">
        <v>3.50990058595E12</v>
      </c>
      <c r="AH594" s="33" t="s">
        <v>3619</v>
      </c>
      <c r="AI594" s="34" t="s">
        <v>5799</v>
      </c>
    </row>
    <row r="595" ht="38.25" hidden="1" customHeight="1">
      <c r="A595" s="32">
        <v>589.0</v>
      </c>
      <c r="B595" s="218" t="s">
        <v>1037</v>
      </c>
      <c r="C595" s="218" t="s">
        <v>5800</v>
      </c>
      <c r="D595" s="218" t="s">
        <v>5801</v>
      </c>
      <c r="E595" s="218" t="s">
        <v>5683</v>
      </c>
      <c r="F595" s="218" t="s">
        <v>5683</v>
      </c>
      <c r="G595" s="234" t="s">
        <v>4226</v>
      </c>
      <c r="H595" s="235" t="s">
        <v>5692</v>
      </c>
      <c r="I595" s="29">
        <v>219176.0</v>
      </c>
      <c r="J595" s="29" t="s">
        <v>1125</v>
      </c>
      <c r="K595" s="222" t="s">
        <v>1137</v>
      </c>
      <c r="L595" s="222">
        <v>1.0</v>
      </c>
      <c r="M595" s="27" t="s">
        <v>1137</v>
      </c>
      <c r="N595" s="236" t="s">
        <v>1174</v>
      </c>
      <c r="O595" s="237" t="s">
        <v>5118</v>
      </c>
      <c r="P595" s="238" t="s">
        <v>5118</v>
      </c>
      <c r="Q595" s="237" t="s">
        <v>4879</v>
      </c>
      <c r="R595" s="237" t="s">
        <v>3991</v>
      </c>
      <c r="S595" s="26" t="str">
        <f t="shared" si="113"/>
        <v>กลุ่มงานการพยาบาลผู้ป่วยกุมารเวชกรรม</v>
      </c>
      <c r="T595" s="218" t="s">
        <v>4879</v>
      </c>
      <c r="U595" s="26" t="s">
        <v>1302</v>
      </c>
      <c r="V595" s="25">
        <v>11.0</v>
      </c>
      <c r="W595" s="218" t="s">
        <v>3991</v>
      </c>
      <c r="X595" s="98" t="s">
        <v>1312</v>
      </c>
      <c r="Y595" s="31">
        <v>10.0</v>
      </c>
      <c r="Z595" s="31">
        <v>10.0</v>
      </c>
      <c r="AA595" s="31">
        <v>266.0</v>
      </c>
      <c r="AB595" s="31">
        <v>295.0</v>
      </c>
      <c r="AC595" s="32">
        <v>1.0</v>
      </c>
      <c r="AD595" s="26"/>
      <c r="AE595" s="26"/>
      <c r="AF595" s="32">
        <v>5.0</v>
      </c>
      <c r="AG595" s="37">
        <v>3.501200599039E12</v>
      </c>
      <c r="AH595" s="37" t="s">
        <v>495</v>
      </c>
      <c r="AI595" s="38" t="s">
        <v>5802</v>
      </c>
    </row>
    <row r="596" ht="38.25" hidden="1" customHeight="1">
      <c r="A596" s="32">
        <v>590.0</v>
      </c>
      <c r="B596" s="218" t="s">
        <v>1037</v>
      </c>
      <c r="C596" s="218" t="s">
        <v>5803</v>
      </c>
      <c r="D596" s="218" t="s">
        <v>5804</v>
      </c>
      <c r="E596" s="218" t="s">
        <v>5683</v>
      </c>
      <c r="F596" s="218" t="s">
        <v>5683</v>
      </c>
      <c r="G596" s="234" t="s">
        <v>4220</v>
      </c>
      <c r="H596" s="235" t="s">
        <v>5692</v>
      </c>
      <c r="I596" s="29">
        <v>219184.0</v>
      </c>
      <c r="J596" s="29" t="s">
        <v>1125</v>
      </c>
      <c r="K596" s="222" t="s">
        <v>1137</v>
      </c>
      <c r="L596" s="222">
        <v>1.0</v>
      </c>
      <c r="M596" s="27" t="s">
        <v>1137</v>
      </c>
      <c r="N596" s="239" t="s">
        <v>3981</v>
      </c>
      <c r="O596" s="237" t="s">
        <v>5805</v>
      </c>
      <c r="P596" s="238" t="s">
        <v>4873</v>
      </c>
      <c r="Q596" s="237" t="s">
        <v>4874</v>
      </c>
      <c r="R596" s="237" t="s">
        <v>3991</v>
      </c>
      <c r="S596" s="26" t="str">
        <f t="shared" si="113"/>
        <v>กลุ่มงานการพยาบาลผู้ป่วยกุมารเวชกรรม</v>
      </c>
      <c r="T596" s="218" t="s">
        <v>4879</v>
      </c>
      <c r="U596" s="26" t="s">
        <v>1302</v>
      </c>
      <c r="V596" s="25">
        <v>7.0</v>
      </c>
      <c r="W596" s="218" t="s">
        <v>3991</v>
      </c>
      <c r="X596" s="98" t="s">
        <v>1312</v>
      </c>
      <c r="Y596" s="31">
        <v>44.0</v>
      </c>
      <c r="Z596" s="31">
        <v>44.0</v>
      </c>
      <c r="AA596" s="31">
        <v>266.0</v>
      </c>
      <c r="AB596" s="31">
        <v>295.0</v>
      </c>
      <c r="AC596" s="32">
        <v>1.0</v>
      </c>
      <c r="AD596" s="26"/>
      <c r="AE596" s="26"/>
      <c r="AF596" s="32">
        <v>5.0</v>
      </c>
      <c r="AG596" s="37">
        <v>1.500800065305E12</v>
      </c>
      <c r="AH596" s="37" t="s">
        <v>2864</v>
      </c>
      <c r="AI596" s="38" t="s">
        <v>5806</v>
      </c>
    </row>
    <row r="597" ht="38.25" hidden="1" customHeight="1">
      <c r="A597" s="32">
        <v>591.0</v>
      </c>
      <c r="B597" s="64" t="s">
        <v>1037</v>
      </c>
      <c r="C597" s="64" t="s">
        <v>5807</v>
      </c>
      <c r="D597" s="64" t="s">
        <v>5808</v>
      </c>
      <c r="E597" s="218" t="s">
        <v>5683</v>
      </c>
      <c r="F597" s="218" t="s">
        <v>5683</v>
      </c>
      <c r="G597" s="234" t="s">
        <v>4249</v>
      </c>
      <c r="H597" s="226" t="s">
        <v>1110</v>
      </c>
      <c r="I597" s="29">
        <v>107673.0</v>
      </c>
      <c r="J597" s="29" t="s">
        <v>1125</v>
      </c>
      <c r="K597" s="222" t="s">
        <v>1137</v>
      </c>
      <c r="L597" s="222">
        <v>1.0</v>
      </c>
      <c r="M597" s="27" t="s">
        <v>1137</v>
      </c>
      <c r="N597" s="236" t="s">
        <v>1174</v>
      </c>
      <c r="O597" s="237" t="s">
        <v>5809</v>
      </c>
      <c r="P597" s="238" t="s">
        <v>4958</v>
      </c>
      <c r="Q597" s="237" t="s">
        <v>4959</v>
      </c>
      <c r="R597" s="237" t="s">
        <v>3991</v>
      </c>
      <c r="S597" s="26" t="str">
        <f t="shared" si="113"/>
        <v>กลุ่มงานการพยาบาลผู้ป่วยกุมารเวชกรรม</v>
      </c>
      <c r="T597" s="218" t="s">
        <v>4879</v>
      </c>
      <c r="U597" s="26" t="s">
        <v>1302</v>
      </c>
      <c r="V597" s="25">
        <v>3.0</v>
      </c>
      <c r="W597" s="218" t="s">
        <v>3991</v>
      </c>
      <c r="X597" s="98" t="s">
        <v>1312</v>
      </c>
      <c r="Y597" s="31">
        <v>32.0</v>
      </c>
      <c r="Z597" s="31">
        <v>32.0</v>
      </c>
      <c r="AA597" s="31">
        <v>266.0</v>
      </c>
      <c r="AB597" s="31">
        <v>295.0</v>
      </c>
      <c r="AC597" s="89">
        <v>0.0</v>
      </c>
      <c r="AD597" s="218"/>
      <c r="AE597" s="26"/>
      <c r="AF597" s="32">
        <v>5.0</v>
      </c>
      <c r="AG597" s="65"/>
      <c r="AH597" s="65"/>
      <c r="AI597" s="66"/>
    </row>
    <row r="598" ht="38.25" hidden="1" customHeight="1">
      <c r="A598" s="32">
        <v>592.0</v>
      </c>
      <c r="B598" s="218" t="s">
        <v>1037</v>
      </c>
      <c r="C598" s="218" t="s">
        <v>5810</v>
      </c>
      <c r="D598" s="218" t="s">
        <v>5811</v>
      </c>
      <c r="E598" s="218" t="s">
        <v>5683</v>
      </c>
      <c r="F598" s="218" t="s">
        <v>5683</v>
      </c>
      <c r="G598" s="234" t="s">
        <v>4249</v>
      </c>
      <c r="H598" s="235" t="s">
        <v>1110</v>
      </c>
      <c r="I598" s="29">
        <v>219231.0</v>
      </c>
      <c r="J598" s="29" t="s">
        <v>1125</v>
      </c>
      <c r="K598" s="222" t="s">
        <v>1137</v>
      </c>
      <c r="L598" s="222">
        <v>1.0</v>
      </c>
      <c r="M598" s="27" t="s">
        <v>1137</v>
      </c>
      <c r="N598" s="239" t="s">
        <v>3981</v>
      </c>
      <c r="O598" s="237" t="s">
        <v>4877</v>
      </c>
      <c r="P598" s="238" t="s">
        <v>4878</v>
      </c>
      <c r="Q598" s="224" t="s">
        <v>4874</v>
      </c>
      <c r="R598" s="237" t="s">
        <v>3991</v>
      </c>
      <c r="S598" s="26" t="str">
        <f t="shared" si="113"/>
        <v>กลุ่มงานการพยาบาลผู้ป่วยกุมารเวชกรรม</v>
      </c>
      <c r="T598" s="218" t="s">
        <v>4879</v>
      </c>
      <c r="U598" s="26" t="s">
        <v>1302</v>
      </c>
      <c r="V598" s="25">
        <v>7.0</v>
      </c>
      <c r="W598" s="218" t="s">
        <v>3991</v>
      </c>
      <c r="X598" s="98" t="s">
        <v>1312</v>
      </c>
      <c r="Y598" s="31">
        <v>44.0</v>
      </c>
      <c r="Z598" s="31">
        <v>44.0</v>
      </c>
      <c r="AA598" s="31">
        <v>266.0</v>
      </c>
      <c r="AB598" s="31">
        <v>295.0</v>
      </c>
      <c r="AC598" s="32">
        <v>1.0</v>
      </c>
      <c r="AD598" s="26"/>
      <c r="AE598" s="26"/>
      <c r="AF598" s="32">
        <v>5.0</v>
      </c>
      <c r="AG598" s="33">
        <v>1.500700167734E12</v>
      </c>
      <c r="AH598" s="33" t="s">
        <v>2878</v>
      </c>
      <c r="AI598" s="34" t="s">
        <v>5812</v>
      </c>
    </row>
    <row r="599" ht="38.25" hidden="1" customHeight="1">
      <c r="A599" s="32">
        <v>593.0</v>
      </c>
      <c r="B599" s="218" t="s">
        <v>1037</v>
      </c>
      <c r="C599" s="218" t="s">
        <v>5813</v>
      </c>
      <c r="D599" s="218" t="s">
        <v>5814</v>
      </c>
      <c r="E599" s="218" t="s">
        <v>5683</v>
      </c>
      <c r="F599" s="218" t="s">
        <v>5683</v>
      </c>
      <c r="G599" s="234" t="s">
        <v>4249</v>
      </c>
      <c r="H599" s="235" t="s">
        <v>1110</v>
      </c>
      <c r="I599" s="29">
        <v>107063.0</v>
      </c>
      <c r="J599" s="29" t="s">
        <v>1125</v>
      </c>
      <c r="K599" s="222" t="s">
        <v>1137</v>
      </c>
      <c r="L599" s="222">
        <v>1.0</v>
      </c>
      <c r="M599" s="27" t="s">
        <v>1137</v>
      </c>
      <c r="N599" s="239" t="s">
        <v>3981</v>
      </c>
      <c r="O599" s="237" t="s">
        <v>4882</v>
      </c>
      <c r="P599" s="238" t="s">
        <v>4883</v>
      </c>
      <c r="Q599" s="237" t="s">
        <v>4874</v>
      </c>
      <c r="R599" s="237" t="s">
        <v>3991</v>
      </c>
      <c r="S599" s="26" t="str">
        <f t="shared" si="113"/>
        <v>กลุ่มงานการพยาบาลผู้ป่วยกุมารเวชกรรม</v>
      </c>
      <c r="T599" s="218" t="s">
        <v>4879</v>
      </c>
      <c r="U599" s="26" t="s">
        <v>1302</v>
      </c>
      <c r="V599" s="25">
        <v>7.0</v>
      </c>
      <c r="W599" s="218" t="s">
        <v>3991</v>
      </c>
      <c r="X599" s="98" t="s">
        <v>1312</v>
      </c>
      <c r="Y599" s="31">
        <v>44.0</v>
      </c>
      <c r="Z599" s="31">
        <v>44.0</v>
      </c>
      <c r="AA599" s="31">
        <v>266.0</v>
      </c>
      <c r="AB599" s="31">
        <v>295.0</v>
      </c>
      <c r="AC599" s="32">
        <v>1.0</v>
      </c>
      <c r="AD599" s="26"/>
      <c r="AE599" s="26"/>
      <c r="AF599" s="32">
        <v>5.0</v>
      </c>
      <c r="AG599" s="37">
        <v>1.509901713696E12</v>
      </c>
      <c r="AH599" s="37" t="s">
        <v>2586</v>
      </c>
      <c r="AI599" s="38" t="s">
        <v>5815</v>
      </c>
    </row>
    <row r="600" ht="38.25" hidden="1" customHeight="1">
      <c r="A600" s="32">
        <v>594.0</v>
      </c>
      <c r="B600" s="218" t="s">
        <v>1037</v>
      </c>
      <c r="C600" s="218" t="s">
        <v>5816</v>
      </c>
      <c r="D600" s="218" t="s">
        <v>5817</v>
      </c>
      <c r="E600" s="218" t="s">
        <v>5683</v>
      </c>
      <c r="F600" s="218" t="s">
        <v>5683</v>
      </c>
      <c r="G600" s="234" t="s">
        <v>4249</v>
      </c>
      <c r="H600" s="226" t="s">
        <v>1110</v>
      </c>
      <c r="I600" s="29">
        <v>219210.0</v>
      </c>
      <c r="J600" s="29" t="s">
        <v>1125</v>
      </c>
      <c r="K600" s="222" t="s">
        <v>1137</v>
      </c>
      <c r="L600" s="222">
        <v>1.0</v>
      </c>
      <c r="M600" s="27" t="s">
        <v>1137</v>
      </c>
      <c r="N600" s="239" t="s">
        <v>3981</v>
      </c>
      <c r="O600" s="237" t="s">
        <v>4928</v>
      </c>
      <c r="P600" s="238" t="s">
        <v>4929</v>
      </c>
      <c r="Q600" s="245" t="s">
        <v>4858</v>
      </c>
      <c r="R600" s="237" t="s">
        <v>3991</v>
      </c>
      <c r="S600" s="26" t="str">
        <f t="shared" si="113"/>
        <v>กลุ่มงานการพยาบาลผู้ป่วยกุมารเวชกรรม</v>
      </c>
      <c r="T600" s="218" t="s">
        <v>4879</v>
      </c>
      <c r="U600" s="26" t="s">
        <v>1302</v>
      </c>
      <c r="V600" s="25">
        <v>8.0</v>
      </c>
      <c r="W600" s="218" t="s">
        <v>3991</v>
      </c>
      <c r="X600" s="98" t="s">
        <v>1312</v>
      </c>
      <c r="Y600" s="31">
        <v>14.0</v>
      </c>
      <c r="Z600" s="31">
        <v>14.0</v>
      </c>
      <c r="AA600" s="31">
        <v>266.0</v>
      </c>
      <c r="AB600" s="31">
        <v>295.0</v>
      </c>
      <c r="AC600" s="32">
        <v>1.0</v>
      </c>
      <c r="AD600" s="26"/>
      <c r="AE600" s="26"/>
      <c r="AF600" s="32">
        <v>5.0</v>
      </c>
      <c r="AG600" s="37">
        <v>1.560600102185E12</v>
      </c>
      <c r="AH600" s="37" t="s">
        <v>2566</v>
      </c>
      <c r="AI600" s="44">
        <v>233519.0</v>
      </c>
    </row>
    <row r="601" ht="38.25" hidden="1" customHeight="1">
      <c r="A601" s="32">
        <v>595.0</v>
      </c>
      <c r="B601" s="218" t="s">
        <v>1037</v>
      </c>
      <c r="C601" s="218" t="s">
        <v>5818</v>
      </c>
      <c r="D601" s="218" t="s">
        <v>5819</v>
      </c>
      <c r="E601" s="218" t="s">
        <v>5683</v>
      </c>
      <c r="F601" s="218" t="s">
        <v>5683</v>
      </c>
      <c r="G601" s="234" t="s">
        <v>4249</v>
      </c>
      <c r="H601" s="235" t="s">
        <v>1110</v>
      </c>
      <c r="I601" s="29">
        <v>219173.0</v>
      </c>
      <c r="J601" s="29" t="s">
        <v>1125</v>
      </c>
      <c r="K601" s="222" t="s">
        <v>1137</v>
      </c>
      <c r="L601" s="222">
        <v>1.0</v>
      </c>
      <c r="M601" s="27" t="s">
        <v>1137</v>
      </c>
      <c r="N601" s="236" t="s">
        <v>1174</v>
      </c>
      <c r="O601" s="237" t="s">
        <v>5809</v>
      </c>
      <c r="P601" s="238" t="s">
        <v>4958</v>
      </c>
      <c r="Q601" s="237" t="s">
        <v>4959</v>
      </c>
      <c r="R601" s="237" t="s">
        <v>3991</v>
      </c>
      <c r="S601" s="26" t="str">
        <f t="shared" si="113"/>
        <v>กลุ่มงานการพยาบาลผู้ป่วยกุมารเวชกรรม</v>
      </c>
      <c r="T601" s="218" t="s">
        <v>4879</v>
      </c>
      <c r="U601" s="26" t="s">
        <v>1302</v>
      </c>
      <c r="V601" s="25">
        <v>3.0</v>
      </c>
      <c r="W601" s="218" t="s">
        <v>3991</v>
      </c>
      <c r="X601" s="98" t="s">
        <v>1312</v>
      </c>
      <c r="Y601" s="31">
        <v>32.0</v>
      </c>
      <c r="Z601" s="31">
        <v>32.0</v>
      </c>
      <c r="AA601" s="31">
        <v>266.0</v>
      </c>
      <c r="AB601" s="31">
        <v>295.0</v>
      </c>
      <c r="AC601" s="89">
        <v>2.0</v>
      </c>
      <c r="AD601" s="218"/>
      <c r="AE601" s="26"/>
      <c r="AF601" s="32">
        <v>5.0</v>
      </c>
      <c r="AG601" s="37">
        <v>1.579900614791E12</v>
      </c>
      <c r="AH601" s="37" t="s">
        <v>2900</v>
      </c>
      <c r="AI601" s="38" t="s">
        <v>5820</v>
      </c>
    </row>
    <row r="602" ht="38.25" hidden="1" customHeight="1">
      <c r="A602" s="32">
        <v>596.0</v>
      </c>
      <c r="B602" s="218" t="s">
        <v>806</v>
      </c>
      <c r="C602" s="218" t="s">
        <v>5821</v>
      </c>
      <c r="D602" s="218" t="s">
        <v>5822</v>
      </c>
      <c r="E602" s="218" t="s">
        <v>5683</v>
      </c>
      <c r="F602" s="218" t="s">
        <v>5683</v>
      </c>
      <c r="G602" s="234" t="s">
        <v>4226</v>
      </c>
      <c r="H602" s="235" t="s">
        <v>5692</v>
      </c>
      <c r="I602" s="29">
        <v>115254.0</v>
      </c>
      <c r="J602" s="29" t="s">
        <v>1125</v>
      </c>
      <c r="K602" s="222" t="s">
        <v>1137</v>
      </c>
      <c r="L602" s="222">
        <v>1.0</v>
      </c>
      <c r="M602" s="27" t="s">
        <v>1137</v>
      </c>
      <c r="N602" s="239" t="s">
        <v>3981</v>
      </c>
      <c r="O602" s="237" t="s">
        <v>5809</v>
      </c>
      <c r="P602" s="238" t="s">
        <v>4958</v>
      </c>
      <c r="Q602" s="237" t="s">
        <v>4959</v>
      </c>
      <c r="R602" s="237" t="s">
        <v>3991</v>
      </c>
      <c r="S602" s="26" t="str">
        <f t="shared" si="113"/>
        <v>กลุ่มงานการพยาบาลผู้ป่วยกุมารเวชกรรม</v>
      </c>
      <c r="T602" s="218" t="s">
        <v>4879</v>
      </c>
      <c r="U602" s="26" t="s">
        <v>1302</v>
      </c>
      <c r="V602" s="25">
        <v>3.0</v>
      </c>
      <c r="W602" s="218" t="s">
        <v>3991</v>
      </c>
      <c r="X602" s="98" t="s">
        <v>1312</v>
      </c>
      <c r="Y602" s="31">
        <v>32.0</v>
      </c>
      <c r="Z602" s="31">
        <v>32.0</v>
      </c>
      <c r="AA602" s="31">
        <v>266.0</v>
      </c>
      <c r="AB602" s="31">
        <v>295.0</v>
      </c>
      <c r="AC602" s="89">
        <v>1.0</v>
      </c>
      <c r="AD602" s="26"/>
      <c r="AE602" s="26"/>
      <c r="AF602" s="32">
        <v>5.0</v>
      </c>
      <c r="AG602" s="33">
        <v>3.501000312836E12</v>
      </c>
      <c r="AH602" s="33" t="s">
        <v>3664</v>
      </c>
      <c r="AI602" s="34" t="s">
        <v>5823</v>
      </c>
    </row>
    <row r="603" ht="38.25" hidden="1" customHeight="1">
      <c r="A603" s="32">
        <v>597.0</v>
      </c>
      <c r="B603" s="26"/>
      <c r="C603" s="26"/>
      <c r="D603" s="26"/>
      <c r="E603" s="218" t="s">
        <v>5683</v>
      </c>
      <c r="F603" s="218" t="s">
        <v>5683</v>
      </c>
      <c r="G603" s="234" t="s">
        <v>4226</v>
      </c>
      <c r="H603" s="235" t="s">
        <v>5692</v>
      </c>
      <c r="I603" s="29">
        <v>183758.0</v>
      </c>
      <c r="J603" s="29" t="s">
        <v>1125</v>
      </c>
      <c r="K603" s="222" t="s">
        <v>1137</v>
      </c>
      <c r="L603" s="222">
        <v>1.0</v>
      </c>
      <c r="M603" s="27" t="s">
        <v>1137</v>
      </c>
      <c r="N603" s="236" t="s">
        <v>1174</v>
      </c>
      <c r="O603" s="237" t="s">
        <v>5809</v>
      </c>
      <c r="P603" s="238" t="s">
        <v>4958</v>
      </c>
      <c r="Q603" s="237" t="s">
        <v>4959</v>
      </c>
      <c r="R603" s="237" t="s">
        <v>3991</v>
      </c>
      <c r="S603" s="26" t="str">
        <f t="shared" si="113"/>
        <v>กลุ่มงานการพยาบาลผู้ป่วยโสต ศอ นาสิก จักษุ</v>
      </c>
      <c r="T603" s="218" t="s">
        <v>4939</v>
      </c>
      <c r="U603" s="26" t="s">
        <v>1302</v>
      </c>
      <c r="V603" s="25">
        <v>3.0</v>
      </c>
      <c r="W603" s="218" t="s">
        <v>3991</v>
      </c>
      <c r="X603" s="98" t="s">
        <v>1312</v>
      </c>
      <c r="Y603" s="31">
        <v>32.0</v>
      </c>
      <c r="Z603" s="31">
        <v>32.0</v>
      </c>
      <c r="AA603" s="31">
        <v>266.0</v>
      </c>
      <c r="AB603" s="31">
        <v>295.0</v>
      </c>
      <c r="AC603" s="32">
        <v>0.0</v>
      </c>
      <c r="AD603" s="219" t="s">
        <v>5824</v>
      </c>
      <c r="AE603" s="26"/>
      <c r="AF603" s="32">
        <v>5.0</v>
      </c>
      <c r="AG603" s="65"/>
      <c r="AH603" s="65"/>
      <c r="AI603" s="66"/>
    </row>
    <row r="604" ht="38.25" hidden="1" customHeight="1">
      <c r="A604" s="32">
        <v>598.0</v>
      </c>
      <c r="B604" s="218" t="s">
        <v>1037</v>
      </c>
      <c r="C604" s="218" t="s">
        <v>5000</v>
      </c>
      <c r="D604" s="218" t="s">
        <v>5059</v>
      </c>
      <c r="E604" s="218" t="s">
        <v>5683</v>
      </c>
      <c r="F604" s="218" t="s">
        <v>5683</v>
      </c>
      <c r="G604" s="234" t="s">
        <v>4249</v>
      </c>
      <c r="H604" s="235" t="s">
        <v>1110</v>
      </c>
      <c r="I604" s="29">
        <v>219226.0</v>
      </c>
      <c r="J604" s="29" t="s">
        <v>1125</v>
      </c>
      <c r="K604" s="222" t="s">
        <v>1137</v>
      </c>
      <c r="L604" s="222">
        <v>1.0</v>
      </c>
      <c r="M604" s="27" t="s">
        <v>1137</v>
      </c>
      <c r="N604" s="239" t="s">
        <v>3981</v>
      </c>
      <c r="O604" s="237" t="s">
        <v>5118</v>
      </c>
      <c r="P604" s="238" t="s">
        <v>5118</v>
      </c>
      <c r="Q604" s="237" t="s">
        <v>4879</v>
      </c>
      <c r="R604" s="237" t="s">
        <v>3991</v>
      </c>
      <c r="S604" s="26" t="str">
        <f t="shared" si="113"/>
        <v>กลุ่มงานการพยาบาลผู้ป่วยหนัก</v>
      </c>
      <c r="T604" s="218" t="s">
        <v>4959</v>
      </c>
      <c r="U604" s="26" t="s">
        <v>1302</v>
      </c>
      <c r="V604" s="25">
        <v>11.0</v>
      </c>
      <c r="W604" s="218" t="s">
        <v>3991</v>
      </c>
      <c r="X604" s="98" t="s">
        <v>1312</v>
      </c>
      <c r="Y604" s="31">
        <v>10.0</v>
      </c>
      <c r="Z604" s="31">
        <v>10.0</v>
      </c>
      <c r="AA604" s="31">
        <v>266.0</v>
      </c>
      <c r="AB604" s="31">
        <v>295.0</v>
      </c>
      <c r="AC604" s="32">
        <v>1.0</v>
      </c>
      <c r="AD604" s="26"/>
      <c r="AE604" s="26"/>
      <c r="AF604" s="32">
        <v>5.0</v>
      </c>
      <c r="AG604" s="33">
        <v>1.509901184197E12</v>
      </c>
      <c r="AH604" s="33" t="s">
        <v>2811</v>
      </c>
      <c r="AI604" s="40">
        <v>232270.0</v>
      </c>
    </row>
    <row r="605" ht="38.25" customHeight="1">
      <c r="A605" s="32">
        <v>599.0</v>
      </c>
      <c r="B605" s="246" t="s">
        <v>1037</v>
      </c>
      <c r="C605" s="246" t="s">
        <v>5825</v>
      </c>
      <c r="D605" s="246" t="s">
        <v>5826</v>
      </c>
      <c r="E605" s="246" t="s">
        <v>5683</v>
      </c>
      <c r="F605" s="246" t="s">
        <v>5683</v>
      </c>
      <c r="G605" s="131" t="s">
        <v>4220</v>
      </c>
      <c r="H605" s="247" t="s">
        <v>5692</v>
      </c>
      <c r="I605" s="150">
        <v>219182.0</v>
      </c>
      <c r="J605" s="150" t="s">
        <v>1125</v>
      </c>
      <c r="K605" s="248" t="s">
        <v>1137</v>
      </c>
      <c r="L605" s="248">
        <v>1.0</v>
      </c>
      <c r="M605" s="27" t="s">
        <v>1137</v>
      </c>
      <c r="N605" s="155" t="s">
        <v>3981</v>
      </c>
      <c r="O605" s="249" t="s">
        <v>5827</v>
      </c>
      <c r="P605" s="250" t="s">
        <v>4522</v>
      </c>
      <c r="Q605" s="249" t="s">
        <v>5379</v>
      </c>
      <c r="R605" s="130" t="s">
        <v>4064</v>
      </c>
      <c r="S605" s="148" t="str">
        <f t="shared" si="113"/>
        <v>กลุ่มงานการพยาบาลผู้ป่วยกุมารเวชกรรม</v>
      </c>
      <c r="T605" s="246" t="s">
        <v>4879</v>
      </c>
      <c r="U605" s="26" t="s">
        <v>1302</v>
      </c>
      <c r="V605" s="151" t="s">
        <v>5828</v>
      </c>
      <c r="W605" s="246" t="s">
        <v>3991</v>
      </c>
      <c r="X605" s="25" t="s">
        <v>3935</v>
      </c>
      <c r="Y605" s="154">
        <v>5.0</v>
      </c>
      <c r="Z605" s="154">
        <v>5.0</v>
      </c>
      <c r="AA605" s="63">
        <v>66.0</v>
      </c>
      <c r="AB605" s="154">
        <v>295.0</v>
      </c>
      <c r="AC605" s="32">
        <v>1.0</v>
      </c>
      <c r="AD605" s="148"/>
      <c r="AE605" s="148"/>
      <c r="AF605" s="137">
        <v>5.0</v>
      </c>
      <c r="AG605" s="37">
        <v>1.589900003717E12</v>
      </c>
      <c r="AH605" s="37" t="s">
        <v>3624</v>
      </c>
      <c r="AI605" s="44">
        <v>229405.0</v>
      </c>
    </row>
    <row r="606" ht="38.25" hidden="1" customHeight="1">
      <c r="A606" s="32">
        <v>600.0</v>
      </c>
      <c r="B606" s="246" t="s">
        <v>1037</v>
      </c>
      <c r="C606" s="246" t="s">
        <v>5829</v>
      </c>
      <c r="D606" s="246" t="s">
        <v>5830</v>
      </c>
      <c r="E606" s="246" t="s">
        <v>5683</v>
      </c>
      <c r="F606" s="246" t="s">
        <v>5683</v>
      </c>
      <c r="G606" s="131" t="s">
        <v>4220</v>
      </c>
      <c r="H606" s="247" t="s">
        <v>5692</v>
      </c>
      <c r="I606" s="150">
        <v>219183.0</v>
      </c>
      <c r="J606" s="150" t="s">
        <v>1125</v>
      </c>
      <c r="K606" s="248" t="s">
        <v>1137</v>
      </c>
      <c r="L606" s="248">
        <v>1.0</v>
      </c>
      <c r="M606" s="27" t="s">
        <v>1137</v>
      </c>
      <c r="N606" s="155" t="s">
        <v>3981</v>
      </c>
      <c r="O606" s="249" t="s">
        <v>5831</v>
      </c>
      <c r="P606" s="250" t="s">
        <v>4534</v>
      </c>
      <c r="Q606" s="249" t="s">
        <v>4534</v>
      </c>
      <c r="R606" s="130" t="s">
        <v>4064</v>
      </c>
      <c r="S606" s="148" t="str">
        <f t="shared" si="113"/>
        <v>กลุ่มงานการพยาบาลผู้ป่วยกุมารเวชกรรม</v>
      </c>
      <c r="T606" s="246" t="s">
        <v>4879</v>
      </c>
      <c r="U606" s="26" t="s">
        <v>1302</v>
      </c>
      <c r="V606" s="151" t="s">
        <v>5832</v>
      </c>
      <c r="W606" s="246" t="s">
        <v>3991</v>
      </c>
      <c r="X606" s="25" t="s">
        <v>3935</v>
      </c>
      <c r="Y606" s="154">
        <v>5.0</v>
      </c>
      <c r="Z606" s="154">
        <v>17.0</v>
      </c>
      <c r="AA606" s="63">
        <v>66.0</v>
      </c>
      <c r="AB606" s="154">
        <v>295.0</v>
      </c>
      <c r="AC606" s="32">
        <v>1.0</v>
      </c>
      <c r="AD606" s="251"/>
      <c r="AE606" s="251"/>
      <c r="AF606" s="252">
        <v>5.0</v>
      </c>
      <c r="AG606" s="33">
        <v>1.500700166622E12</v>
      </c>
      <c r="AH606" s="33" t="s">
        <v>2905</v>
      </c>
      <c r="AI606" s="34" t="s">
        <v>5833</v>
      </c>
    </row>
    <row r="607" ht="38.25" hidden="1" customHeight="1">
      <c r="A607" s="32">
        <v>601.0</v>
      </c>
      <c r="B607" s="218" t="s">
        <v>1037</v>
      </c>
      <c r="C607" s="218" t="s">
        <v>5834</v>
      </c>
      <c r="D607" s="218" t="s">
        <v>5835</v>
      </c>
      <c r="E607" s="218" t="s">
        <v>5683</v>
      </c>
      <c r="F607" s="218" t="s">
        <v>5683</v>
      </c>
      <c r="G607" s="234" t="s">
        <v>4249</v>
      </c>
      <c r="H607" s="235" t="s">
        <v>1110</v>
      </c>
      <c r="I607" s="29">
        <v>107137.0</v>
      </c>
      <c r="J607" s="29" t="s">
        <v>1125</v>
      </c>
      <c r="K607" s="222" t="s">
        <v>1137</v>
      </c>
      <c r="L607" s="222">
        <v>1.0</v>
      </c>
      <c r="M607" s="27" t="s">
        <v>1137</v>
      </c>
      <c r="N607" s="239" t="s">
        <v>3981</v>
      </c>
      <c r="O607" s="237" t="s">
        <v>4396</v>
      </c>
      <c r="P607" s="238" t="s">
        <v>4397</v>
      </c>
      <c r="Q607" s="237" t="s">
        <v>4398</v>
      </c>
      <c r="R607" s="237" t="s">
        <v>3991</v>
      </c>
      <c r="S607" s="26" t="str">
        <f t="shared" si="113"/>
        <v>กลุ่มงานการพยาบาลผู้ป่วยนอก</v>
      </c>
      <c r="T607" s="218" t="s">
        <v>4887</v>
      </c>
      <c r="U607" s="26" t="s">
        <v>1302</v>
      </c>
      <c r="V607" s="25">
        <v>1.0</v>
      </c>
      <c r="W607" s="218" t="s">
        <v>3991</v>
      </c>
      <c r="X607" s="98" t="s">
        <v>1312</v>
      </c>
      <c r="Y607" s="31">
        <v>20.0</v>
      </c>
      <c r="Z607" s="31">
        <v>20.0</v>
      </c>
      <c r="AA607" s="31">
        <v>266.0</v>
      </c>
      <c r="AB607" s="31">
        <v>295.0</v>
      </c>
      <c r="AC607" s="32">
        <v>1.0</v>
      </c>
      <c r="AD607" s="218"/>
      <c r="AE607" s="26"/>
      <c r="AF607" s="32">
        <v>5.0</v>
      </c>
      <c r="AG607" s="33">
        <v>1.510100261292E12</v>
      </c>
      <c r="AH607" s="33" t="s">
        <v>2463</v>
      </c>
      <c r="AI607" s="47"/>
    </row>
    <row r="608" ht="38.25" hidden="1" customHeight="1">
      <c r="A608" s="32">
        <v>602.0</v>
      </c>
      <c r="B608" s="218" t="s">
        <v>1037</v>
      </c>
      <c r="C608" s="218" t="s">
        <v>4242</v>
      </c>
      <c r="D608" s="218" t="s">
        <v>5836</v>
      </c>
      <c r="E608" s="218" t="s">
        <v>5683</v>
      </c>
      <c r="F608" s="218" t="s">
        <v>5683</v>
      </c>
      <c r="G608" s="234" t="s">
        <v>4249</v>
      </c>
      <c r="H608" s="235" t="s">
        <v>1110</v>
      </c>
      <c r="I608" s="29">
        <v>107143.0</v>
      </c>
      <c r="J608" s="29" t="s">
        <v>1125</v>
      </c>
      <c r="K608" s="222" t="s">
        <v>1137</v>
      </c>
      <c r="L608" s="222">
        <v>1.0</v>
      </c>
      <c r="M608" s="27" t="s">
        <v>1137</v>
      </c>
      <c r="N608" s="239" t="s">
        <v>3981</v>
      </c>
      <c r="O608" s="237" t="s">
        <v>5153</v>
      </c>
      <c r="P608" s="238" t="s">
        <v>5154</v>
      </c>
      <c r="Q608" s="237" t="s">
        <v>4959</v>
      </c>
      <c r="R608" s="237" t="s">
        <v>3991</v>
      </c>
      <c r="S608" s="26" t="str">
        <f t="shared" si="113"/>
        <v>กลุ่มงานการพยาบาลผู้ป่วยนอก</v>
      </c>
      <c r="T608" s="218" t="s">
        <v>4887</v>
      </c>
      <c r="U608" s="26" t="s">
        <v>1302</v>
      </c>
      <c r="V608" s="25">
        <v>3.0</v>
      </c>
      <c r="W608" s="218" t="s">
        <v>3991</v>
      </c>
      <c r="X608" s="98" t="s">
        <v>1312</v>
      </c>
      <c r="Y608" s="31">
        <v>32.0</v>
      </c>
      <c r="Z608" s="31">
        <v>32.0</v>
      </c>
      <c r="AA608" s="31">
        <v>266.0</v>
      </c>
      <c r="AB608" s="31">
        <v>295.0</v>
      </c>
      <c r="AC608" s="32">
        <v>1.0</v>
      </c>
      <c r="AD608" s="26"/>
      <c r="AE608" s="26"/>
      <c r="AF608" s="32">
        <v>5.0</v>
      </c>
      <c r="AG608" s="33">
        <v>1.505200013694E12</v>
      </c>
      <c r="AH608" s="33" t="s">
        <v>2164</v>
      </c>
      <c r="AI608" s="34" t="s">
        <v>5837</v>
      </c>
    </row>
    <row r="609" ht="38.25" hidden="1" customHeight="1">
      <c r="A609" s="32">
        <v>603.0</v>
      </c>
      <c r="B609" s="218" t="s">
        <v>2692</v>
      </c>
      <c r="C609" s="218" t="s">
        <v>5838</v>
      </c>
      <c r="D609" s="218" t="s">
        <v>5839</v>
      </c>
      <c r="E609" s="218" t="s">
        <v>5683</v>
      </c>
      <c r="F609" s="218" t="s">
        <v>5683</v>
      </c>
      <c r="G609" s="234" t="s">
        <v>4220</v>
      </c>
      <c r="H609" s="235" t="s">
        <v>5692</v>
      </c>
      <c r="I609" s="29">
        <v>173982.0</v>
      </c>
      <c r="J609" s="29" t="s">
        <v>1125</v>
      </c>
      <c r="K609" s="222" t="s">
        <v>1137</v>
      </c>
      <c r="L609" s="222">
        <v>1.0</v>
      </c>
      <c r="M609" s="27" t="s">
        <v>1137</v>
      </c>
      <c r="N609" s="239" t="s">
        <v>3981</v>
      </c>
      <c r="O609" s="237" t="s">
        <v>4644</v>
      </c>
      <c r="P609" s="238" t="s">
        <v>5348</v>
      </c>
      <c r="Q609" s="237" t="s">
        <v>5349</v>
      </c>
      <c r="R609" s="237" t="s">
        <v>3991</v>
      </c>
      <c r="S609" s="26" t="str">
        <f t="shared" si="113"/>
        <v>กลุ่มงานการพยาบาลผู้ป่วยนอก</v>
      </c>
      <c r="T609" s="218" t="s">
        <v>4887</v>
      </c>
      <c r="U609" s="26" t="s">
        <v>1302</v>
      </c>
      <c r="V609" s="25">
        <v>6.0</v>
      </c>
      <c r="W609" s="218" t="s">
        <v>3991</v>
      </c>
      <c r="X609" s="98" t="s">
        <v>1312</v>
      </c>
      <c r="Y609" s="31">
        <v>18.0</v>
      </c>
      <c r="Z609" s="31">
        <v>18.0</v>
      </c>
      <c r="AA609" s="31">
        <v>266.0</v>
      </c>
      <c r="AB609" s="31">
        <v>295.0</v>
      </c>
      <c r="AC609" s="89">
        <v>1.0</v>
      </c>
      <c r="AD609" s="218" t="s">
        <v>5840</v>
      </c>
      <c r="AE609" s="26"/>
      <c r="AF609" s="32">
        <v>5.0</v>
      </c>
      <c r="AG609" s="37">
        <v>1.509901149332E12</v>
      </c>
      <c r="AH609" s="37" t="s">
        <v>1789</v>
      </c>
      <c r="AI609" s="44">
        <v>231964.0</v>
      </c>
    </row>
    <row r="610" ht="38.25" hidden="1" customHeight="1">
      <c r="A610" s="32">
        <v>604.0</v>
      </c>
      <c r="B610" s="218" t="s">
        <v>1037</v>
      </c>
      <c r="C610" s="218" t="s">
        <v>5771</v>
      </c>
      <c r="D610" s="218" t="s">
        <v>5841</v>
      </c>
      <c r="E610" s="218" t="s">
        <v>5683</v>
      </c>
      <c r="F610" s="218" t="s">
        <v>5683</v>
      </c>
      <c r="G610" s="234" t="s">
        <v>4249</v>
      </c>
      <c r="H610" s="235" t="s">
        <v>1110</v>
      </c>
      <c r="I610" s="29">
        <v>107133.0</v>
      </c>
      <c r="J610" s="29" t="s">
        <v>1125</v>
      </c>
      <c r="K610" s="222" t="s">
        <v>1137</v>
      </c>
      <c r="L610" s="222">
        <v>1.0</v>
      </c>
      <c r="M610" s="27" t="s">
        <v>1137</v>
      </c>
      <c r="N610" s="239" t="s">
        <v>3981</v>
      </c>
      <c r="O610" s="237" t="s">
        <v>4928</v>
      </c>
      <c r="P610" s="238" t="s">
        <v>4929</v>
      </c>
      <c r="Q610" s="245" t="s">
        <v>4858</v>
      </c>
      <c r="R610" s="237" t="s">
        <v>3991</v>
      </c>
      <c r="S610" s="26" t="str">
        <f t="shared" si="113"/>
        <v>กลุ่มงานการพยาบาลผู้ป่วยนอก</v>
      </c>
      <c r="T610" s="218" t="s">
        <v>4887</v>
      </c>
      <c r="U610" s="26" t="s">
        <v>1302</v>
      </c>
      <c r="V610" s="25">
        <v>8.0</v>
      </c>
      <c r="W610" s="218" t="s">
        <v>3991</v>
      </c>
      <c r="X610" s="98" t="s">
        <v>1312</v>
      </c>
      <c r="Y610" s="31">
        <v>14.0</v>
      </c>
      <c r="Z610" s="31">
        <v>14.0</v>
      </c>
      <c r="AA610" s="31">
        <v>266.0</v>
      </c>
      <c r="AB610" s="31">
        <v>295.0</v>
      </c>
      <c r="AC610" s="32">
        <v>1.0</v>
      </c>
      <c r="AD610" s="26"/>
      <c r="AE610" s="26"/>
      <c r="AF610" s="32">
        <v>5.0</v>
      </c>
      <c r="AG610" s="33">
        <v>1.420500119613E12</v>
      </c>
      <c r="AH610" s="33" t="s">
        <v>2168</v>
      </c>
      <c r="AI610" s="34" t="s">
        <v>5842</v>
      </c>
    </row>
    <row r="611" ht="38.25" customHeight="1">
      <c r="A611" s="32">
        <v>605.0</v>
      </c>
      <c r="B611" s="246" t="s">
        <v>806</v>
      </c>
      <c r="C611" s="246" t="s">
        <v>4660</v>
      </c>
      <c r="D611" s="246" t="s">
        <v>5843</v>
      </c>
      <c r="E611" s="246" t="s">
        <v>5683</v>
      </c>
      <c r="F611" s="246" t="s">
        <v>5683</v>
      </c>
      <c r="G611" s="131" t="s">
        <v>4220</v>
      </c>
      <c r="H611" s="247" t="s">
        <v>5692</v>
      </c>
      <c r="I611" s="150">
        <v>112775.0</v>
      </c>
      <c r="J611" s="150" t="s">
        <v>1125</v>
      </c>
      <c r="K611" s="248" t="s">
        <v>1137</v>
      </c>
      <c r="L611" s="248">
        <v>1.0</v>
      </c>
      <c r="M611" s="27" t="s">
        <v>1137</v>
      </c>
      <c r="N611" s="155" t="s">
        <v>3981</v>
      </c>
      <c r="O611" s="249" t="s">
        <v>4517</v>
      </c>
      <c r="P611" s="250" t="s">
        <v>4522</v>
      </c>
      <c r="Q611" s="249" t="s">
        <v>4063</v>
      </c>
      <c r="R611" s="130" t="s">
        <v>4064</v>
      </c>
      <c r="S611" s="148" t="str">
        <f t="shared" si="113"/>
        <v>กลุ่มงานการพยาบาลผู้ป่วยนอก</v>
      </c>
      <c r="T611" s="246" t="s">
        <v>4887</v>
      </c>
      <c r="U611" s="26" t="s">
        <v>1302</v>
      </c>
      <c r="V611" s="151" t="s">
        <v>5844</v>
      </c>
      <c r="W611" s="246" t="s">
        <v>3991</v>
      </c>
      <c r="X611" s="25" t="s">
        <v>3935</v>
      </c>
      <c r="Y611" s="154">
        <v>25.0</v>
      </c>
      <c r="Z611" s="154">
        <v>25.0</v>
      </c>
      <c r="AA611" s="63">
        <v>66.0</v>
      </c>
      <c r="AB611" s="154">
        <v>295.0</v>
      </c>
      <c r="AC611" s="32">
        <v>1.0</v>
      </c>
      <c r="AD611" s="148"/>
      <c r="AE611" s="148"/>
      <c r="AF611" s="137">
        <v>5.0</v>
      </c>
      <c r="AG611" s="37">
        <v>3.501600014526E12</v>
      </c>
      <c r="AH611" s="37" t="s">
        <v>3789</v>
      </c>
      <c r="AI611" s="44">
        <v>223322.0</v>
      </c>
    </row>
    <row r="612" ht="38.25" hidden="1" customHeight="1">
      <c r="A612" s="32">
        <v>606.0</v>
      </c>
      <c r="B612" s="218" t="s">
        <v>1037</v>
      </c>
      <c r="C612" s="218" t="s">
        <v>5845</v>
      </c>
      <c r="D612" s="218" t="s">
        <v>5846</v>
      </c>
      <c r="E612" s="218" t="s">
        <v>5683</v>
      </c>
      <c r="F612" s="218" t="s">
        <v>5683</v>
      </c>
      <c r="G612" s="234" t="s">
        <v>4249</v>
      </c>
      <c r="H612" s="235" t="s">
        <v>1110</v>
      </c>
      <c r="I612" s="29">
        <v>107123.0</v>
      </c>
      <c r="J612" s="29" t="s">
        <v>1125</v>
      </c>
      <c r="K612" s="222" t="s">
        <v>1137</v>
      </c>
      <c r="L612" s="222">
        <v>1.0</v>
      </c>
      <c r="M612" s="27" t="s">
        <v>1137</v>
      </c>
      <c r="N612" s="239" t="s">
        <v>3981</v>
      </c>
      <c r="O612" s="253" t="s">
        <v>5847</v>
      </c>
      <c r="P612" s="253" t="s">
        <v>5847</v>
      </c>
      <c r="Q612" s="253" t="s">
        <v>5847</v>
      </c>
      <c r="R612" s="253" t="s">
        <v>5847</v>
      </c>
      <c r="S612" s="26" t="str">
        <f t="shared" si="113"/>
        <v>กลุ่มงานการพยาบาลผู้ป่วยนอก</v>
      </c>
      <c r="T612" s="218" t="s">
        <v>4887</v>
      </c>
      <c r="U612" s="26" t="s">
        <v>1302</v>
      </c>
      <c r="V612" s="25">
        <v>2.0</v>
      </c>
      <c r="W612" s="218" t="s">
        <v>3991</v>
      </c>
      <c r="X612" s="98" t="s">
        <v>1312</v>
      </c>
      <c r="Y612" s="31">
        <v>25.0</v>
      </c>
      <c r="Z612" s="31">
        <v>25.0</v>
      </c>
      <c r="AA612" s="31">
        <v>266.0</v>
      </c>
      <c r="AB612" s="31">
        <v>295.0</v>
      </c>
      <c r="AC612" s="229">
        <v>4.0</v>
      </c>
      <c r="AD612" s="230"/>
      <c r="AE612" s="231"/>
      <c r="AF612" s="229">
        <v>5.0</v>
      </c>
      <c r="AG612" s="33">
        <v>1.500900203653E12</v>
      </c>
      <c r="AH612" s="33" t="s">
        <v>1935</v>
      </c>
      <c r="AI612" s="34" t="s">
        <v>5848</v>
      </c>
    </row>
    <row r="613" ht="38.25" hidden="1" customHeight="1">
      <c r="A613" s="32">
        <v>607.0</v>
      </c>
      <c r="B613" s="218" t="s">
        <v>806</v>
      </c>
      <c r="C613" s="218" t="s">
        <v>5762</v>
      </c>
      <c r="D613" s="218" t="s">
        <v>5849</v>
      </c>
      <c r="E613" s="218" t="s">
        <v>5683</v>
      </c>
      <c r="F613" s="218" t="s">
        <v>5683</v>
      </c>
      <c r="G613" s="234" t="s">
        <v>4220</v>
      </c>
      <c r="H613" s="235" t="s">
        <v>5692</v>
      </c>
      <c r="I613" s="29">
        <v>95695.0</v>
      </c>
      <c r="J613" s="29" t="s">
        <v>1125</v>
      </c>
      <c r="K613" s="222" t="s">
        <v>1137</v>
      </c>
      <c r="L613" s="222">
        <v>1.0</v>
      </c>
      <c r="M613" s="27" t="s">
        <v>1137</v>
      </c>
      <c r="N613" s="239" t="s">
        <v>3981</v>
      </c>
      <c r="O613" s="253" t="s">
        <v>5850</v>
      </c>
      <c r="P613" s="253" t="s">
        <v>5850</v>
      </c>
      <c r="Q613" s="253" t="s">
        <v>5850</v>
      </c>
      <c r="R613" s="253" t="s">
        <v>5850</v>
      </c>
      <c r="S613" s="26" t="str">
        <f t="shared" si="113"/>
        <v>กลุ่มงานการพยาบาลผู้ป่วยนอก</v>
      </c>
      <c r="T613" s="218" t="s">
        <v>4887</v>
      </c>
      <c r="U613" s="26" t="s">
        <v>1302</v>
      </c>
      <c r="V613" s="25">
        <v>2.0</v>
      </c>
      <c r="W613" s="218" t="s">
        <v>3991</v>
      </c>
      <c r="X613" s="98" t="s">
        <v>1312</v>
      </c>
      <c r="Y613" s="31">
        <v>25.0</v>
      </c>
      <c r="Z613" s="31">
        <v>25.0</v>
      </c>
      <c r="AA613" s="31">
        <v>266.0</v>
      </c>
      <c r="AB613" s="31">
        <v>295.0</v>
      </c>
      <c r="AC613" s="229">
        <v>4.0</v>
      </c>
      <c r="AD613" s="230"/>
      <c r="AE613" s="231"/>
      <c r="AF613" s="229">
        <v>5.0</v>
      </c>
      <c r="AG613" s="46"/>
      <c r="AH613" s="46"/>
      <c r="AI613" s="47"/>
    </row>
    <row r="614" ht="38.25" hidden="1" customHeight="1">
      <c r="A614" s="32">
        <v>608.0</v>
      </c>
      <c r="B614" s="86" t="s">
        <v>1037</v>
      </c>
      <c r="C614" s="86" t="s">
        <v>5851</v>
      </c>
      <c r="D614" s="86" t="s">
        <v>5852</v>
      </c>
      <c r="E614" s="86" t="s">
        <v>5683</v>
      </c>
      <c r="F614" s="86" t="s">
        <v>5683</v>
      </c>
      <c r="G614" s="114" t="s">
        <v>4220</v>
      </c>
      <c r="H614" s="240" t="s">
        <v>5692</v>
      </c>
      <c r="I614" s="84">
        <v>10010.0</v>
      </c>
      <c r="J614" s="84" t="s">
        <v>1125</v>
      </c>
      <c r="K614" s="241" t="s">
        <v>1137</v>
      </c>
      <c r="L614" s="241">
        <v>1.0</v>
      </c>
      <c r="M614" s="27" t="s">
        <v>1137</v>
      </c>
      <c r="N614" s="116" t="s">
        <v>3981</v>
      </c>
      <c r="O614" s="113" t="s">
        <v>4904</v>
      </c>
      <c r="P614" s="242" t="s">
        <v>4905</v>
      </c>
      <c r="Q614" s="113" t="s">
        <v>4874</v>
      </c>
      <c r="R614" s="113" t="s">
        <v>3991</v>
      </c>
      <c r="S614" s="82" t="str">
        <f t="shared" si="113"/>
        <v>กลุ่มงานการพยาบาลผู้ป่วยใน</v>
      </c>
      <c r="T614" s="86" t="s">
        <v>5853</v>
      </c>
      <c r="U614" s="86" t="s">
        <v>5854</v>
      </c>
      <c r="V614" s="85">
        <v>7.0</v>
      </c>
      <c r="W614" s="86" t="s">
        <v>3991</v>
      </c>
      <c r="X614" s="243" t="s">
        <v>1312</v>
      </c>
      <c r="Y614" s="31">
        <v>44.0</v>
      </c>
      <c r="Z614" s="31">
        <v>44.0</v>
      </c>
      <c r="AA614" s="31">
        <v>266.0</v>
      </c>
      <c r="AB614" s="31">
        <v>295.0</v>
      </c>
      <c r="AC614" s="88">
        <v>3.0</v>
      </c>
      <c r="AD614" s="86"/>
      <c r="AE614" s="82"/>
      <c r="AF614" s="88">
        <v>5.0</v>
      </c>
      <c r="AG614" s="37">
        <v>1.509901405959E12</v>
      </c>
      <c r="AH614" s="37" t="s">
        <v>3027</v>
      </c>
      <c r="AI614" s="38" t="s">
        <v>5855</v>
      </c>
    </row>
    <row r="615" ht="38.25" hidden="1" customHeight="1">
      <c r="A615" s="32">
        <v>609.0</v>
      </c>
      <c r="B615" s="218" t="s">
        <v>806</v>
      </c>
      <c r="C615" s="218" t="s">
        <v>5856</v>
      </c>
      <c r="D615" s="218" t="s">
        <v>5857</v>
      </c>
      <c r="E615" s="218" t="s">
        <v>5683</v>
      </c>
      <c r="F615" s="218" t="s">
        <v>5683</v>
      </c>
      <c r="G615" s="234" t="s">
        <v>4220</v>
      </c>
      <c r="H615" s="235" t="s">
        <v>5692</v>
      </c>
      <c r="I615" s="29">
        <v>246033.0</v>
      </c>
      <c r="J615" s="29" t="s">
        <v>1125</v>
      </c>
      <c r="K615" s="222" t="s">
        <v>1137</v>
      </c>
      <c r="L615" s="222">
        <v>1.0</v>
      </c>
      <c r="M615" s="27" t="s">
        <v>1137</v>
      </c>
      <c r="N615" s="236" t="s">
        <v>1174</v>
      </c>
      <c r="O615" s="237" t="s">
        <v>5858</v>
      </c>
      <c r="P615" s="238" t="s">
        <v>4863</v>
      </c>
      <c r="Q615" s="237" t="s">
        <v>4858</v>
      </c>
      <c r="R615" s="237" t="s">
        <v>3991</v>
      </c>
      <c r="S615" s="26" t="str">
        <f t="shared" si="113"/>
        <v>กลุ่มงานการพยาบาลผู้ป่วยศัลยกรรม</v>
      </c>
      <c r="T615" s="218" t="s">
        <v>4858</v>
      </c>
      <c r="U615" s="26" t="s">
        <v>1302</v>
      </c>
      <c r="V615" s="25">
        <v>8.0</v>
      </c>
      <c r="W615" s="218" t="s">
        <v>3991</v>
      </c>
      <c r="X615" s="98" t="s">
        <v>1312</v>
      </c>
      <c r="Y615" s="31">
        <v>14.0</v>
      </c>
      <c r="Z615" s="31">
        <v>14.0</v>
      </c>
      <c r="AA615" s="31">
        <v>266.0</v>
      </c>
      <c r="AB615" s="31">
        <v>295.0</v>
      </c>
      <c r="AC615" s="32">
        <v>1.0</v>
      </c>
      <c r="AD615" s="26"/>
      <c r="AE615" s="26"/>
      <c r="AF615" s="32">
        <v>5.0</v>
      </c>
      <c r="AG615" s="37">
        <v>1.500300056404E12</v>
      </c>
      <c r="AH615" s="37" t="s">
        <v>902</v>
      </c>
      <c r="AI615" s="38" t="s">
        <v>5859</v>
      </c>
    </row>
    <row r="616" ht="38.25" hidden="1" customHeight="1">
      <c r="A616" s="32">
        <v>610.0</v>
      </c>
      <c r="B616" s="218" t="s">
        <v>806</v>
      </c>
      <c r="C616" s="218" t="s">
        <v>5860</v>
      </c>
      <c r="D616" s="218" t="s">
        <v>5861</v>
      </c>
      <c r="E616" s="218" t="s">
        <v>5683</v>
      </c>
      <c r="F616" s="218" t="s">
        <v>5683</v>
      </c>
      <c r="G616" s="234" t="s">
        <v>4249</v>
      </c>
      <c r="H616" s="235" t="s">
        <v>1110</v>
      </c>
      <c r="I616" s="29">
        <v>219204.0</v>
      </c>
      <c r="J616" s="29" t="s">
        <v>1125</v>
      </c>
      <c r="K616" s="222" t="s">
        <v>1137</v>
      </c>
      <c r="L616" s="222">
        <v>1.0</v>
      </c>
      <c r="M616" s="27" t="s">
        <v>1137</v>
      </c>
      <c r="N616" s="236" t="s">
        <v>1174</v>
      </c>
      <c r="O616" s="237" t="s">
        <v>5858</v>
      </c>
      <c r="P616" s="238" t="s">
        <v>4863</v>
      </c>
      <c r="Q616" s="237" t="s">
        <v>4858</v>
      </c>
      <c r="R616" s="237" t="s">
        <v>3991</v>
      </c>
      <c r="S616" s="26" t="str">
        <f t="shared" si="113"/>
        <v>กลุ่มงานการพยาบาลผู้ป่วยศัลยกรรม</v>
      </c>
      <c r="T616" s="218" t="s">
        <v>4858</v>
      </c>
      <c r="U616" s="26" t="s">
        <v>1302</v>
      </c>
      <c r="V616" s="25">
        <v>8.0</v>
      </c>
      <c r="W616" s="218" t="s">
        <v>3991</v>
      </c>
      <c r="X616" s="98" t="s">
        <v>1312</v>
      </c>
      <c r="Y616" s="31">
        <v>14.0</v>
      </c>
      <c r="Z616" s="31">
        <v>14.0</v>
      </c>
      <c r="AA616" s="31">
        <v>266.0</v>
      </c>
      <c r="AB616" s="31">
        <v>295.0</v>
      </c>
      <c r="AC616" s="32">
        <v>1.0</v>
      </c>
      <c r="AD616" s="26"/>
      <c r="AE616" s="26"/>
      <c r="AF616" s="32">
        <v>5.0</v>
      </c>
      <c r="AG616" s="33">
        <v>1.56010003136E12</v>
      </c>
      <c r="AH616" s="33" t="s">
        <v>2819</v>
      </c>
      <c r="AI616" s="34" t="s">
        <v>5862</v>
      </c>
    </row>
    <row r="617" ht="38.25" hidden="1" customHeight="1">
      <c r="A617" s="32">
        <v>611.0</v>
      </c>
      <c r="B617" s="218" t="s">
        <v>1037</v>
      </c>
      <c r="C617" s="218" t="s">
        <v>5863</v>
      </c>
      <c r="D617" s="218" t="s">
        <v>5864</v>
      </c>
      <c r="E617" s="218" t="s">
        <v>5683</v>
      </c>
      <c r="F617" s="218" t="s">
        <v>5683</v>
      </c>
      <c r="G617" s="234" t="s">
        <v>4220</v>
      </c>
      <c r="H617" s="235" t="s">
        <v>5692</v>
      </c>
      <c r="I617" s="29">
        <v>183734.0</v>
      </c>
      <c r="J617" s="29" t="s">
        <v>1125</v>
      </c>
      <c r="K617" s="222" t="s">
        <v>1137</v>
      </c>
      <c r="L617" s="222">
        <v>1.0</v>
      </c>
      <c r="M617" s="27" t="s">
        <v>1137</v>
      </c>
      <c r="N617" s="236" t="s">
        <v>1174</v>
      </c>
      <c r="O617" s="237" t="s">
        <v>5858</v>
      </c>
      <c r="P617" s="238" t="s">
        <v>4863</v>
      </c>
      <c r="Q617" s="237" t="s">
        <v>4858</v>
      </c>
      <c r="R617" s="237" t="s">
        <v>3991</v>
      </c>
      <c r="S617" s="26" t="str">
        <f t="shared" si="113"/>
        <v>กลุ่มงานการพยาบาลผู้ป่วยศัลยกรรม</v>
      </c>
      <c r="T617" s="218" t="s">
        <v>4858</v>
      </c>
      <c r="U617" s="26" t="s">
        <v>1302</v>
      </c>
      <c r="V617" s="25">
        <v>8.0</v>
      </c>
      <c r="W617" s="218" t="s">
        <v>3991</v>
      </c>
      <c r="X617" s="98" t="s">
        <v>1312</v>
      </c>
      <c r="Y617" s="31">
        <v>14.0</v>
      </c>
      <c r="Z617" s="31">
        <v>14.0</v>
      </c>
      <c r="AA617" s="31">
        <v>266.0</v>
      </c>
      <c r="AB617" s="31">
        <v>295.0</v>
      </c>
      <c r="AC617" s="32">
        <v>1.0</v>
      </c>
      <c r="AD617" s="26"/>
      <c r="AE617" s="26"/>
      <c r="AF617" s="32">
        <v>5.0</v>
      </c>
      <c r="AG617" s="37">
        <v>1.430500081357E12</v>
      </c>
      <c r="AH617" s="37" t="s">
        <v>3723</v>
      </c>
      <c r="AI617" s="38" t="s">
        <v>5865</v>
      </c>
    </row>
    <row r="618" ht="38.25" hidden="1" customHeight="1">
      <c r="A618" s="32">
        <v>612.0</v>
      </c>
      <c r="B618" s="218" t="s">
        <v>806</v>
      </c>
      <c r="C618" s="218" t="s">
        <v>5866</v>
      </c>
      <c r="D618" s="218" t="s">
        <v>5867</v>
      </c>
      <c r="E618" s="218" t="s">
        <v>5683</v>
      </c>
      <c r="F618" s="218" t="s">
        <v>5683</v>
      </c>
      <c r="G618" s="234" t="s">
        <v>4226</v>
      </c>
      <c r="H618" s="235" t="s">
        <v>5692</v>
      </c>
      <c r="I618" s="29">
        <v>107148.0</v>
      </c>
      <c r="J618" s="29" t="s">
        <v>1125</v>
      </c>
      <c r="K618" s="222" t="s">
        <v>1137</v>
      </c>
      <c r="L618" s="222">
        <v>1.0</v>
      </c>
      <c r="M618" s="27" t="s">
        <v>1137</v>
      </c>
      <c r="N618" s="236" t="s">
        <v>1174</v>
      </c>
      <c r="O618" s="237" t="s">
        <v>5858</v>
      </c>
      <c r="P618" s="238" t="s">
        <v>4863</v>
      </c>
      <c r="Q618" s="237" t="s">
        <v>4858</v>
      </c>
      <c r="R618" s="237" t="s">
        <v>3991</v>
      </c>
      <c r="S618" s="26" t="str">
        <f t="shared" si="113"/>
        <v>กลุ่มงานการพยาบาลผู้ป่วยศัลยกรรม</v>
      </c>
      <c r="T618" s="218" t="s">
        <v>4858</v>
      </c>
      <c r="U618" s="26" t="s">
        <v>1302</v>
      </c>
      <c r="V618" s="25">
        <v>8.0</v>
      </c>
      <c r="W618" s="218" t="s">
        <v>3991</v>
      </c>
      <c r="X618" s="98" t="s">
        <v>1312</v>
      </c>
      <c r="Y618" s="31">
        <v>14.0</v>
      </c>
      <c r="Z618" s="31">
        <v>14.0</v>
      </c>
      <c r="AA618" s="31">
        <v>266.0</v>
      </c>
      <c r="AB618" s="31">
        <v>295.0</v>
      </c>
      <c r="AC618" s="32">
        <v>1.0</v>
      </c>
      <c r="AD618" s="26"/>
      <c r="AE618" s="254" t="s">
        <v>5868</v>
      </c>
      <c r="AF618" s="255">
        <v>5.0</v>
      </c>
      <c r="AG618" s="37">
        <v>5.500900001719E12</v>
      </c>
      <c r="AH618" s="37" t="s">
        <v>3713</v>
      </c>
      <c r="AI618" s="44">
        <v>222566.0</v>
      </c>
    </row>
    <row r="619" ht="38.25" hidden="1" customHeight="1">
      <c r="A619" s="32">
        <v>613.0</v>
      </c>
      <c r="B619" s="218" t="s">
        <v>1037</v>
      </c>
      <c r="C619" s="218" t="s">
        <v>5869</v>
      </c>
      <c r="D619" s="218" t="s">
        <v>5870</v>
      </c>
      <c r="E619" s="218" t="s">
        <v>5683</v>
      </c>
      <c r="F619" s="218" t="s">
        <v>5683</v>
      </c>
      <c r="G619" s="234" t="s">
        <v>4220</v>
      </c>
      <c r="H619" s="235" t="s">
        <v>5692</v>
      </c>
      <c r="I619" s="29">
        <v>219186.0</v>
      </c>
      <c r="J619" s="29" t="s">
        <v>1125</v>
      </c>
      <c r="K619" s="222" t="s">
        <v>1137</v>
      </c>
      <c r="L619" s="222">
        <v>1.0</v>
      </c>
      <c r="M619" s="27" t="s">
        <v>1137</v>
      </c>
      <c r="N619" s="236" t="s">
        <v>1174</v>
      </c>
      <c r="O619" s="237" t="s">
        <v>5858</v>
      </c>
      <c r="P619" s="238" t="s">
        <v>4863</v>
      </c>
      <c r="Q619" s="237" t="s">
        <v>4858</v>
      </c>
      <c r="R619" s="237" t="s">
        <v>3991</v>
      </c>
      <c r="S619" s="26" t="str">
        <f t="shared" si="113"/>
        <v>กลุ่มงานการพยาบาลผู้ป่วยศัลยกรรม</v>
      </c>
      <c r="T619" s="218" t="s">
        <v>4858</v>
      </c>
      <c r="U619" s="26" t="s">
        <v>1302</v>
      </c>
      <c r="V619" s="25">
        <v>8.0</v>
      </c>
      <c r="W619" s="218" t="s">
        <v>3991</v>
      </c>
      <c r="X619" s="98" t="s">
        <v>1312</v>
      </c>
      <c r="Y619" s="31">
        <v>14.0</v>
      </c>
      <c r="Z619" s="31">
        <v>14.0</v>
      </c>
      <c r="AA619" s="31">
        <v>266.0</v>
      </c>
      <c r="AB619" s="31">
        <v>295.0</v>
      </c>
      <c r="AC619" s="32">
        <v>1.0</v>
      </c>
      <c r="AD619" s="26"/>
      <c r="AE619" s="26"/>
      <c r="AF619" s="32">
        <v>5.0</v>
      </c>
      <c r="AG619" s="33">
        <v>1.501700073226E12</v>
      </c>
      <c r="AH619" s="33" t="s">
        <v>2841</v>
      </c>
      <c r="AI619" s="40">
        <v>232758.0</v>
      </c>
    </row>
    <row r="620" ht="38.25" hidden="1" customHeight="1">
      <c r="A620" s="32">
        <v>614.0</v>
      </c>
      <c r="B620" s="218" t="s">
        <v>806</v>
      </c>
      <c r="C620" s="218" t="s">
        <v>5025</v>
      </c>
      <c r="D620" s="218" t="s">
        <v>5871</v>
      </c>
      <c r="E620" s="218" t="s">
        <v>5683</v>
      </c>
      <c r="F620" s="218" t="s">
        <v>5683</v>
      </c>
      <c r="G620" s="234" t="s">
        <v>4226</v>
      </c>
      <c r="H620" s="235" t="s">
        <v>5692</v>
      </c>
      <c r="I620" s="29">
        <v>94775.0</v>
      </c>
      <c r="J620" s="29" t="s">
        <v>1125</v>
      </c>
      <c r="K620" s="222" t="s">
        <v>1137</v>
      </c>
      <c r="L620" s="222">
        <v>1.0</v>
      </c>
      <c r="M620" s="27" t="s">
        <v>1137</v>
      </c>
      <c r="N620" s="236" t="s">
        <v>1174</v>
      </c>
      <c r="O620" s="237" t="s">
        <v>5858</v>
      </c>
      <c r="P620" s="238" t="s">
        <v>4863</v>
      </c>
      <c r="Q620" s="237" t="s">
        <v>4858</v>
      </c>
      <c r="R620" s="237" t="s">
        <v>3991</v>
      </c>
      <c r="S620" s="26" t="str">
        <f t="shared" si="113"/>
        <v>กลุ่มงานการพยาบาลผู้ป่วยศัลยกรรม</v>
      </c>
      <c r="T620" s="218" t="s">
        <v>4858</v>
      </c>
      <c r="U620" s="26" t="s">
        <v>1302</v>
      </c>
      <c r="V620" s="25">
        <v>8.0</v>
      </c>
      <c r="W620" s="218" t="s">
        <v>3991</v>
      </c>
      <c r="X620" s="98" t="s">
        <v>1312</v>
      </c>
      <c r="Y620" s="31">
        <v>14.0</v>
      </c>
      <c r="Z620" s="31">
        <v>14.0</v>
      </c>
      <c r="AA620" s="31">
        <v>266.0</v>
      </c>
      <c r="AB620" s="31">
        <v>295.0</v>
      </c>
      <c r="AC620" s="32">
        <v>1.0</v>
      </c>
      <c r="AD620" s="26"/>
      <c r="AE620" s="26"/>
      <c r="AF620" s="32">
        <v>5.0</v>
      </c>
      <c r="AG620" s="37">
        <v>1.509900440327E12</v>
      </c>
      <c r="AH620" s="37" t="s">
        <v>3687</v>
      </c>
      <c r="AI620" s="38" t="s">
        <v>5872</v>
      </c>
    </row>
    <row r="621" ht="38.25" hidden="1" customHeight="1">
      <c r="A621" s="32">
        <v>615.0</v>
      </c>
      <c r="B621" s="218" t="s">
        <v>1037</v>
      </c>
      <c r="C621" s="218" t="s">
        <v>5873</v>
      </c>
      <c r="D621" s="218" t="s">
        <v>5874</v>
      </c>
      <c r="E621" s="218" t="s">
        <v>5683</v>
      </c>
      <c r="F621" s="218" t="s">
        <v>5683</v>
      </c>
      <c r="G621" s="234" t="s">
        <v>4249</v>
      </c>
      <c r="H621" s="235" t="s">
        <v>1110</v>
      </c>
      <c r="I621" s="29">
        <v>219180.0</v>
      </c>
      <c r="J621" s="29" t="s">
        <v>1125</v>
      </c>
      <c r="K621" s="222" t="s">
        <v>1137</v>
      </c>
      <c r="L621" s="222">
        <v>1.0</v>
      </c>
      <c r="M621" s="27" t="s">
        <v>1137</v>
      </c>
      <c r="N621" s="236" t="s">
        <v>1174</v>
      </c>
      <c r="O621" s="237" t="s">
        <v>5858</v>
      </c>
      <c r="P621" s="238" t="s">
        <v>4863</v>
      </c>
      <c r="Q621" s="237" t="s">
        <v>4858</v>
      </c>
      <c r="R621" s="237" t="s">
        <v>3991</v>
      </c>
      <c r="S621" s="26" t="str">
        <f t="shared" si="113"/>
        <v>กลุ่มงานการพยาบาลผู้ป่วยศัลยกรรม</v>
      </c>
      <c r="T621" s="218" t="s">
        <v>4858</v>
      </c>
      <c r="U621" s="26" t="s">
        <v>1302</v>
      </c>
      <c r="V621" s="25">
        <v>8.0</v>
      </c>
      <c r="W621" s="218" t="s">
        <v>3991</v>
      </c>
      <c r="X621" s="98" t="s">
        <v>1312</v>
      </c>
      <c r="Y621" s="31">
        <v>14.0</v>
      </c>
      <c r="Z621" s="31">
        <v>14.0</v>
      </c>
      <c r="AA621" s="31">
        <v>266.0</v>
      </c>
      <c r="AB621" s="31">
        <v>295.0</v>
      </c>
      <c r="AC621" s="32">
        <v>1.0</v>
      </c>
      <c r="AD621" s="26"/>
      <c r="AE621" s="26"/>
      <c r="AF621" s="32">
        <v>5.0</v>
      </c>
      <c r="AG621" s="33">
        <v>1.500300137501E12</v>
      </c>
      <c r="AH621" s="33" t="s">
        <v>2836</v>
      </c>
      <c r="AI621" s="34" t="s">
        <v>5875</v>
      </c>
    </row>
    <row r="622" ht="38.25" hidden="1" customHeight="1">
      <c r="A622" s="32">
        <v>616.0</v>
      </c>
      <c r="B622" s="218" t="s">
        <v>1037</v>
      </c>
      <c r="C622" s="218" t="s">
        <v>5876</v>
      </c>
      <c r="D622" s="218" t="s">
        <v>5877</v>
      </c>
      <c r="E622" s="218" t="s">
        <v>5683</v>
      </c>
      <c r="F622" s="218" t="s">
        <v>5683</v>
      </c>
      <c r="G622" s="234" t="s">
        <v>4249</v>
      </c>
      <c r="H622" s="235" t="s">
        <v>1110</v>
      </c>
      <c r="I622" s="29">
        <v>219191.0</v>
      </c>
      <c r="J622" s="29" t="s">
        <v>1125</v>
      </c>
      <c r="K622" s="222" t="s">
        <v>1137</v>
      </c>
      <c r="L622" s="222">
        <v>1.0</v>
      </c>
      <c r="M622" s="27" t="s">
        <v>1137</v>
      </c>
      <c r="N622" s="239" t="s">
        <v>3981</v>
      </c>
      <c r="O622" s="237" t="s">
        <v>4644</v>
      </c>
      <c r="P622" s="238" t="s">
        <v>5348</v>
      </c>
      <c r="Q622" s="237" t="s">
        <v>5349</v>
      </c>
      <c r="R622" s="237" t="s">
        <v>3991</v>
      </c>
      <c r="S622" s="26" t="str">
        <f t="shared" si="113"/>
        <v>กลุ่มงานการพยาบาลผู้ป่วยศัลยกรรม</v>
      </c>
      <c r="T622" s="218" t="s">
        <v>4858</v>
      </c>
      <c r="U622" s="26" t="s">
        <v>1302</v>
      </c>
      <c r="V622" s="25">
        <v>6.0</v>
      </c>
      <c r="W622" s="218" t="s">
        <v>3991</v>
      </c>
      <c r="X622" s="98" t="s">
        <v>1312</v>
      </c>
      <c r="Y622" s="31">
        <v>18.0</v>
      </c>
      <c r="Z622" s="31">
        <v>18.0</v>
      </c>
      <c r="AA622" s="31">
        <v>266.0</v>
      </c>
      <c r="AB622" s="31">
        <v>295.0</v>
      </c>
      <c r="AC622" s="32">
        <v>1.0</v>
      </c>
      <c r="AD622" s="26"/>
      <c r="AE622" s="26"/>
      <c r="AF622" s="32">
        <v>5.0</v>
      </c>
      <c r="AG622" s="33">
        <v>5.500601064832E12</v>
      </c>
      <c r="AH622" s="33" t="s">
        <v>2175</v>
      </c>
      <c r="AI622" s="40">
        <v>234062.0</v>
      </c>
    </row>
    <row r="623" ht="38.25" hidden="1" customHeight="1">
      <c r="A623" s="32">
        <v>617.0</v>
      </c>
      <c r="B623" s="246" t="s">
        <v>1037</v>
      </c>
      <c r="C623" s="246" t="s">
        <v>5878</v>
      </c>
      <c r="D623" s="246" t="s">
        <v>5879</v>
      </c>
      <c r="E623" s="246" t="s">
        <v>5683</v>
      </c>
      <c r="F623" s="246" t="s">
        <v>5683</v>
      </c>
      <c r="G623" s="131" t="s">
        <v>4249</v>
      </c>
      <c r="H623" s="247" t="s">
        <v>1110</v>
      </c>
      <c r="I623" s="150">
        <v>219205.0</v>
      </c>
      <c r="J623" s="150" t="s">
        <v>1125</v>
      </c>
      <c r="K623" s="248" t="s">
        <v>1137</v>
      </c>
      <c r="L623" s="248">
        <v>1.0</v>
      </c>
      <c r="M623" s="27" t="s">
        <v>1137</v>
      </c>
      <c r="N623" s="155" t="s">
        <v>3981</v>
      </c>
      <c r="O623" s="249" t="s">
        <v>5831</v>
      </c>
      <c r="P623" s="250" t="s">
        <v>4534</v>
      </c>
      <c r="Q623" s="249" t="s">
        <v>4534</v>
      </c>
      <c r="R623" s="130" t="s">
        <v>4064</v>
      </c>
      <c r="S623" s="148" t="str">
        <f t="shared" si="113"/>
        <v>กลุ่มงานการพยาบาลผู้ป่วยศัลยกรรม</v>
      </c>
      <c r="T623" s="246" t="s">
        <v>4858</v>
      </c>
      <c r="U623" s="26" t="s">
        <v>1302</v>
      </c>
      <c r="V623" s="151" t="s">
        <v>5880</v>
      </c>
      <c r="W623" s="246" t="s">
        <v>3991</v>
      </c>
      <c r="X623" s="25" t="s">
        <v>3935</v>
      </c>
      <c r="Y623" s="154">
        <v>5.0</v>
      </c>
      <c r="Z623" s="154">
        <v>17.0</v>
      </c>
      <c r="AA623" s="63">
        <v>66.0</v>
      </c>
      <c r="AB623" s="154">
        <v>295.0</v>
      </c>
      <c r="AC623" s="32">
        <v>1.0</v>
      </c>
      <c r="AD623" s="256" t="s">
        <v>5881</v>
      </c>
      <c r="AE623" s="251"/>
      <c r="AF623" s="252">
        <v>5.0</v>
      </c>
      <c r="AG623" s="33">
        <v>1.560100339232E12</v>
      </c>
      <c r="AH623" s="33" t="s">
        <v>2442</v>
      </c>
      <c r="AI623" s="40">
        <v>232761.0</v>
      </c>
    </row>
    <row r="624" ht="38.25" hidden="1" customHeight="1">
      <c r="A624" s="32">
        <v>618.0</v>
      </c>
      <c r="B624" s="218" t="s">
        <v>1037</v>
      </c>
      <c r="C624" s="218" t="s">
        <v>5882</v>
      </c>
      <c r="D624" s="218" t="s">
        <v>5883</v>
      </c>
      <c r="E624" s="218" t="s">
        <v>5683</v>
      </c>
      <c r="F624" s="218" t="s">
        <v>5683</v>
      </c>
      <c r="G624" s="234" t="s">
        <v>4226</v>
      </c>
      <c r="H624" s="235" t="s">
        <v>5692</v>
      </c>
      <c r="I624" s="29">
        <v>194255.0</v>
      </c>
      <c r="J624" s="29" t="s">
        <v>1125</v>
      </c>
      <c r="K624" s="222" t="s">
        <v>1137</v>
      </c>
      <c r="L624" s="222">
        <v>1.0</v>
      </c>
      <c r="M624" s="27" t="s">
        <v>1137</v>
      </c>
      <c r="N624" s="239" t="s">
        <v>3981</v>
      </c>
      <c r="O624" s="76" t="s">
        <v>5173</v>
      </c>
      <c r="P624" s="238" t="s">
        <v>5174</v>
      </c>
      <c r="Q624" s="237" t="s">
        <v>5115</v>
      </c>
      <c r="R624" s="237" t="s">
        <v>3991</v>
      </c>
      <c r="S624" s="26" t="str">
        <f t="shared" si="113"/>
        <v>กลุ่มงานการพยาบาลผู้ป่วยสูติ - นรีเวช</v>
      </c>
      <c r="T624" s="218" t="s">
        <v>4920</v>
      </c>
      <c r="U624" s="26" t="s">
        <v>1302</v>
      </c>
      <c r="V624" s="25">
        <v>4.0</v>
      </c>
      <c r="W624" s="218" t="s">
        <v>3991</v>
      </c>
      <c r="X624" s="98" t="s">
        <v>1312</v>
      </c>
      <c r="Y624" s="31">
        <v>9.0</v>
      </c>
      <c r="Z624" s="31">
        <v>9.0</v>
      </c>
      <c r="AA624" s="31">
        <v>266.0</v>
      </c>
      <c r="AB624" s="31">
        <v>295.0</v>
      </c>
      <c r="AC624" s="32">
        <v>1.0</v>
      </c>
      <c r="AD624" s="26"/>
      <c r="AE624" s="26"/>
      <c r="AF624" s="32">
        <v>5.0</v>
      </c>
      <c r="AG624" s="33">
        <v>1.509900633303E12</v>
      </c>
      <c r="AH624" s="33" t="s">
        <v>1888</v>
      </c>
      <c r="AI624" s="40">
        <v>230536.0</v>
      </c>
    </row>
    <row r="625" ht="38.25" hidden="1" customHeight="1">
      <c r="A625" s="32">
        <v>619.0</v>
      </c>
      <c r="B625" s="218" t="s">
        <v>1037</v>
      </c>
      <c r="C625" s="218" t="s">
        <v>5703</v>
      </c>
      <c r="D625" s="218" t="s">
        <v>5884</v>
      </c>
      <c r="E625" s="218" t="s">
        <v>5683</v>
      </c>
      <c r="F625" s="218" t="s">
        <v>5683</v>
      </c>
      <c r="G625" s="234" t="s">
        <v>4249</v>
      </c>
      <c r="H625" s="235" t="s">
        <v>1110</v>
      </c>
      <c r="I625" s="29">
        <v>219177.0</v>
      </c>
      <c r="J625" s="29" t="s">
        <v>1125</v>
      </c>
      <c r="K625" s="222" t="s">
        <v>1137</v>
      </c>
      <c r="L625" s="222">
        <v>1.0</v>
      </c>
      <c r="M625" s="27" t="s">
        <v>1137</v>
      </c>
      <c r="N625" s="236" t="s">
        <v>1174</v>
      </c>
      <c r="O625" s="237" t="s">
        <v>5173</v>
      </c>
      <c r="P625" s="238" t="s">
        <v>4918</v>
      </c>
      <c r="Q625" s="237" t="s">
        <v>4919</v>
      </c>
      <c r="R625" s="237" t="s">
        <v>3991</v>
      </c>
      <c r="S625" s="26" t="str">
        <f t="shared" si="113"/>
        <v>กลุ่มงานการพยาบาลผู้ป่วยสูติ - นรีเวช</v>
      </c>
      <c r="T625" s="218" t="s">
        <v>4920</v>
      </c>
      <c r="U625" s="26" t="s">
        <v>1302</v>
      </c>
      <c r="V625" s="25">
        <v>9.0</v>
      </c>
      <c r="W625" s="218" t="s">
        <v>3991</v>
      </c>
      <c r="X625" s="98" t="s">
        <v>1312</v>
      </c>
      <c r="Y625" s="31">
        <v>9.0</v>
      </c>
      <c r="Z625" s="31">
        <v>12.0</v>
      </c>
      <c r="AA625" s="31">
        <v>266.0</v>
      </c>
      <c r="AB625" s="31">
        <v>295.0</v>
      </c>
      <c r="AC625" s="32">
        <v>1.0</v>
      </c>
      <c r="AD625" s="26"/>
      <c r="AE625" s="26"/>
      <c r="AF625" s="32">
        <v>5.0</v>
      </c>
      <c r="AG625" s="37">
        <v>1.50990150812E12</v>
      </c>
      <c r="AH625" s="37" t="s">
        <v>2850</v>
      </c>
      <c r="AI625" s="38" t="s">
        <v>5885</v>
      </c>
    </row>
    <row r="626" ht="38.25" hidden="1" customHeight="1">
      <c r="A626" s="32">
        <v>620.0</v>
      </c>
      <c r="B626" s="218" t="s">
        <v>1037</v>
      </c>
      <c r="C626" s="218" t="s">
        <v>5886</v>
      </c>
      <c r="D626" s="218" t="s">
        <v>5887</v>
      </c>
      <c r="E626" s="218" t="s">
        <v>5683</v>
      </c>
      <c r="F626" s="218" t="s">
        <v>5683</v>
      </c>
      <c r="G626" s="234" t="s">
        <v>4249</v>
      </c>
      <c r="H626" s="235" t="s">
        <v>1110</v>
      </c>
      <c r="I626" s="29">
        <v>219202.0</v>
      </c>
      <c r="J626" s="29" t="s">
        <v>1125</v>
      </c>
      <c r="K626" s="222" t="s">
        <v>1137</v>
      </c>
      <c r="L626" s="222">
        <v>1.0</v>
      </c>
      <c r="M626" s="27" t="s">
        <v>1137</v>
      </c>
      <c r="N626" s="236" t="s">
        <v>1174</v>
      </c>
      <c r="O626" s="237" t="s">
        <v>5173</v>
      </c>
      <c r="P626" s="238" t="s">
        <v>4918</v>
      </c>
      <c r="Q626" s="237" t="s">
        <v>4919</v>
      </c>
      <c r="R626" s="237" t="s">
        <v>3991</v>
      </c>
      <c r="S626" s="26" t="str">
        <f t="shared" si="113"/>
        <v>กลุ่มงานการพยาบาลผู้ป่วยสูติ - นรีเวช</v>
      </c>
      <c r="T626" s="218" t="s">
        <v>4920</v>
      </c>
      <c r="U626" s="26" t="s">
        <v>1302</v>
      </c>
      <c r="V626" s="25">
        <v>9.0</v>
      </c>
      <c r="W626" s="218" t="s">
        <v>3991</v>
      </c>
      <c r="X626" s="98" t="s">
        <v>1312</v>
      </c>
      <c r="Y626" s="31">
        <v>9.0</v>
      </c>
      <c r="Z626" s="31">
        <v>12.0</v>
      </c>
      <c r="AA626" s="31">
        <v>266.0</v>
      </c>
      <c r="AB626" s="31">
        <v>295.0</v>
      </c>
      <c r="AC626" s="32">
        <v>1.0</v>
      </c>
      <c r="AD626" s="26"/>
      <c r="AE626" s="26"/>
      <c r="AF626" s="32">
        <v>5.0</v>
      </c>
      <c r="AG626" s="33">
        <v>1.549900463335E12</v>
      </c>
      <c r="AH626" s="33" t="s">
        <v>2628</v>
      </c>
      <c r="AI626" s="40">
        <v>233523.0</v>
      </c>
    </row>
    <row r="627" ht="38.25" hidden="1" customHeight="1">
      <c r="A627" s="32">
        <v>621.0</v>
      </c>
      <c r="B627" s="218" t="s">
        <v>806</v>
      </c>
      <c r="C627" s="218" t="s">
        <v>5888</v>
      </c>
      <c r="D627" s="218" t="s">
        <v>5889</v>
      </c>
      <c r="E627" s="218" t="s">
        <v>5683</v>
      </c>
      <c r="F627" s="218" t="s">
        <v>5683</v>
      </c>
      <c r="G627" s="234" t="s">
        <v>4226</v>
      </c>
      <c r="H627" s="235" t="s">
        <v>5692</v>
      </c>
      <c r="I627" s="29">
        <v>106650.0</v>
      </c>
      <c r="J627" s="29" t="s">
        <v>1125</v>
      </c>
      <c r="K627" s="222" t="s">
        <v>1137</v>
      </c>
      <c r="L627" s="222">
        <v>1.0</v>
      </c>
      <c r="M627" s="27" t="s">
        <v>1137</v>
      </c>
      <c r="N627" s="236" t="s">
        <v>1174</v>
      </c>
      <c r="O627" s="237" t="s">
        <v>5173</v>
      </c>
      <c r="P627" s="238" t="s">
        <v>4918</v>
      </c>
      <c r="Q627" s="237" t="s">
        <v>4919</v>
      </c>
      <c r="R627" s="237" t="s">
        <v>3991</v>
      </c>
      <c r="S627" s="26" t="str">
        <f t="shared" si="113"/>
        <v>กลุ่มงานการพยาบาลผู้ป่วยสูติ - นรีเวช</v>
      </c>
      <c r="T627" s="218" t="s">
        <v>4920</v>
      </c>
      <c r="U627" s="26" t="s">
        <v>1302</v>
      </c>
      <c r="V627" s="25">
        <v>9.0</v>
      </c>
      <c r="W627" s="218" t="s">
        <v>3991</v>
      </c>
      <c r="X627" s="98" t="s">
        <v>1312</v>
      </c>
      <c r="Y627" s="31">
        <v>9.0</v>
      </c>
      <c r="Z627" s="31">
        <v>12.0</v>
      </c>
      <c r="AA627" s="31">
        <v>266.0</v>
      </c>
      <c r="AB627" s="31">
        <v>295.0</v>
      </c>
      <c r="AC627" s="32">
        <v>1.0</v>
      </c>
      <c r="AD627" s="26"/>
      <c r="AE627" s="26" t="s">
        <v>5890</v>
      </c>
      <c r="AF627" s="32">
        <v>5.0</v>
      </c>
      <c r="AG627" s="37">
        <v>3.500800071387E12</v>
      </c>
      <c r="AH627" s="37" t="s">
        <v>3614</v>
      </c>
      <c r="AI627" s="38" t="s">
        <v>5891</v>
      </c>
    </row>
    <row r="628" ht="38.25" hidden="1" customHeight="1">
      <c r="A628" s="32">
        <v>622.0</v>
      </c>
      <c r="B628" s="218" t="s">
        <v>1037</v>
      </c>
      <c r="C628" s="218" t="s">
        <v>5658</v>
      </c>
      <c r="D628" s="218" t="s">
        <v>5892</v>
      </c>
      <c r="E628" s="218" t="s">
        <v>5683</v>
      </c>
      <c r="F628" s="218" t="s">
        <v>5683</v>
      </c>
      <c r="G628" s="234" t="s">
        <v>4249</v>
      </c>
      <c r="H628" s="235" t="s">
        <v>1110</v>
      </c>
      <c r="I628" s="29">
        <v>219194.0</v>
      </c>
      <c r="J628" s="29" t="s">
        <v>1125</v>
      </c>
      <c r="K628" s="222" t="s">
        <v>1137</v>
      </c>
      <c r="L628" s="222">
        <v>1.0</v>
      </c>
      <c r="M628" s="27" t="s">
        <v>1137</v>
      </c>
      <c r="N628" s="236" t="s">
        <v>1174</v>
      </c>
      <c r="O628" s="237" t="s">
        <v>5173</v>
      </c>
      <c r="P628" s="238" t="s">
        <v>4918</v>
      </c>
      <c r="Q628" s="237" t="s">
        <v>4919</v>
      </c>
      <c r="R628" s="237" t="s">
        <v>3991</v>
      </c>
      <c r="S628" s="26" t="str">
        <f t="shared" si="113"/>
        <v>กลุ่มงานการพยาบาลผู้ป่วยสูติ - นรีเวช</v>
      </c>
      <c r="T628" s="218" t="s">
        <v>4920</v>
      </c>
      <c r="U628" s="26" t="s">
        <v>1302</v>
      </c>
      <c r="V628" s="25">
        <v>9.0</v>
      </c>
      <c r="W628" s="218" t="s">
        <v>3991</v>
      </c>
      <c r="X628" s="98" t="s">
        <v>1312</v>
      </c>
      <c r="Y628" s="31">
        <v>9.0</v>
      </c>
      <c r="Z628" s="31">
        <v>12.0</v>
      </c>
      <c r="AA628" s="31">
        <v>266.0</v>
      </c>
      <c r="AB628" s="31">
        <v>295.0</v>
      </c>
      <c r="AC628" s="32">
        <v>1.0</v>
      </c>
      <c r="AD628" s="26"/>
      <c r="AE628" s="26"/>
      <c r="AF628" s="32">
        <v>5.0</v>
      </c>
      <c r="AG628" s="37">
        <v>1.509901619011E12</v>
      </c>
      <c r="AH628" s="37" t="s">
        <v>1606</v>
      </c>
      <c r="AI628" s="44">
        <v>233186.0</v>
      </c>
    </row>
    <row r="629" ht="38.25" hidden="1" customHeight="1">
      <c r="A629" s="32">
        <v>623.0</v>
      </c>
      <c r="B629" s="218" t="s">
        <v>1037</v>
      </c>
      <c r="C629" s="218" t="s">
        <v>5893</v>
      </c>
      <c r="D629" s="218" t="s">
        <v>5894</v>
      </c>
      <c r="E629" s="218" t="s">
        <v>5683</v>
      </c>
      <c r="F629" s="218" t="s">
        <v>5683</v>
      </c>
      <c r="G629" s="234" t="s">
        <v>4249</v>
      </c>
      <c r="H629" s="235" t="s">
        <v>1110</v>
      </c>
      <c r="I629" s="29">
        <v>219185.0</v>
      </c>
      <c r="J629" s="29" t="s">
        <v>1125</v>
      </c>
      <c r="K629" s="222" t="s">
        <v>1137</v>
      </c>
      <c r="L629" s="222">
        <v>1.0</v>
      </c>
      <c r="M629" s="27" t="s">
        <v>1137</v>
      </c>
      <c r="N629" s="236" t="s">
        <v>1174</v>
      </c>
      <c r="O629" s="237" t="s">
        <v>5173</v>
      </c>
      <c r="P629" s="238" t="s">
        <v>4918</v>
      </c>
      <c r="Q629" s="237" t="s">
        <v>4919</v>
      </c>
      <c r="R629" s="237" t="s">
        <v>3991</v>
      </c>
      <c r="S629" s="26" t="str">
        <f t="shared" si="113"/>
        <v>กลุ่มงานการพยาบาลผู้ป่วยสูติ - นรีเวช</v>
      </c>
      <c r="T629" s="218" t="s">
        <v>4920</v>
      </c>
      <c r="U629" s="26" t="s">
        <v>1302</v>
      </c>
      <c r="V629" s="25">
        <v>9.0</v>
      </c>
      <c r="W629" s="218" t="s">
        <v>3991</v>
      </c>
      <c r="X629" s="98" t="s">
        <v>1312</v>
      </c>
      <c r="Y629" s="31">
        <v>9.0</v>
      </c>
      <c r="Z629" s="31">
        <v>12.0</v>
      </c>
      <c r="AA629" s="31">
        <v>266.0</v>
      </c>
      <c r="AB629" s="31">
        <v>295.0</v>
      </c>
      <c r="AC629" s="32">
        <v>1.0</v>
      </c>
      <c r="AD629" s="26"/>
      <c r="AE629" s="26"/>
      <c r="AF629" s="32">
        <v>5.0</v>
      </c>
      <c r="AG629" s="33">
        <v>1.501600101848E12</v>
      </c>
      <c r="AH629" s="33" t="s">
        <v>2845</v>
      </c>
      <c r="AI629" s="40">
        <v>233003.0</v>
      </c>
    </row>
    <row r="630" ht="38.25" hidden="1" customHeight="1">
      <c r="A630" s="32">
        <v>624.0</v>
      </c>
      <c r="B630" s="245" t="s">
        <v>1037</v>
      </c>
      <c r="C630" s="245" t="s">
        <v>5895</v>
      </c>
      <c r="D630" s="245" t="s">
        <v>5896</v>
      </c>
      <c r="E630" s="245" t="s">
        <v>5683</v>
      </c>
      <c r="F630" s="245" t="s">
        <v>5683</v>
      </c>
      <c r="G630" s="234" t="s">
        <v>4249</v>
      </c>
      <c r="H630" s="235" t="s">
        <v>1110</v>
      </c>
      <c r="I630" s="78">
        <v>219199.0</v>
      </c>
      <c r="J630" s="78" t="s">
        <v>1125</v>
      </c>
      <c r="K630" s="257" t="s">
        <v>1137</v>
      </c>
      <c r="L630" s="257">
        <v>1.0</v>
      </c>
      <c r="M630" s="27" t="s">
        <v>1137</v>
      </c>
      <c r="N630" s="236" t="s">
        <v>1174</v>
      </c>
      <c r="O630" s="237" t="s">
        <v>5173</v>
      </c>
      <c r="P630" s="238" t="s">
        <v>4918</v>
      </c>
      <c r="Q630" s="237" t="s">
        <v>4919</v>
      </c>
      <c r="R630" s="237" t="s">
        <v>3991</v>
      </c>
      <c r="S630" s="76" t="str">
        <f t="shared" si="113"/>
        <v>กลุ่มงานการพยาบาลผู้ป่วยสูติ - นรีเวช</v>
      </c>
      <c r="T630" s="245" t="s">
        <v>4920</v>
      </c>
      <c r="U630" s="76" t="s">
        <v>1302</v>
      </c>
      <c r="V630" s="25">
        <v>9.0</v>
      </c>
      <c r="W630" s="245" t="s">
        <v>3991</v>
      </c>
      <c r="X630" s="157" t="s">
        <v>1312</v>
      </c>
      <c r="Y630" s="81">
        <v>9.0</v>
      </c>
      <c r="Z630" s="81">
        <v>12.0</v>
      </c>
      <c r="AA630" s="81">
        <v>266.0</v>
      </c>
      <c r="AB630" s="81">
        <v>295.0</v>
      </c>
      <c r="AC630" s="129">
        <v>1.0</v>
      </c>
      <c r="AD630" s="76"/>
      <c r="AE630" s="76"/>
      <c r="AF630" s="32">
        <v>5.0</v>
      </c>
      <c r="AG630" s="37">
        <v>1.509970012081E12</v>
      </c>
      <c r="AH630" s="37" t="s">
        <v>2624</v>
      </c>
      <c r="AI630" s="44">
        <v>233792.0</v>
      </c>
    </row>
    <row r="631" ht="38.25" hidden="1" customHeight="1">
      <c r="A631" s="32">
        <v>625.0</v>
      </c>
      <c r="B631" s="218" t="s">
        <v>1037</v>
      </c>
      <c r="C631" s="218" t="s">
        <v>5897</v>
      </c>
      <c r="D631" s="218" t="s">
        <v>5898</v>
      </c>
      <c r="E631" s="218" t="s">
        <v>5683</v>
      </c>
      <c r="F631" s="218" t="s">
        <v>5683</v>
      </c>
      <c r="G631" s="234" t="s">
        <v>4249</v>
      </c>
      <c r="H631" s="226" t="s">
        <v>1110</v>
      </c>
      <c r="I631" s="29">
        <v>219200.0</v>
      </c>
      <c r="J631" s="29" t="s">
        <v>1125</v>
      </c>
      <c r="K631" s="222" t="s">
        <v>1137</v>
      </c>
      <c r="L631" s="222">
        <v>1.0</v>
      </c>
      <c r="M631" s="27" t="s">
        <v>1137</v>
      </c>
      <c r="N631" s="236" t="s">
        <v>1174</v>
      </c>
      <c r="O631" s="237" t="s">
        <v>5173</v>
      </c>
      <c r="P631" s="238" t="s">
        <v>4918</v>
      </c>
      <c r="Q631" s="237" t="s">
        <v>4919</v>
      </c>
      <c r="R631" s="237" t="s">
        <v>3991</v>
      </c>
      <c r="S631" s="26" t="str">
        <f t="shared" si="113"/>
        <v>กลุ่มงานการพยาบาลผู้ป่วยสูติ - นรีเวช</v>
      </c>
      <c r="T631" s="218" t="s">
        <v>4920</v>
      </c>
      <c r="U631" s="26" t="s">
        <v>1302</v>
      </c>
      <c r="V631" s="25">
        <v>9.0</v>
      </c>
      <c r="W631" s="218" t="s">
        <v>3991</v>
      </c>
      <c r="X631" s="98" t="s">
        <v>1312</v>
      </c>
      <c r="Y631" s="31">
        <v>9.0</v>
      </c>
      <c r="Z631" s="31">
        <v>12.0</v>
      </c>
      <c r="AA631" s="31">
        <v>266.0</v>
      </c>
      <c r="AB631" s="31">
        <v>295.0</v>
      </c>
      <c r="AC631" s="32">
        <v>1.0</v>
      </c>
      <c r="AD631" s="26"/>
      <c r="AE631" s="26"/>
      <c r="AF631" s="32">
        <v>5.0</v>
      </c>
      <c r="AG631" s="33">
        <v>1.509970031604E12</v>
      </c>
      <c r="AH631" s="33" t="s">
        <v>2619</v>
      </c>
      <c r="AI631" s="40">
        <v>233946.0</v>
      </c>
    </row>
    <row r="632" ht="38.25" hidden="1" customHeight="1">
      <c r="A632" s="32">
        <v>626.0</v>
      </c>
      <c r="B632" s="218"/>
      <c r="C632" s="218"/>
      <c r="D632" s="218"/>
      <c r="E632" s="218" t="s">
        <v>5683</v>
      </c>
      <c r="F632" s="218" t="s">
        <v>5683</v>
      </c>
      <c r="G632" s="234" t="s">
        <v>4249</v>
      </c>
      <c r="H632" s="226" t="s">
        <v>1110</v>
      </c>
      <c r="I632" s="29">
        <v>106428.0</v>
      </c>
      <c r="J632" s="29" t="s">
        <v>1125</v>
      </c>
      <c r="K632" s="222" t="s">
        <v>1137</v>
      </c>
      <c r="L632" s="222">
        <v>1.0</v>
      </c>
      <c r="M632" s="27" t="s">
        <v>1137</v>
      </c>
      <c r="N632" s="239" t="s">
        <v>3981</v>
      </c>
      <c r="O632" s="237" t="s">
        <v>4904</v>
      </c>
      <c r="P632" s="238" t="s">
        <v>4905</v>
      </c>
      <c r="Q632" s="237" t="s">
        <v>4874</v>
      </c>
      <c r="R632" s="237" t="s">
        <v>3991</v>
      </c>
      <c r="S632" s="218" t="s">
        <v>4939</v>
      </c>
      <c r="T632" s="218" t="s">
        <v>4939</v>
      </c>
      <c r="U632" s="26" t="s">
        <v>1302</v>
      </c>
      <c r="V632" s="25">
        <v>7.0</v>
      </c>
      <c r="W632" s="218" t="s">
        <v>3991</v>
      </c>
      <c r="X632" s="98" t="s">
        <v>1312</v>
      </c>
      <c r="Y632" s="31">
        <v>44.0</v>
      </c>
      <c r="Z632" s="31">
        <v>44.0</v>
      </c>
      <c r="AA632" s="31">
        <v>266.0</v>
      </c>
      <c r="AB632" s="31">
        <v>295.0</v>
      </c>
      <c r="AC632" s="32">
        <v>0.0</v>
      </c>
      <c r="AD632" s="219" t="s">
        <v>5899</v>
      </c>
      <c r="AE632" s="26"/>
      <c r="AF632" s="32">
        <v>5.0</v>
      </c>
      <c r="AG632" s="65"/>
      <c r="AH632" s="65"/>
      <c r="AI632" s="66"/>
    </row>
    <row r="633" ht="38.25" hidden="1" customHeight="1">
      <c r="A633" s="32">
        <v>627.0</v>
      </c>
      <c r="B633" s="218" t="s">
        <v>1037</v>
      </c>
      <c r="C633" s="218" t="s">
        <v>5516</v>
      </c>
      <c r="D633" s="218" t="s">
        <v>5900</v>
      </c>
      <c r="E633" s="218" t="s">
        <v>5683</v>
      </c>
      <c r="F633" s="218" t="s">
        <v>5683</v>
      </c>
      <c r="G633" s="234" t="s">
        <v>4249</v>
      </c>
      <c r="H633" s="226" t="s">
        <v>1110</v>
      </c>
      <c r="I633" s="29">
        <v>253448.0</v>
      </c>
      <c r="J633" s="29" t="s">
        <v>1125</v>
      </c>
      <c r="K633" s="222" t="s">
        <v>1137</v>
      </c>
      <c r="L633" s="222">
        <v>1.0</v>
      </c>
      <c r="M633" s="27" t="s">
        <v>1137</v>
      </c>
      <c r="N633" s="239" t="s">
        <v>3981</v>
      </c>
      <c r="O633" s="237" t="s">
        <v>4644</v>
      </c>
      <c r="P633" s="238" t="s">
        <v>5348</v>
      </c>
      <c r="Q633" s="237" t="s">
        <v>5349</v>
      </c>
      <c r="R633" s="237" t="s">
        <v>3991</v>
      </c>
      <c r="S633" s="26" t="str">
        <f t="shared" ref="S633:S721" si="114">+T633</f>
        <v>กลุ่มงานการพยาบาลผู้ป่วยโสต ศอ นาสิก จักษุ</v>
      </c>
      <c r="T633" s="218" t="s">
        <v>4939</v>
      </c>
      <c r="U633" s="26" t="s">
        <v>1302</v>
      </c>
      <c r="V633" s="25">
        <v>6.0</v>
      </c>
      <c r="W633" s="218" t="s">
        <v>3991</v>
      </c>
      <c r="X633" s="98" t="s">
        <v>1312</v>
      </c>
      <c r="Y633" s="31">
        <v>18.0</v>
      </c>
      <c r="Z633" s="31">
        <v>18.0</v>
      </c>
      <c r="AA633" s="31">
        <v>266.0</v>
      </c>
      <c r="AB633" s="31">
        <v>295.0</v>
      </c>
      <c r="AC633" s="32">
        <v>1.0</v>
      </c>
      <c r="AD633" s="26"/>
      <c r="AE633" s="26"/>
      <c r="AF633" s="32">
        <v>5.0</v>
      </c>
      <c r="AG633" s="33">
        <v>1.510100142021E12</v>
      </c>
      <c r="AH633" s="46"/>
      <c r="AI633" s="34" t="s">
        <v>5901</v>
      </c>
    </row>
    <row r="634" ht="38.25" hidden="1" customHeight="1">
      <c r="A634" s="32">
        <v>628.0</v>
      </c>
      <c r="B634" s="218" t="s">
        <v>806</v>
      </c>
      <c r="C634" s="218" t="s">
        <v>5902</v>
      </c>
      <c r="D634" s="218" t="s">
        <v>5903</v>
      </c>
      <c r="E634" s="218" t="s">
        <v>5683</v>
      </c>
      <c r="F634" s="218" t="s">
        <v>5683</v>
      </c>
      <c r="G634" s="234" t="s">
        <v>4226</v>
      </c>
      <c r="H634" s="226" t="s">
        <v>5692</v>
      </c>
      <c r="I634" s="29">
        <v>219212.0</v>
      </c>
      <c r="J634" s="29" t="s">
        <v>1125</v>
      </c>
      <c r="K634" s="222" t="s">
        <v>1137</v>
      </c>
      <c r="L634" s="222">
        <v>1.0</v>
      </c>
      <c r="M634" s="27" t="s">
        <v>1137</v>
      </c>
      <c r="N634" s="236" t="s">
        <v>1174</v>
      </c>
      <c r="O634" s="237" t="s">
        <v>5904</v>
      </c>
      <c r="P634" s="238" t="s">
        <v>4938</v>
      </c>
      <c r="Q634" s="26" t="s">
        <v>4939</v>
      </c>
      <c r="R634" s="237" t="s">
        <v>3991</v>
      </c>
      <c r="S634" s="26" t="str">
        <f t="shared" si="114"/>
        <v>กลุ่มงานการพยาบาลผู้ป่วยโสต ศอ นาสิก จักษุ</v>
      </c>
      <c r="T634" s="218" t="s">
        <v>4939</v>
      </c>
      <c r="U634" s="26" t="s">
        <v>1302</v>
      </c>
      <c r="V634" s="25">
        <v>13.0</v>
      </c>
      <c r="W634" s="218" t="s">
        <v>3991</v>
      </c>
      <c r="X634" s="98" t="s">
        <v>1312</v>
      </c>
      <c r="Y634" s="31">
        <v>6.0</v>
      </c>
      <c r="Z634" s="31">
        <v>6.0</v>
      </c>
      <c r="AA634" s="31">
        <v>266.0</v>
      </c>
      <c r="AB634" s="31">
        <v>295.0</v>
      </c>
      <c r="AC634" s="32">
        <v>1.0</v>
      </c>
      <c r="AD634" s="26"/>
      <c r="AE634" s="26"/>
      <c r="AF634" s="32">
        <v>5.0</v>
      </c>
      <c r="AG634" s="37">
        <v>3.500200312928E12</v>
      </c>
      <c r="AH634" s="37" t="s">
        <v>942</v>
      </c>
      <c r="AI634" s="39">
        <v>227131.0</v>
      </c>
    </row>
    <row r="635" ht="38.25" hidden="1" customHeight="1">
      <c r="A635" s="32">
        <v>629.0</v>
      </c>
      <c r="B635" s="218" t="s">
        <v>1037</v>
      </c>
      <c r="C635" s="218" t="s">
        <v>5905</v>
      </c>
      <c r="D635" s="218" t="s">
        <v>5906</v>
      </c>
      <c r="E635" s="218" t="s">
        <v>5683</v>
      </c>
      <c r="F635" s="218" t="s">
        <v>5683</v>
      </c>
      <c r="G635" s="234" t="s">
        <v>4226</v>
      </c>
      <c r="H635" s="226" t="s">
        <v>5907</v>
      </c>
      <c r="I635" s="29">
        <v>159147.0</v>
      </c>
      <c r="J635" s="29" t="s">
        <v>1125</v>
      </c>
      <c r="K635" s="222" t="s">
        <v>1137</v>
      </c>
      <c r="L635" s="222">
        <v>1.0</v>
      </c>
      <c r="M635" s="27" t="s">
        <v>1137</v>
      </c>
      <c r="N635" s="239" t="s">
        <v>3981</v>
      </c>
      <c r="O635" s="237" t="s">
        <v>5118</v>
      </c>
      <c r="P635" s="238" t="s">
        <v>5118</v>
      </c>
      <c r="Q635" s="237" t="s">
        <v>4879</v>
      </c>
      <c r="R635" s="237" t="s">
        <v>3991</v>
      </c>
      <c r="S635" s="26" t="str">
        <f t="shared" si="114"/>
        <v>กลุ่มงานการพยาบาลผู้ป่วยหนัก</v>
      </c>
      <c r="T635" s="218" t="s">
        <v>4959</v>
      </c>
      <c r="U635" s="26" t="s">
        <v>1302</v>
      </c>
      <c r="V635" s="25">
        <v>11.0</v>
      </c>
      <c r="W635" s="218" t="s">
        <v>3991</v>
      </c>
      <c r="X635" s="98" t="s">
        <v>1312</v>
      </c>
      <c r="Y635" s="31">
        <v>10.0</v>
      </c>
      <c r="Z635" s="31">
        <v>10.0</v>
      </c>
      <c r="AA635" s="31">
        <v>266.0</v>
      </c>
      <c r="AB635" s="31">
        <v>295.0</v>
      </c>
      <c r="AC635" s="32">
        <v>1.0</v>
      </c>
      <c r="AD635" s="26"/>
      <c r="AE635" s="26" t="s">
        <v>5908</v>
      </c>
      <c r="AF635" s="32">
        <v>5.0</v>
      </c>
      <c r="AG635" s="37">
        <v>3.501100108092E12</v>
      </c>
      <c r="AH635" s="37" t="s">
        <v>3677</v>
      </c>
      <c r="AI635" s="44">
        <v>226884.0</v>
      </c>
    </row>
    <row r="636" ht="38.25" hidden="1" customHeight="1">
      <c r="A636" s="32">
        <v>630.0</v>
      </c>
      <c r="B636" s="218" t="s">
        <v>1037</v>
      </c>
      <c r="C636" s="218" t="s">
        <v>5909</v>
      </c>
      <c r="D636" s="218" t="s">
        <v>5910</v>
      </c>
      <c r="E636" s="218" t="s">
        <v>5683</v>
      </c>
      <c r="F636" s="218" t="s">
        <v>5683</v>
      </c>
      <c r="G636" s="234" t="s">
        <v>4249</v>
      </c>
      <c r="H636" s="226" t="s">
        <v>1110</v>
      </c>
      <c r="I636" s="29">
        <v>219230.0</v>
      </c>
      <c r="J636" s="29" t="s">
        <v>1125</v>
      </c>
      <c r="K636" s="222" t="s">
        <v>1137</v>
      </c>
      <c r="L636" s="222">
        <v>1.0</v>
      </c>
      <c r="M636" s="27" t="s">
        <v>1137</v>
      </c>
      <c r="N636" s="236" t="s">
        <v>1174</v>
      </c>
      <c r="O636" s="237" t="s">
        <v>5809</v>
      </c>
      <c r="P636" s="238" t="s">
        <v>4958</v>
      </c>
      <c r="Q636" s="237" t="s">
        <v>4959</v>
      </c>
      <c r="R636" s="237" t="s">
        <v>3991</v>
      </c>
      <c r="S636" s="26" t="str">
        <f t="shared" si="114"/>
        <v>กลุ่มงานการพยาบาลผู้ป่วยหนัก</v>
      </c>
      <c r="T636" s="218" t="s">
        <v>4959</v>
      </c>
      <c r="U636" s="26" t="s">
        <v>1302</v>
      </c>
      <c r="V636" s="25">
        <v>3.0</v>
      </c>
      <c r="W636" s="218" t="s">
        <v>3991</v>
      </c>
      <c r="X636" s="98" t="s">
        <v>1312</v>
      </c>
      <c r="Y636" s="31">
        <v>32.0</v>
      </c>
      <c r="Z636" s="31">
        <v>32.0</v>
      </c>
      <c r="AA636" s="31">
        <v>266.0</v>
      </c>
      <c r="AB636" s="31">
        <v>295.0</v>
      </c>
      <c r="AC636" s="32">
        <v>1.0</v>
      </c>
      <c r="AD636" s="26"/>
      <c r="AE636" s="26"/>
      <c r="AF636" s="32">
        <v>5.0</v>
      </c>
      <c r="AG636" s="33">
        <v>1.509901675026E12</v>
      </c>
      <c r="AH636" s="33" t="s">
        <v>2758</v>
      </c>
      <c r="AI636" s="34" t="s">
        <v>5911</v>
      </c>
    </row>
    <row r="637" ht="38.25" hidden="1" customHeight="1">
      <c r="A637" s="32">
        <v>631.0</v>
      </c>
      <c r="B637" s="218" t="s">
        <v>1037</v>
      </c>
      <c r="C637" s="218" t="s">
        <v>5912</v>
      </c>
      <c r="D637" s="218" t="s">
        <v>5913</v>
      </c>
      <c r="E637" s="218" t="s">
        <v>5683</v>
      </c>
      <c r="F637" s="218" t="s">
        <v>5683</v>
      </c>
      <c r="G637" s="234" t="s">
        <v>4249</v>
      </c>
      <c r="H637" s="235" t="s">
        <v>1110</v>
      </c>
      <c r="I637" s="29">
        <v>219209.0</v>
      </c>
      <c r="J637" s="29" t="s">
        <v>1125</v>
      </c>
      <c r="K637" s="222" t="s">
        <v>1137</v>
      </c>
      <c r="L637" s="222">
        <v>1.0</v>
      </c>
      <c r="M637" s="27" t="s">
        <v>1137</v>
      </c>
      <c r="N637" s="239" t="s">
        <v>3981</v>
      </c>
      <c r="O637" s="237" t="s">
        <v>4396</v>
      </c>
      <c r="P637" s="238" t="s">
        <v>4397</v>
      </c>
      <c r="Q637" s="237" t="s">
        <v>4398</v>
      </c>
      <c r="R637" s="237" t="s">
        <v>3991</v>
      </c>
      <c r="S637" s="26" t="str">
        <f t="shared" si="114"/>
        <v>กลุ่มงานการพยาบาลผู้ป่วยหนัก</v>
      </c>
      <c r="T637" s="218" t="s">
        <v>4959</v>
      </c>
      <c r="U637" s="26" t="s">
        <v>1302</v>
      </c>
      <c r="V637" s="25">
        <v>1.0</v>
      </c>
      <c r="W637" s="218" t="s">
        <v>3991</v>
      </c>
      <c r="X637" s="98" t="s">
        <v>1312</v>
      </c>
      <c r="Y637" s="31">
        <v>20.0</v>
      </c>
      <c r="Z637" s="31">
        <v>20.0</v>
      </c>
      <c r="AA637" s="31">
        <v>266.0</v>
      </c>
      <c r="AB637" s="31">
        <v>295.0</v>
      </c>
      <c r="AC637" s="32">
        <v>1.0</v>
      </c>
      <c r="AD637" s="26"/>
      <c r="AE637" s="26"/>
      <c r="AF637" s="32">
        <v>5.0</v>
      </c>
      <c r="AG637" s="37">
        <v>1.509901512631E12</v>
      </c>
      <c r="AH637" s="37" t="s">
        <v>2477</v>
      </c>
      <c r="AI637" s="44">
        <v>232731.0</v>
      </c>
    </row>
    <row r="638" ht="38.25" hidden="1" customHeight="1">
      <c r="A638" s="32">
        <v>632.0</v>
      </c>
      <c r="B638" s="218" t="s">
        <v>1037</v>
      </c>
      <c r="C638" s="218" t="s">
        <v>5914</v>
      </c>
      <c r="D638" s="218" t="s">
        <v>5915</v>
      </c>
      <c r="E638" s="218" t="s">
        <v>5683</v>
      </c>
      <c r="F638" s="218" t="s">
        <v>5683</v>
      </c>
      <c r="G638" s="234" t="s">
        <v>4249</v>
      </c>
      <c r="H638" s="235" t="s">
        <v>1110</v>
      </c>
      <c r="I638" s="29">
        <v>106704.0</v>
      </c>
      <c r="J638" s="29" t="s">
        <v>1125</v>
      </c>
      <c r="K638" s="222" t="s">
        <v>1137</v>
      </c>
      <c r="L638" s="222">
        <v>1.0</v>
      </c>
      <c r="M638" s="27" t="s">
        <v>1137</v>
      </c>
      <c r="N638" s="236" t="s">
        <v>1174</v>
      </c>
      <c r="O638" s="237" t="s">
        <v>5153</v>
      </c>
      <c r="P638" s="238" t="s">
        <v>5154</v>
      </c>
      <c r="Q638" s="237" t="s">
        <v>4959</v>
      </c>
      <c r="R638" s="237" t="s">
        <v>3991</v>
      </c>
      <c r="S638" s="26" t="str">
        <f t="shared" si="114"/>
        <v>กลุ่มงานการพยาบาลผู้ป่วยหนัก</v>
      </c>
      <c r="T638" s="218" t="s">
        <v>4959</v>
      </c>
      <c r="U638" s="26" t="s">
        <v>1302</v>
      </c>
      <c r="V638" s="25">
        <v>3.0</v>
      </c>
      <c r="W638" s="218" t="s">
        <v>3991</v>
      </c>
      <c r="X638" s="98" t="s">
        <v>1312</v>
      </c>
      <c r="Y638" s="31">
        <v>32.0</v>
      </c>
      <c r="Z638" s="31">
        <v>32.0</v>
      </c>
      <c r="AA638" s="31">
        <v>266.0</v>
      </c>
      <c r="AB638" s="31">
        <v>295.0</v>
      </c>
      <c r="AC638" s="32">
        <v>1.0</v>
      </c>
      <c r="AD638" s="26"/>
      <c r="AE638" s="26"/>
      <c r="AF638" s="32">
        <v>5.0</v>
      </c>
      <c r="AG638" s="37">
        <v>1.509970032686E12</v>
      </c>
      <c r="AH638" s="37" t="s">
        <v>2209</v>
      </c>
      <c r="AI638" s="44">
        <v>233977.0</v>
      </c>
    </row>
    <row r="639" ht="38.25" hidden="1" customHeight="1">
      <c r="A639" s="32">
        <v>633.0</v>
      </c>
      <c r="B639" s="218" t="s">
        <v>1037</v>
      </c>
      <c r="C639" s="218" t="s">
        <v>5916</v>
      </c>
      <c r="D639" s="218" t="s">
        <v>5917</v>
      </c>
      <c r="E639" s="218" t="s">
        <v>5683</v>
      </c>
      <c r="F639" s="218" t="s">
        <v>5683</v>
      </c>
      <c r="G639" s="234" t="s">
        <v>4249</v>
      </c>
      <c r="H639" s="226" t="s">
        <v>1110</v>
      </c>
      <c r="I639" s="29">
        <v>232916.0</v>
      </c>
      <c r="J639" s="29" t="s">
        <v>1125</v>
      </c>
      <c r="K639" s="222" t="s">
        <v>1137</v>
      </c>
      <c r="L639" s="222">
        <v>1.0</v>
      </c>
      <c r="M639" s="27" t="s">
        <v>1137</v>
      </c>
      <c r="N639" s="236" t="s">
        <v>1174</v>
      </c>
      <c r="O639" s="237" t="s">
        <v>5153</v>
      </c>
      <c r="P639" s="238" t="s">
        <v>5154</v>
      </c>
      <c r="Q639" s="237" t="s">
        <v>4959</v>
      </c>
      <c r="R639" s="237" t="s">
        <v>3991</v>
      </c>
      <c r="S639" s="26" t="str">
        <f t="shared" si="114"/>
        <v>กลุ่มงานการพยาบาลผู้ป่วยหนัก</v>
      </c>
      <c r="T639" s="218" t="s">
        <v>4959</v>
      </c>
      <c r="U639" s="26" t="s">
        <v>1302</v>
      </c>
      <c r="V639" s="25">
        <v>3.0</v>
      </c>
      <c r="W639" s="218" t="s">
        <v>3991</v>
      </c>
      <c r="X639" s="98" t="s">
        <v>1312</v>
      </c>
      <c r="Y639" s="31">
        <v>32.0</v>
      </c>
      <c r="Z639" s="31">
        <v>32.0</v>
      </c>
      <c r="AA639" s="31">
        <v>266.0</v>
      </c>
      <c r="AB639" s="31">
        <v>295.0</v>
      </c>
      <c r="AC639" s="32">
        <v>1.0</v>
      </c>
      <c r="AD639" s="26"/>
      <c r="AE639" s="26"/>
      <c r="AF639" s="32">
        <v>5.0</v>
      </c>
      <c r="AG639" s="33">
        <v>1.509901659357E12</v>
      </c>
      <c r="AH639" s="33" t="s">
        <v>2684</v>
      </c>
      <c r="AI639" s="34" t="s">
        <v>5486</v>
      </c>
    </row>
    <row r="640" ht="38.25" hidden="1" customHeight="1">
      <c r="A640" s="32">
        <v>634.0</v>
      </c>
      <c r="B640" s="218" t="s">
        <v>1037</v>
      </c>
      <c r="C640" s="218" t="s">
        <v>5918</v>
      </c>
      <c r="D640" s="218" t="s">
        <v>5919</v>
      </c>
      <c r="E640" s="218" t="s">
        <v>5683</v>
      </c>
      <c r="F640" s="218" t="s">
        <v>5683</v>
      </c>
      <c r="G640" s="234" t="s">
        <v>4249</v>
      </c>
      <c r="H640" s="226" t="s">
        <v>1110</v>
      </c>
      <c r="I640" s="29">
        <v>232913.0</v>
      </c>
      <c r="J640" s="29" t="s">
        <v>1125</v>
      </c>
      <c r="K640" s="222" t="s">
        <v>1137</v>
      </c>
      <c r="L640" s="222">
        <v>1.0</v>
      </c>
      <c r="M640" s="27" t="s">
        <v>1137</v>
      </c>
      <c r="N640" s="236" t="s">
        <v>1174</v>
      </c>
      <c r="O640" s="237" t="s">
        <v>5153</v>
      </c>
      <c r="P640" s="238" t="s">
        <v>5154</v>
      </c>
      <c r="Q640" s="237" t="s">
        <v>4959</v>
      </c>
      <c r="R640" s="237" t="s">
        <v>3991</v>
      </c>
      <c r="S640" s="26" t="str">
        <f t="shared" si="114"/>
        <v>กลุ่มงานการพยาบาลผู้ป่วยหนัก</v>
      </c>
      <c r="T640" s="218" t="s">
        <v>4959</v>
      </c>
      <c r="U640" s="26" t="s">
        <v>1302</v>
      </c>
      <c r="V640" s="25">
        <v>3.0</v>
      </c>
      <c r="W640" s="218" t="s">
        <v>3991</v>
      </c>
      <c r="X640" s="98" t="s">
        <v>1312</v>
      </c>
      <c r="Y640" s="31">
        <v>32.0</v>
      </c>
      <c r="Z640" s="31">
        <v>32.0</v>
      </c>
      <c r="AA640" s="31">
        <v>266.0</v>
      </c>
      <c r="AB640" s="31">
        <v>295.0</v>
      </c>
      <c r="AC640" s="32">
        <v>1.0</v>
      </c>
      <c r="AD640" s="26"/>
      <c r="AE640" s="26"/>
      <c r="AF640" s="32">
        <v>5.0</v>
      </c>
      <c r="AG640" s="33">
        <v>1.505200038565E12</v>
      </c>
      <c r="AH640" s="33" t="s">
        <v>2679</v>
      </c>
      <c r="AI640" s="40">
        <v>233818.0</v>
      </c>
    </row>
    <row r="641" ht="38.25" hidden="1" customHeight="1">
      <c r="A641" s="32">
        <v>635.0</v>
      </c>
      <c r="B641" s="218" t="s">
        <v>1037</v>
      </c>
      <c r="C641" s="218" t="s">
        <v>5920</v>
      </c>
      <c r="D641" s="218" t="s">
        <v>5921</v>
      </c>
      <c r="E641" s="218" t="s">
        <v>5683</v>
      </c>
      <c r="F641" s="218" t="s">
        <v>5683</v>
      </c>
      <c r="G641" s="234" t="s">
        <v>4249</v>
      </c>
      <c r="H641" s="226" t="s">
        <v>1110</v>
      </c>
      <c r="I641" s="29">
        <v>219189.0</v>
      </c>
      <c r="J641" s="29" t="s">
        <v>1125</v>
      </c>
      <c r="K641" s="222" t="s">
        <v>1137</v>
      </c>
      <c r="L641" s="222">
        <v>1.0</v>
      </c>
      <c r="M641" s="27" t="s">
        <v>1137</v>
      </c>
      <c r="N641" s="236" t="s">
        <v>1174</v>
      </c>
      <c r="O641" s="237" t="s">
        <v>5153</v>
      </c>
      <c r="P641" s="238" t="s">
        <v>5154</v>
      </c>
      <c r="Q641" s="237" t="s">
        <v>4959</v>
      </c>
      <c r="R641" s="237" t="s">
        <v>3991</v>
      </c>
      <c r="S641" s="26" t="str">
        <f t="shared" si="114"/>
        <v>กลุ่มงานการพยาบาลผู้ป่วยหนัก</v>
      </c>
      <c r="T641" s="218" t="s">
        <v>4959</v>
      </c>
      <c r="U641" s="26" t="s">
        <v>1302</v>
      </c>
      <c r="V641" s="25">
        <v>3.0</v>
      </c>
      <c r="W641" s="218" t="s">
        <v>3991</v>
      </c>
      <c r="X641" s="98" t="s">
        <v>1312</v>
      </c>
      <c r="Y641" s="31">
        <v>32.0</v>
      </c>
      <c r="Z641" s="31">
        <v>32.0</v>
      </c>
      <c r="AA641" s="31">
        <v>266.0</v>
      </c>
      <c r="AB641" s="31">
        <v>295.0</v>
      </c>
      <c r="AC641" s="32">
        <v>1.0</v>
      </c>
      <c r="AD641" s="26"/>
      <c r="AE641" s="26"/>
      <c r="AF641" s="32">
        <v>5.0</v>
      </c>
      <c r="AG641" s="37">
        <v>1.500900220612E12</v>
      </c>
      <c r="AH641" s="37" t="s">
        <v>2689</v>
      </c>
      <c r="AI641" s="38" t="s">
        <v>5922</v>
      </c>
    </row>
    <row r="642" ht="38.25" hidden="1" customHeight="1">
      <c r="A642" s="32">
        <v>636.0</v>
      </c>
      <c r="B642" s="218" t="s">
        <v>1037</v>
      </c>
      <c r="C642" s="218" t="s">
        <v>5923</v>
      </c>
      <c r="D642" s="218" t="s">
        <v>5910</v>
      </c>
      <c r="E642" s="218" t="s">
        <v>5683</v>
      </c>
      <c r="F642" s="218" t="s">
        <v>5683</v>
      </c>
      <c r="G642" s="234" t="s">
        <v>4249</v>
      </c>
      <c r="H642" s="226" t="s">
        <v>1110</v>
      </c>
      <c r="I642" s="29">
        <v>219220.0</v>
      </c>
      <c r="J642" s="29" t="s">
        <v>1125</v>
      </c>
      <c r="K642" s="222" t="s">
        <v>1137</v>
      </c>
      <c r="L642" s="222">
        <v>1.0</v>
      </c>
      <c r="M642" s="27" t="s">
        <v>1137</v>
      </c>
      <c r="N642" s="236" t="s">
        <v>1174</v>
      </c>
      <c r="O642" s="237" t="s">
        <v>5809</v>
      </c>
      <c r="P642" s="238" t="s">
        <v>4958</v>
      </c>
      <c r="Q642" s="237" t="s">
        <v>4959</v>
      </c>
      <c r="R642" s="237" t="s">
        <v>3991</v>
      </c>
      <c r="S642" s="26" t="str">
        <f t="shared" si="114"/>
        <v>กลุ่มงานการพยาบาลผู้ป่วยหนัก</v>
      </c>
      <c r="T642" s="218" t="s">
        <v>4959</v>
      </c>
      <c r="U642" s="26" t="s">
        <v>1302</v>
      </c>
      <c r="V642" s="25">
        <v>3.0</v>
      </c>
      <c r="W642" s="218" t="s">
        <v>3991</v>
      </c>
      <c r="X642" s="98" t="s">
        <v>1312</v>
      </c>
      <c r="Y642" s="31">
        <v>32.0</v>
      </c>
      <c r="Z642" s="31">
        <v>32.0</v>
      </c>
      <c r="AA642" s="31">
        <v>266.0</v>
      </c>
      <c r="AB642" s="31">
        <v>295.0</v>
      </c>
      <c r="AC642" s="32">
        <v>1.0</v>
      </c>
      <c r="AD642" s="26"/>
      <c r="AE642" s="26"/>
      <c r="AF642" s="32">
        <v>5.0</v>
      </c>
      <c r="AG642" s="37">
        <v>1.509901675018E12</v>
      </c>
      <c r="AH642" s="37" t="s">
        <v>2492</v>
      </c>
      <c r="AI642" s="38" t="s">
        <v>5911</v>
      </c>
    </row>
    <row r="643" ht="38.25" hidden="1" customHeight="1">
      <c r="A643" s="32">
        <v>637.0</v>
      </c>
      <c r="B643" s="218" t="s">
        <v>1037</v>
      </c>
      <c r="C643" s="218" t="s">
        <v>5924</v>
      </c>
      <c r="D643" s="218" t="s">
        <v>5132</v>
      </c>
      <c r="E643" s="218" t="s">
        <v>5683</v>
      </c>
      <c r="F643" s="218" t="s">
        <v>5683</v>
      </c>
      <c r="G643" s="234" t="s">
        <v>4249</v>
      </c>
      <c r="H643" s="226" t="s">
        <v>1110</v>
      </c>
      <c r="I643" s="29">
        <v>219190.0</v>
      </c>
      <c r="J643" s="29" t="s">
        <v>1125</v>
      </c>
      <c r="K643" s="222" t="s">
        <v>1137</v>
      </c>
      <c r="L643" s="222">
        <v>1.0</v>
      </c>
      <c r="M643" s="27" t="s">
        <v>1137</v>
      </c>
      <c r="N643" s="236" t="s">
        <v>1174</v>
      </c>
      <c r="O643" s="237" t="s">
        <v>5809</v>
      </c>
      <c r="P643" s="238" t="s">
        <v>4958</v>
      </c>
      <c r="Q643" s="237" t="s">
        <v>4959</v>
      </c>
      <c r="R643" s="237" t="s">
        <v>3991</v>
      </c>
      <c r="S643" s="26" t="str">
        <f t="shared" si="114"/>
        <v>กลุ่มงานการพยาบาลผู้ป่วยหนัก</v>
      </c>
      <c r="T643" s="218" t="s">
        <v>4959</v>
      </c>
      <c r="U643" s="26" t="s">
        <v>1302</v>
      </c>
      <c r="V643" s="25">
        <v>3.0</v>
      </c>
      <c r="W643" s="218" t="s">
        <v>3991</v>
      </c>
      <c r="X643" s="98" t="s">
        <v>1312</v>
      </c>
      <c r="Y643" s="31">
        <v>32.0</v>
      </c>
      <c r="Z643" s="31">
        <v>32.0</v>
      </c>
      <c r="AA643" s="31">
        <v>266.0</v>
      </c>
      <c r="AB643" s="31">
        <v>295.0</v>
      </c>
      <c r="AC643" s="32">
        <v>1.0</v>
      </c>
      <c r="AD643" s="26"/>
      <c r="AE643" s="26"/>
      <c r="AF643" s="32">
        <v>5.0</v>
      </c>
      <c r="AG643" s="33">
        <v>1.500701224014E12</v>
      </c>
      <c r="AH643" s="33" t="s">
        <v>2662</v>
      </c>
      <c r="AI643" s="40">
        <v>234036.0</v>
      </c>
    </row>
    <row r="644" ht="38.25" hidden="1" customHeight="1">
      <c r="A644" s="32">
        <v>638.0</v>
      </c>
      <c r="B644" s="218" t="s">
        <v>1037</v>
      </c>
      <c r="C644" s="218" t="s">
        <v>5925</v>
      </c>
      <c r="D644" s="218" t="s">
        <v>5763</v>
      </c>
      <c r="E644" s="218" t="s">
        <v>5683</v>
      </c>
      <c r="F644" s="218" t="s">
        <v>5683</v>
      </c>
      <c r="G644" s="220" t="s">
        <v>4249</v>
      </c>
      <c r="H644" s="226" t="s">
        <v>1110</v>
      </c>
      <c r="I644" s="29">
        <v>219188.0</v>
      </c>
      <c r="J644" s="29" t="s">
        <v>1125</v>
      </c>
      <c r="K644" s="222" t="s">
        <v>1137</v>
      </c>
      <c r="L644" s="222">
        <v>1.0</v>
      </c>
      <c r="M644" s="27" t="s">
        <v>1137</v>
      </c>
      <c r="N644" s="223" t="s">
        <v>1174</v>
      </c>
      <c r="O644" s="224" t="s">
        <v>5153</v>
      </c>
      <c r="P644" s="225" t="s">
        <v>5154</v>
      </c>
      <c r="Q644" s="224" t="s">
        <v>4959</v>
      </c>
      <c r="R644" s="224" t="s">
        <v>3991</v>
      </c>
      <c r="S644" s="26" t="str">
        <f t="shared" si="114"/>
        <v>กลุ่มงานการพยาบาลผู้ป่วยหนัก</v>
      </c>
      <c r="T644" s="218" t="s">
        <v>4959</v>
      </c>
      <c r="U644" s="26" t="s">
        <v>1302</v>
      </c>
      <c r="V644" s="25">
        <v>3.0</v>
      </c>
      <c r="W644" s="218" t="s">
        <v>3991</v>
      </c>
      <c r="X644" s="98" t="s">
        <v>1312</v>
      </c>
      <c r="Y644" s="31">
        <v>32.0</v>
      </c>
      <c r="Z644" s="31">
        <v>32.0</v>
      </c>
      <c r="AA644" s="31">
        <v>266.0</v>
      </c>
      <c r="AB644" s="31">
        <v>295.0</v>
      </c>
      <c r="AC644" s="32">
        <v>1.0</v>
      </c>
      <c r="AD644" s="26"/>
      <c r="AE644" s="26"/>
      <c r="AF644" s="32">
        <v>5.0</v>
      </c>
      <c r="AG644" s="37">
        <v>1.10217000992E12</v>
      </c>
      <c r="AH644" s="37" t="s">
        <v>2666</v>
      </c>
      <c r="AI644" s="38" t="s">
        <v>5926</v>
      </c>
    </row>
    <row r="645" ht="38.25" hidden="1" customHeight="1">
      <c r="A645" s="32">
        <v>639.0</v>
      </c>
      <c r="B645" s="218" t="s">
        <v>1037</v>
      </c>
      <c r="C645" s="218" t="s">
        <v>5927</v>
      </c>
      <c r="D645" s="218" t="s">
        <v>5928</v>
      </c>
      <c r="E645" s="218" t="s">
        <v>5683</v>
      </c>
      <c r="F645" s="218" t="s">
        <v>5683</v>
      </c>
      <c r="G645" s="220" t="s">
        <v>4226</v>
      </c>
      <c r="H645" s="226" t="s">
        <v>5907</v>
      </c>
      <c r="I645" s="29">
        <v>194168.0</v>
      </c>
      <c r="J645" s="29" t="s">
        <v>1125</v>
      </c>
      <c r="K645" s="222" t="s">
        <v>1137</v>
      </c>
      <c r="L645" s="222">
        <v>1.0</v>
      </c>
      <c r="M645" s="27" t="s">
        <v>1137</v>
      </c>
      <c r="N645" s="223" t="s">
        <v>1174</v>
      </c>
      <c r="O645" s="224" t="s">
        <v>5153</v>
      </c>
      <c r="P645" s="225" t="s">
        <v>5154</v>
      </c>
      <c r="Q645" s="224" t="s">
        <v>4959</v>
      </c>
      <c r="R645" s="224" t="s">
        <v>3991</v>
      </c>
      <c r="S645" s="26" t="str">
        <f t="shared" si="114"/>
        <v>กลุ่มงานการพยาบาลผู้ป่วยหนัก</v>
      </c>
      <c r="T645" s="218" t="s">
        <v>4959</v>
      </c>
      <c r="U645" s="26" t="s">
        <v>1302</v>
      </c>
      <c r="V645" s="25">
        <v>3.0</v>
      </c>
      <c r="W645" s="218" t="s">
        <v>3991</v>
      </c>
      <c r="X645" s="98" t="s">
        <v>1312</v>
      </c>
      <c r="Y645" s="31">
        <v>32.0</v>
      </c>
      <c r="Z645" s="31">
        <v>32.0</v>
      </c>
      <c r="AA645" s="31">
        <v>266.0</v>
      </c>
      <c r="AB645" s="31">
        <v>295.0</v>
      </c>
      <c r="AC645" s="32">
        <v>1.0</v>
      </c>
      <c r="AD645" s="26"/>
      <c r="AE645" s="26"/>
      <c r="AF645" s="32">
        <v>5.0</v>
      </c>
      <c r="AG645" s="33">
        <v>1.509900651263E12</v>
      </c>
      <c r="AH645" s="33" t="s">
        <v>3696</v>
      </c>
      <c r="AI645" s="34" t="s">
        <v>5929</v>
      </c>
    </row>
    <row r="646" ht="38.25" hidden="1" customHeight="1">
      <c r="A646" s="32">
        <v>640.0</v>
      </c>
      <c r="B646" s="218" t="s">
        <v>1037</v>
      </c>
      <c r="C646" s="218" t="s">
        <v>5303</v>
      </c>
      <c r="D646" s="218" t="s">
        <v>5930</v>
      </c>
      <c r="E646" s="218" t="s">
        <v>5683</v>
      </c>
      <c r="F646" s="218" t="s">
        <v>5683</v>
      </c>
      <c r="G646" s="220" t="s">
        <v>4220</v>
      </c>
      <c r="H646" s="226" t="s">
        <v>5692</v>
      </c>
      <c r="I646" s="29">
        <v>106829.0</v>
      </c>
      <c r="J646" s="29" t="s">
        <v>1125</v>
      </c>
      <c r="K646" s="222" t="s">
        <v>1137</v>
      </c>
      <c r="L646" s="222">
        <v>1.0</v>
      </c>
      <c r="M646" s="27" t="s">
        <v>1137</v>
      </c>
      <c r="N646" s="227" t="s">
        <v>3981</v>
      </c>
      <c r="O646" s="224" t="s">
        <v>4882</v>
      </c>
      <c r="P646" s="225" t="s">
        <v>4883</v>
      </c>
      <c r="Q646" s="224" t="s">
        <v>4874</v>
      </c>
      <c r="R646" s="224" t="s">
        <v>3991</v>
      </c>
      <c r="S646" s="26" t="str">
        <f t="shared" si="114"/>
        <v>กลุ่มงานการพยาบาลผู้ป่วยหนัก</v>
      </c>
      <c r="T646" s="218" t="s">
        <v>4959</v>
      </c>
      <c r="U646" s="26" t="s">
        <v>1302</v>
      </c>
      <c r="V646" s="25">
        <v>7.0</v>
      </c>
      <c r="W646" s="218" t="s">
        <v>3991</v>
      </c>
      <c r="X646" s="98" t="s">
        <v>1312</v>
      </c>
      <c r="Y646" s="31">
        <v>44.0</v>
      </c>
      <c r="Z646" s="31">
        <v>44.0</v>
      </c>
      <c r="AA646" s="31">
        <v>266.0</v>
      </c>
      <c r="AB646" s="31">
        <v>295.0</v>
      </c>
      <c r="AC646" s="32">
        <v>1.0</v>
      </c>
      <c r="AD646" s="26"/>
      <c r="AE646" s="26"/>
      <c r="AF646" s="32">
        <v>5.0</v>
      </c>
      <c r="AG646" s="33">
        <v>1.500700169036E12</v>
      </c>
      <c r="AH646" s="33" t="s">
        <v>2895</v>
      </c>
      <c r="AI646" s="34" t="s">
        <v>5931</v>
      </c>
    </row>
    <row r="647" ht="38.25" hidden="1" customHeight="1">
      <c r="A647" s="32">
        <v>641.0</v>
      </c>
      <c r="B647" s="218" t="s">
        <v>1037</v>
      </c>
      <c r="C647" s="218" t="s">
        <v>5932</v>
      </c>
      <c r="D647" s="218" t="s">
        <v>4560</v>
      </c>
      <c r="E647" s="218" t="s">
        <v>5683</v>
      </c>
      <c r="F647" s="218" t="s">
        <v>5683</v>
      </c>
      <c r="G647" s="220" t="s">
        <v>4249</v>
      </c>
      <c r="H647" s="226" t="s">
        <v>1110</v>
      </c>
      <c r="I647" s="29">
        <v>219172.0</v>
      </c>
      <c r="J647" s="29" t="s">
        <v>1125</v>
      </c>
      <c r="K647" s="222" t="s">
        <v>1137</v>
      </c>
      <c r="L647" s="222">
        <v>1.0</v>
      </c>
      <c r="M647" s="27" t="s">
        <v>1137</v>
      </c>
      <c r="N647" s="223" t="s">
        <v>1174</v>
      </c>
      <c r="O647" s="224" t="s">
        <v>5153</v>
      </c>
      <c r="P647" s="225" t="s">
        <v>5154</v>
      </c>
      <c r="Q647" s="224" t="s">
        <v>4959</v>
      </c>
      <c r="R647" s="224" t="s">
        <v>3991</v>
      </c>
      <c r="S647" s="26" t="str">
        <f t="shared" si="114"/>
        <v>กลุ่มงานการพยาบาลผู้ป่วยหนัก</v>
      </c>
      <c r="T647" s="218" t="s">
        <v>4959</v>
      </c>
      <c r="U647" s="26" t="s">
        <v>1302</v>
      </c>
      <c r="V647" s="25">
        <v>3.0</v>
      </c>
      <c r="W647" s="218" t="s">
        <v>3991</v>
      </c>
      <c r="X647" s="98" t="s">
        <v>1312</v>
      </c>
      <c r="Y647" s="31">
        <v>32.0</v>
      </c>
      <c r="Z647" s="31">
        <v>32.0</v>
      </c>
      <c r="AA647" s="31">
        <v>266.0</v>
      </c>
      <c r="AB647" s="31">
        <v>295.0</v>
      </c>
      <c r="AC647" s="32">
        <v>1.0</v>
      </c>
      <c r="AD647" s="26"/>
      <c r="AE647" s="26"/>
      <c r="AF647" s="32">
        <v>5.0</v>
      </c>
      <c r="AG647" s="33">
        <v>1.509901446973E12</v>
      </c>
      <c r="AH647" s="33" t="s">
        <v>2868</v>
      </c>
      <c r="AI647" s="40">
        <v>232939.0</v>
      </c>
    </row>
    <row r="648" ht="38.25" hidden="1" customHeight="1">
      <c r="A648" s="32">
        <v>642.0</v>
      </c>
      <c r="B648" s="218" t="s">
        <v>1037</v>
      </c>
      <c r="C648" s="218" t="s">
        <v>5933</v>
      </c>
      <c r="D648" s="218" t="s">
        <v>5934</v>
      </c>
      <c r="E648" s="218" t="s">
        <v>5683</v>
      </c>
      <c r="F648" s="218" t="s">
        <v>5683</v>
      </c>
      <c r="G648" s="234" t="s">
        <v>4249</v>
      </c>
      <c r="H648" s="235" t="s">
        <v>1110</v>
      </c>
      <c r="I648" s="29">
        <v>219215.0</v>
      </c>
      <c r="J648" s="29" t="s">
        <v>1125</v>
      </c>
      <c r="K648" s="222" t="s">
        <v>1137</v>
      </c>
      <c r="L648" s="222">
        <v>1.0</v>
      </c>
      <c r="M648" s="27" t="s">
        <v>1137</v>
      </c>
      <c r="N648" s="236" t="s">
        <v>1174</v>
      </c>
      <c r="O648" s="237" t="s">
        <v>5153</v>
      </c>
      <c r="P648" s="238" t="s">
        <v>5154</v>
      </c>
      <c r="Q648" s="237" t="s">
        <v>4959</v>
      </c>
      <c r="R648" s="237" t="s">
        <v>3991</v>
      </c>
      <c r="S648" s="26" t="str">
        <f t="shared" si="114"/>
        <v>กลุ่มงานการพยาบาลผู้ป่วยหนัก</v>
      </c>
      <c r="T648" s="218" t="s">
        <v>4959</v>
      </c>
      <c r="U648" s="26" t="s">
        <v>1302</v>
      </c>
      <c r="V648" s="25">
        <v>3.0</v>
      </c>
      <c r="W648" s="218" t="s">
        <v>3991</v>
      </c>
      <c r="X648" s="98" t="s">
        <v>1312</v>
      </c>
      <c r="Y648" s="31">
        <v>32.0</v>
      </c>
      <c r="Z648" s="31">
        <v>32.0</v>
      </c>
      <c r="AA648" s="31">
        <v>266.0</v>
      </c>
      <c r="AB648" s="31">
        <v>295.0</v>
      </c>
      <c r="AC648" s="32">
        <v>1.0</v>
      </c>
      <c r="AD648" s="26"/>
      <c r="AE648" s="26"/>
      <c r="AF648" s="32">
        <v>5.0</v>
      </c>
      <c r="AG648" s="37">
        <v>2.16010002344E12</v>
      </c>
      <c r="AH648" s="37" t="s">
        <v>2998</v>
      </c>
      <c r="AI648" s="38" t="s">
        <v>4596</v>
      </c>
    </row>
    <row r="649" ht="38.25" hidden="1" customHeight="1">
      <c r="A649" s="32">
        <v>643.0</v>
      </c>
      <c r="B649" s="218" t="s">
        <v>1037</v>
      </c>
      <c r="C649" s="218" t="s">
        <v>5935</v>
      </c>
      <c r="D649" s="218" t="s">
        <v>5936</v>
      </c>
      <c r="E649" s="218" t="s">
        <v>5683</v>
      </c>
      <c r="F649" s="218" t="s">
        <v>5683</v>
      </c>
      <c r="G649" s="234" t="s">
        <v>4249</v>
      </c>
      <c r="H649" s="235" t="s">
        <v>1110</v>
      </c>
      <c r="I649" s="29">
        <v>107359.0</v>
      </c>
      <c r="J649" s="29" t="s">
        <v>1125</v>
      </c>
      <c r="K649" s="222" t="s">
        <v>1137</v>
      </c>
      <c r="L649" s="222">
        <v>1.0</v>
      </c>
      <c r="M649" s="27" t="s">
        <v>1137</v>
      </c>
      <c r="N649" s="236" t="s">
        <v>1174</v>
      </c>
      <c r="O649" s="237" t="s">
        <v>5153</v>
      </c>
      <c r="P649" s="238" t="s">
        <v>5154</v>
      </c>
      <c r="Q649" s="224" t="s">
        <v>4959</v>
      </c>
      <c r="R649" s="237" t="s">
        <v>3991</v>
      </c>
      <c r="S649" s="26" t="str">
        <f t="shared" si="114"/>
        <v>กลุ่มงานการพยาบาลผู้ป่วยหนัก</v>
      </c>
      <c r="T649" s="218" t="s">
        <v>4959</v>
      </c>
      <c r="U649" s="26" t="s">
        <v>1302</v>
      </c>
      <c r="V649" s="25">
        <v>3.0</v>
      </c>
      <c r="W649" s="218" t="s">
        <v>3991</v>
      </c>
      <c r="X649" s="98" t="s">
        <v>1312</v>
      </c>
      <c r="Y649" s="31">
        <v>32.0</v>
      </c>
      <c r="Z649" s="31">
        <v>32.0</v>
      </c>
      <c r="AA649" s="31">
        <v>266.0</v>
      </c>
      <c r="AB649" s="31">
        <v>295.0</v>
      </c>
      <c r="AC649" s="32">
        <v>1.0</v>
      </c>
      <c r="AD649" s="26"/>
      <c r="AE649" s="26"/>
      <c r="AF649" s="32">
        <v>5.0</v>
      </c>
      <c r="AG649" s="33">
        <v>1.500201205525E12</v>
      </c>
      <c r="AH649" s="33" t="s">
        <v>2221</v>
      </c>
      <c r="AI649" s="34" t="s">
        <v>5937</v>
      </c>
    </row>
    <row r="650" ht="38.25" hidden="1" customHeight="1">
      <c r="A650" s="32">
        <v>644.0</v>
      </c>
      <c r="B650" s="218" t="s">
        <v>1037</v>
      </c>
      <c r="C650" s="218" t="s">
        <v>4976</v>
      </c>
      <c r="D650" s="218" t="s">
        <v>5938</v>
      </c>
      <c r="E650" s="218" t="s">
        <v>5683</v>
      </c>
      <c r="F650" s="218" t="s">
        <v>5683</v>
      </c>
      <c r="G650" s="234" t="s">
        <v>4249</v>
      </c>
      <c r="H650" s="235" t="s">
        <v>1110</v>
      </c>
      <c r="I650" s="29">
        <v>219198.0</v>
      </c>
      <c r="J650" s="29" t="s">
        <v>1125</v>
      </c>
      <c r="K650" s="222" t="s">
        <v>1137</v>
      </c>
      <c r="L650" s="222">
        <v>1.0</v>
      </c>
      <c r="M650" s="27" t="s">
        <v>1137</v>
      </c>
      <c r="N650" s="236" t="s">
        <v>1174</v>
      </c>
      <c r="O650" s="237" t="s">
        <v>5153</v>
      </c>
      <c r="P650" s="238" t="s">
        <v>5154</v>
      </c>
      <c r="Q650" s="237" t="s">
        <v>4959</v>
      </c>
      <c r="R650" s="237" t="s">
        <v>3991</v>
      </c>
      <c r="S650" s="26" t="str">
        <f t="shared" si="114"/>
        <v>กลุ่มงานการพยาบาลผู้ป่วยหนัก</v>
      </c>
      <c r="T650" s="218" t="s">
        <v>4959</v>
      </c>
      <c r="U650" s="26" t="s">
        <v>1302</v>
      </c>
      <c r="V650" s="25">
        <v>3.0</v>
      </c>
      <c r="W650" s="218" t="s">
        <v>3991</v>
      </c>
      <c r="X650" s="98" t="s">
        <v>1312</v>
      </c>
      <c r="Y650" s="31">
        <v>32.0</v>
      </c>
      <c r="Z650" s="31">
        <v>32.0</v>
      </c>
      <c r="AA650" s="31">
        <v>266.0</v>
      </c>
      <c r="AB650" s="31">
        <v>295.0</v>
      </c>
      <c r="AC650" s="32">
        <v>1.0</v>
      </c>
      <c r="AD650" s="26"/>
      <c r="AE650" s="26"/>
      <c r="AF650" s="32">
        <v>5.0</v>
      </c>
      <c r="AG650" s="37">
        <v>1.509901440983E12</v>
      </c>
      <c r="AH650" s="37" t="s">
        <v>3008</v>
      </c>
      <c r="AI650" s="44">
        <v>232938.0</v>
      </c>
    </row>
    <row r="651" ht="38.25" hidden="1" customHeight="1">
      <c r="A651" s="32">
        <v>645.0</v>
      </c>
      <c r="B651" s="218" t="s">
        <v>1037</v>
      </c>
      <c r="C651" s="218" t="s">
        <v>5939</v>
      </c>
      <c r="D651" s="218" t="s">
        <v>5940</v>
      </c>
      <c r="E651" s="218" t="s">
        <v>5683</v>
      </c>
      <c r="F651" s="218" t="s">
        <v>5683</v>
      </c>
      <c r="G651" s="234" t="s">
        <v>4249</v>
      </c>
      <c r="H651" s="235" t="s">
        <v>1110</v>
      </c>
      <c r="I651" s="29">
        <v>219242.0</v>
      </c>
      <c r="J651" s="29" t="s">
        <v>1125</v>
      </c>
      <c r="K651" s="222" t="s">
        <v>1137</v>
      </c>
      <c r="L651" s="222">
        <v>1.0</v>
      </c>
      <c r="M651" s="27" t="s">
        <v>1137</v>
      </c>
      <c r="N651" s="236" t="s">
        <v>1174</v>
      </c>
      <c r="O651" s="237" t="s">
        <v>5809</v>
      </c>
      <c r="P651" s="238" t="s">
        <v>4958</v>
      </c>
      <c r="Q651" s="237" t="s">
        <v>4959</v>
      </c>
      <c r="R651" s="237" t="s">
        <v>3991</v>
      </c>
      <c r="S651" s="26" t="str">
        <f t="shared" si="114"/>
        <v>กลุ่มงานการพยาบาลผู้ป่วยหนัก</v>
      </c>
      <c r="T651" s="218" t="s">
        <v>4959</v>
      </c>
      <c r="U651" s="26" t="s">
        <v>1302</v>
      </c>
      <c r="V651" s="25">
        <v>3.0</v>
      </c>
      <c r="W651" s="218" t="s">
        <v>3991</v>
      </c>
      <c r="X651" s="98" t="s">
        <v>1312</v>
      </c>
      <c r="Y651" s="31">
        <v>32.0</v>
      </c>
      <c r="Z651" s="31">
        <v>32.0</v>
      </c>
      <c r="AA651" s="31">
        <v>266.0</v>
      </c>
      <c r="AB651" s="31">
        <v>295.0</v>
      </c>
      <c r="AC651" s="32">
        <v>1.0</v>
      </c>
      <c r="AD651" s="26"/>
      <c r="AE651" s="26"/>
      <c r="AF651" s="32">
        <v>5.0</v>
      </c>
      <c r="AG651" s="37">
        <v>2.50160002681E12</v>
      </c>
      <c r="AH651" s="37" t="s">
        <v>2725</v>
      </c>
      <c r="AI651" s="38" t="s">
        <v>5941</v>
      </c>
    </row>
    <row r="652" ht="38.25" hidden="1" customHeight="1">
      <c r="A652" s="32">
        <v>646.0</v>
      </c>
      <c r="B652" s="218" t="s">
        <v>806</v>
      </c>
      <c r="C652" s="218" t="s">
        <v>5942</v>
      </c>
      <c r="D652" s="218" t="s">
        <v>5943</v>
      </c>
      <c r="E652" s="218" t="s">
        <v>5683</v>
      </c>
      <c r="F652" s="218" t="s">
        <v>5683</v>
      </c>
      <c r="G652" s="234" t="s">
        <v>4226</v>
      </c>
      <c r="H652" s="226" t="s">
        <v>5692</v>
      </c>
      <c r="I652" s="29">
        <v>87326.0</v>
      </c>
      <c r="J652" s="29" t="s">
        <v>1125</v>
      </c>
      <c r="K652" s="222" t="s">
        <v>1137</v>
      </c>
      <c r="L652" s="222">
        <v>1.0</v>
      </c>
      <c r="M652" s="27" t="s">
        <v>1137</v>
      </c>
      <c r="N652" s="236" t="s">
        <v>1174</v>
      </c>
      <c r="O652" s="224" t="s">
        <v>5809</v>
      </c>
      <c r="P652" s="238" t="s">
        <v>4958</v>
      </c>
      <c r="Q652" s="237" t="s">
        <v>4959</v>
      </c>
      <c r="R652" s="237" t="s">
        <v>3991</v>
      </c>
      <c r="S652" s="26" t="str">
        <f t="shared" si="114"/>
        <v>กลุ่มงานการพยาบาลผู้ป่วยหนัก</v>
      </c>
      <c r="T652" s="218" t="s">
        <v>4959</v>
      </c>
      <c r="U652" s="26" t="s">
        <v>1302</v>
      </c>
      <c r="V652" s="25">
        <v>3.0</v>
      </c>
      <c r="W652" s="218" t="s">
        <v>3991</v>
      </c>
      <c r="X652" s="98" t="s">
        <v>1312</v>
      </c>
      <c r="Y652" s="31">
        <v>32.0</v>
      </c>
      <c r="Z652" s="31">
        <v>32.0</v>
      </c>
      <c r="AA652" s="31">
        <v>266.0</v>
      </c>
      <c r="AB652" s="31">
        <v>295.0</v>
      </c>
      <c r="AC652" s="32">
        <v>1.0</v>
      </c>
      <c r="AD652" s="26"/>
      <c r="AE652" s="254" t="s">
        <v>5944</v>
      </c>
      <c r="AF652" s="255">
        <v>5.0</v>
      </c>
      <c r="AG652" s="37">
        <v>3.501400214301E12</v>
      </c>
      <c r="AH652" s="37" t="s">
        <v>3682</v>
      </c>
      <c r="AI652" s="38" t="s">
        <v>5945</v>
      </c>
    </row>
    <row r="653" ht="38.25" hidden="1" customHeight="1">
      <c r="A653" s="32">
        <v>647.0</v>
      </c>
      <c r="B653" s="218" t="s">
        <v>1037</v>
      </c>
      <c r="C653" s="218" t="s">
        <v>5946</v>
      </c>
      <c r="D653" s="218" t="s">
        <v>5947</v>
      </c>
      <c r="E653" s="218" t="s">
        <v>5683</v>
      </c>
      <c r="F653" s="218" t="s">
        <v>5683</v>
      </c>
      <c r="G653" s="234" t="s">
        <v>4249</v>
      </c>
      <c r="H653" s="235" t="s">
        <v>1110</v>
      </c>
      <c r="I653" s="29">
        <v>106806.0</v>
      </c>
      <c r="J653" s="29" t="s">
        <v>1125</v>
      </c>
      <c r="K653" s="222" t="s">
        <v>1137</v>
      </c>
      <c r="L653" s="222">
        <v>1.0</v>
      </c>
      <c r="M653" s="27" t="s">
        <v>1137</v>
      </c>
      <c r="N653" s="236" t="s">
        <v>1174</v>
      </c>
      <c r="O653" s="237" t="s">
        <v>5685</v>
      </c>
      <c r="P653" s="238" t="s">
        <v>5183</v>
      </c>
      <c r="Q653" s="237" t="s">
        <v>5184</v>
      </c>
      <c r="R653" s="237" t="s">
        <v>3991</v>
      </c>
      <c r="S653" s="26" t="str">
        <f t="shared" si="114"/>
        <v>กลุ่มงานการพยาบาลผู้ป่วยห้องผ่าตัด</v>
      </c>
      <c r="T653" s="218" t="s">
        <v>5184</v>
      </c>
      <c r="U653" s="26" t="s">
        <v>1302</v>
      </c>
      <c r="V653" s="25">
        <v>5.0</v>
      </c>
      <c r="W653" s="218" t="s">
        <v>3991</v>
      </c>
      <c r="X653" s="98" t="s">
        <v>1312</v>
      </c>
      <c r="Y653" s="31">
        <v>25.0</v>
      </c>
      <c r="Z653" s="31">
        <v>25.0</v>
      </c>
      <c r="AA653" s="31">
        <v>266.0</v>
      </c>
      <c r="AB653" s="31">
        <v>266.0</v>
      </c>
      <c r="AC653" s="32">
        <v>1.0</v>
      </c>
      <c r="AD653" s="26"/>
      <c r="AE653" s="26"/>
      <c r="AF653" s="32">
        <v>6.0</v>
      </c>
      <c r="AG653" s="37">
        <v>1.505200047173E12</v>
      </c>
      <c r="AH653" s="37" t="s">
        <v>2740</v>
      </c>
      <c r="AI653" s="44">
        <v>233791.0</v>
      </c>
    </row>
    <row r="654" ht="38.25" hidden="1" customHeight="1">
      <c r="A654" s="32">
        <v>648.0</v>
      </c>
      <c r="B654" s="218" t="s">
        <v>1037</v>
      </c>
      <c r="C654" s="218" t="s">
        <v>5948</v>
      </c>
      <c r="D654" s="218" t="s">
        <v>5949</v>
      </c>
      <c r="E654" s="218" t="s">
        <v>5683</v>
      </c>
      <c r="F654" s="218" t="s">
        <v>5683</v>
      </c>
      <c r="G654" s="234" t="s">
        <v>4249</v>
      </c>
      <c r="H654" s="235" t="s">
        <v>1110</v>
      </c>
      <c r="I654" s="29">
        <v>219232.0</v>
      </c>
      <c r="J654" s="29" t="s">
        <v>1125</v>
      </c>
      <c r="K654" s="222" t="s">
        <v>1137</v>
      </c>
      <c r="L654" s="222">
        <v>1.0</v>
      </c>
      <c r="M654" s="27" t="s">
        <v>1137</v>
      </c>
      <c r="N654" s="239" t="s">
        <v>3981</v>
      </c>
      <c r="O654" s="237" t="s">
        <v>5904</v>
      </c>
      <c r="P654" s="238" t="s">
        <v>4938</v>
      </c>
      <c r="Q654" s="76" t="s">
        <v>4939</v>
      </c>
      <c r="R654" s="237" t="s">
        <v>3991</v>
      </c>
      <c r="S654" s="26" t="str">
        <f t="shared" si="114"/>
        <v>กลุ่มงานการพยาบาลผู้ป่วยห้องผ่าตัด</v>
      </c>
      <c r="T654" s="218" t="s">
        <v>5184</v>
      </c>
      <c r="U654" s="26" t="s">
        <v>1302</v>
      </c>
      <c r="V654" s="25">
        <v>13.0</v>
      </c>
      <c r="W654" s="218" t="s">
        <v>3991</v>
      </c>
      <c r="X654" s="98" t="s">
        <v>1312</v>
      </c>
      <c r="Y654" s="31">
        <v>6.0</v>
      </c>
      <c r="Z654" s="31">
        <v>6.0</v>
      </c>
      <c r="AA654" s="31">
        <v>266.0</v>
      </c>
      <c r="AB654" s="31">
        <v>295.0</v>
      </c>
      <c r="AC654" s="32">
        <v>1.0</v>
      </c>
      <c r="AD654" s="26"/>
      <c r="AE654" s="26"/>
      <c r="AF654" s="32">
        <v>5.0</v>
      </c>
      <c r="AG654" s="33">
        <v>1.509970049864E12</v>
      </c>
      <c r="AH654" s="33" t="s">
        <v>2189</v>
      </c>
      <c r="AI654" s="34" t="s">
        <v>5950</v>
      </c>
    </row>
    <row r="655" ht="38.25" hidden="1" customHeight="1">
      <c r="A655" s="32">
        <v>649.0</v>
      </c>
      <c r="B655" s="218" t="s">
        <v>1037</v>
      </c>
      <c r="C655" s="218" t="s">
        <v>5951</v>
      </c>
      <c r="D655" s="218" t="s">
        <v>5830</v>
      </c>
      <c r="E655" s="218" t="s">
        <v>5683</v>
      </c>
      <c r="F655" s="218" t="s">
        <v>5683</v>
      </c>
      <c r="G655" s="234" t="s">
        <v>4220</v>
      </c>
      <c r="H655" s="235" t="s">
        <v>5692</v>
      </c>
      <c r="I655" s="29">
        <v>183761.0</v>
      </c>
      <c r="J655" s="29" t="s">
        <v>1125</v>
      </c>
      <c r="K655" s="222" t="s">
        <v>1137</v>
      </c>
      <c r="L655" s="222">
        <v>1.0</v>
      </c>
      <c r="M655" s="27" t="s">
        <v>1137</v>
      </c>
      <c r="N655" s="239" t="s">
        <v>3981</v>
      </c>
      <c r="O655" s="237" t="s">
        <v>4904</v>
      </c>
      <c r="P655" s="238" t="s">
        <v>4905</v>
      </c>
      <c r="Q655" s="237" t="s">
        <v>4874</v>
      </c>
      <c r="R655" s="237" t="s">
        <v>3991</v>
      </c>
      <c r="S655" s="26" t="str">
        <f t="shared" si="114"/>
        <v>กลุ่มงานการพยาบาลผู้ป่วยห้องผ่าตัด</v>
      </c>
      <c r="T655" s="218" t="s">
        <v>5184</v>
      </c>
      <c r="U655" s="26" t="s">
        <v>1302</v>
      </c>
      <c r="V655" s="25">
        <v>7.0</v>
      </c>
      <c r="W655" s="218" t="s">
        <v>3991</v>
      </c>
      <c r="X655" s="98" t="s">
        <v>1312</v>
      </c>
      <c r="Y655" s="31">
        <v>44.0</v>
      </c>
      <c r="Z655" s="31">
        <v>44.0</v>
      </c>
      <c r="AA655" s="31">
        <v>266.0</v>
      </c>
      <c r="AB655" s="31">
        <v>295.0</v>
      </c>
      <c r="AC655" s="32">
        <v>1.0</v>
      </c>
      <c r="AD655" s="26"/>
      <c r="AE655" s="26"/>
      <c r="AF655" s="32">
        <v>5.0</v>
      </c>
      <c r="AG655" s="37">
        <v>1.500700166631E12</v>
      </c>
      <c r="AH655" s="37" t="s">
        <v>2910</v>
      </c>
      <c r="AI655" s="38" t="s">
        <v>5833</v>
      </c>
    </row>
    <row r="656" ht="38.25" hidden="1" customHeight="1">
      <c r="A656" s="32">
        <v>650.0</v>
      </c>
      <c r="B656" s="218" t="s">
        <v>1037</v>
      </c>
      <c r="C656" s="218" t="s">
        <v>5952</v>
      </c>
      <c r="D656" s="218" t="s">
        <v>5953</v>
      </c>
      <c r="E656" s="218" t="s">
        <v>5683</v>
      </c>
      <c r="F656" s="218" t="s">
        <v>5683</v>
      </c>
      <c r="G656" s="234" t="s">
        <v>4249</v>
      </c>
      <c r="H656" s="235" t="s">
        <v>1110</v>
      </c>
      <c r="I656" s="29">
        <v>232931.0</v>
      </c>
      <c r="J656" s="29" t="s">
        <v>1125</v>
      </c>
      <c r="K656" s="222" t="s">
        <v>1137</v>
      </c>
      <c r="L656" s="222">
        <v>1.0</v>
      </c>
      <c r="M656" s="27" t="s">
        <v>1137</v>
      </c>
      <c r="N656" s="236" t="s">
        <v>1174</v>
      </c>
      <c r="O656" s="237" t="s">
        <v>5685</v>
      </c>
      <c r="P656" s="238" t="s">
        <v>5183</v>
      </c>
      <c r="Q656" s="237" t="s">
        <v>5184</v>
      </c>
      <c r="R656" s="237" t="s">
        <v>3991</v>
      </c>
      <c r="S656" s="26" t="str">
        <f t="shared" si="114"/>
        <v>กลุ่มงานการพยาบาลผู้ป่วยห้องผ่าตัด</v>
      </c>
      <c r="T656" s="218" t="s">
        <v>5184</v>
      </c>
      <c r="U656" s="26" t="s">
        <v>1302</v>
      </c>
      <c r="V656" s="25">
        <v>5.0</v>
      </c>
      <c r="W656" s="218" t="s">
        <v>3991</v>
      </c>
      <c r="X656" s="98" t="s">
        <v>1312</v>
      </c>
      <c r="Y656" s="31">
        <v>25.0</v>
      </c>
      <c r="Z656" s="31">
        <v>25.0</v>
      </c>
      <c r="AA656" s="31">
        <v>266.0</v>
      </c>
      <c r="AB656" s="31">
        <v>295.0</v>
      </c>
      <c r="AC656" s="32">
        <v>1.0</v>
      </c>
      <c r="AD656" s="26"/>
      <c r="AE656" s="26"/>
      <c r="AF656" s="32">
        <v>5.0</v>
      </c>
      <c r="AG656" s="33">
        <v>1.50520001612E12</v>
      </c>
      <c r="AH656" s="33" t="s">
        <v>2745</v>
      </c>
      <c r="AI656" s="40">
        <v>233582.0</v>
      </c>
    </row>
    <row r="657" ht="38.25" hidden="1" customHeight="1">
      <c r="A657" s="32">
        <v>651.0</v>
      </c>
      <c r="B657" s="218" t="s">
        <v>806</v>
      </c>
      <c r="C657" s="218" t="s">
        <v>5954</v>
      </c>
      <c r="D657" s="218" t="s">
        <v>5955</v>
      </c>
      <c r="E657" s="218" t="s">
        <v>5683</v>
      </c>
      <c r="F657" s="218" t="s">
        <v>5683</v>
      </c>
      <c r="G657" s="234" t="s">
        <v>4226</v>
      </c>
      <c r="H657" s="235" t="s">
        <v>5956</v>
      </c>
      <c r="I657" s="29">
        <v>107272.0</v>
      </c>
      <c r="J657" s="29" t="s">
        <v>1125</v>
      </c>
      <c r="K657" s="222" t="s">
        <v>1137</v>
      </c>
      <c r="L657" s="222">
        <v>1.0</v>
      </c>
      <c r="M657" s="27" t="s">
        <v>1137</v>
      </c>
      <c r="N657" s="236" t="s">
        <v>1174</v>
      </c>
      <c r="O657" s="237" t="s">
        <v>5685</v>
      </c>
      <c r="P657" s="238" t="s">
        <v>5183</v>
      </c>
      <c r="Q657" s="237" t="s">
        <v>5184</v>
      </c>
      <c r="R657" s="237" t="s">
        <v>3991</v>
      </c>
      <c r="S657" s="26" t="str">
        <f t="shared" si="114"/>
        <v>กลุ่มงานการพยาบาลผู้ป่วยห้องผ่าตัด</v>
      </c>
      <c r="T657" s="218" t="s">
        <v>5184</v>
      </c>
      <c r="U657" s="26" t="s">
        <v>1302</v>
      </c>
      <c r="V657" s="25">
        <v>5.0</v>
      </c>
      <c r="W657" s="218" t="s">
        <v>3991</v>
      </c>
      <c r="X657" s="98" t="s">
        <v>1312</v>
      </c>
      <c r="Y657" s="31">
        <v>25.0</v>
      </c>
      <c r="Z657" s="31">
        <v>25.0</v>
      </c>
      <c r="AA657" s="31">
        <v>266.0</v>
      </c>
      <c r="AB657" s="31">
        <v>295.0</v>
      </c>
      <c r="AC657" s="32">
        <v>1.0</v>
      </c>
      <c r="AD657" s="26"/>
      <c r="AE657" s="26"/>
      <c r="AF657" s="32">
        <v>5.0</v>
      </c>
      <c r="AG657" s="33">
        <v>1.500700077115E12</v>
      </c>
      <c r="AH657" s="33" t="s">
        <v>3646</v>
      </c>
      <c r="AI657" s="34" t="s">
        <v>5957</v>
      </c>
    </row>
    <row r="658" ht="38.25" hidden="1" customHeight="1">
      <c r="A658" s="32">
        <v>652.0</v>
      </c>
      <c r="B658" s="218" t="s">
        <v>806</v>
      </c>
      <c r="C658" s="218" t="s">
        <v>5958</v>
      </c>
      <c r="D658" s="218" t="s">
        <v>5959</v>
      </c>
      <c r="E658" s="218" t="s">
        <v>5683</v>
      </c>
      <c r="F658" s="218" t="s">
        <v>5683</v>
      </c>
      <c r="G658" s="234" t="s">
        <v>4220</v>
      </c>
      <c r="H658" s="226" t="s">
        <v>5692</v>
      </c>
      <c r="I658" s="29">
        <v>117623.0</v>
      </c>
      <c r="J658" s="29" t="s">
        <v>1125</v>
      </c>
      <c r="K658" s="222" t="s">
        <v>1137</v>
      </c>
      <c r="L658" s="222">
        <v>1.0</v>
      </c>
      <c r="M658" s="27" t="s">
        <v>1137</v>
      </c>
      <c r="N658" s="236" t="s">
        <v>1174</v>
      </c>
      <c r="O658" s="237" t="s">
        <v>5685</v>
      </c>
      <c r="P658" s="238" t="s">
        <v>5183</v>
      </c>
      <c r="Q658" s="237" t="s">
        <v>5184</v>
      </c>
      <c r="R658" s="237" t="s">
        <v>3991</v>
      </c>
      <c r="S658" s="26" t="str">
        <f t="shared" si="114"/>
        <v>กลุ่มงานการพยาบาลผู้ป่วยห้องผ่าตัด</v>
      </c>
      <c r="T658" s="218" t="s">
        <v>5184</v>
      </c>
      <c r="U658" s="26" t="s">
        <v>1302</v>
      </c>
      <c r="V658" s="25">
        <v>5.0</v>
      </c>
      <c r="W658" s="218" t="s">
        <v>3991</v>
      </c>
      <c r="X658" s="98" t="s">
        <v>1312</v>
      </c>
      <c r="Y658" s="31">
        <v>25.0</v>
      </c>
      <c r="Z658" s="31">
        <v>25.0</v>
      </c>
      <c r="AA658" s="31">
        <v>266.0</v>
      </c>
      <c r="AB658" s="31">
        <v>295.0</v>
      </c>
      <c r="AC658" s="32">
        <v>1.0</v>
      </c>
      <c r="AD658" s="26"/>
      <c r="AE658" s="26"/>
      <c r="AF658" s="32">
        <v>5.0</v>
      </c>
      <c r="AG658" s="33">
        <v>1.580300003726E12</v>
      </c>
      <c r="AH658" s="33" t="s">
        <v>3656</v>
      </c>
      <c r="AI658" s="34" t="s">
        <v>5960</v>
      </c>
    </row>
    <row r="659" ht="38.25" hidden="1" customHeight="1">
      <c r="A659" s="32">
        <v>653.0</v>
      </c>
      <c r="B659" s="218" t="s">
        <v>806</v>
      </c>
      <c r="C659" s="218" t="s">
        <v>5869</v>
      </c>
      <c r="D659" s="218" t="s">
        <v>5961</v>
      </c>
      <c r="E659" s="218" t="s">
        <v>5683</v>
      </c>
      <c r="F659" s="218" t="s">
        <v>5683</v>
      </c>
      <c r="G659" s="234" t="s">
        <v>4220</v>
      </c>
      <c r="H659" s="226" t="s">
        <v>5692</v>
      </c>
      <c r="I659" s="29">
        <v>194170.0</v>
      </c>
      <c r="J659" s="29" t="s">
        <v>1125</v>
      </c>
      <c r="K659" s="222" t="s">
        <v>1137</v>
      </c>
      <c r="L659" s="222">
        <v>1.0</v>
      </c>
      <c r="M659" s="27" t="s">
        <v>1137</v>
      </c>
      <c r="N659" s="236" t="s">
        <v>1174</v>
      </c>
      <c r="O659" s="237" t="s">
        <v>5685</v>
      </c>
      <c r="P659" s="238" t="s">
        <v>5183</v>
      </c>
      <c r="Q659" s="237" t="s">
        <v>5184</v>
      </c>
      <c r="R659" s="237" t="s">
        <v>3991</v>
      </c>
      <c r="S659" s="26" t="str">
        <f t="shared" si="114"/>
        <v>กลุ่มงานการพยาบาลผู้ป่วยห้องผ่าตัด</v>
      </c>
      <c r="T659" s="218" t="s">
        <v>5184</v>
      </c>
      <c r="U659" s="26" t="s">
        <v>1302</v>
      </c>
      <c r="V659" s="25">
        <v>5.0</v>
      </c>
      <c r="W659" s="218" t="s">
        <v>3991</v>
      </c>
      <c r="X659" s="98" t="s">
        <v>1312</v>
      </c>
      <c r="Y659" s="31">
        <v>25.0</v>
      </c>
      <c r="Z659" s="31">
        <v>25.0</v>
      </c>
      <c r="AA659" s="31">
        <v>266.0</v>
      </c>
      <c r="AB659" s="31">
        <v>295.0</v>
      </c>
      <c r="AC659" s="32">
        <v>1.0</v>
      </c>
      <c r="AD659" s="26"/>
      <c r="AE659" s="26"/>
      <c r="AF659" s="32">
        <v>5.0</v>
      </c>
      <c r="AG659" s="37">
        <v>3.100502725099E12</v>
      </c>
      <c r="AH659" s="37" t="s">
        <v>3642</v>
      </c>
      <c r="AI659" s="38" t="s">
        <v>5962</v>
      </c>
    </row>
    <row r="660" ht="38.25" hidden="1" customHeight="1">
      <c r="A660" s="32">
        <v>654.0</v>
      </c>
      <c r="B660" s="218" t="s">
        <v>806</v>
      </c>
      <c r="C660" s="218" t="s">
        <v>5963</v>
      </c>
      <c r="D660" s="218" t="s">
        <v>4405</v>
      </c>
      <c r="E660" s="218" t="s">
        <v>5683</v>
      </c>
      <c r="F660" s="218" t="s">
        <v>5683</v>
      </c>
      <c r="G660" s="234" t="s">
        <v>4220</v>
      </c>
      <c r="H660" s="226" t="s">
        <v>5692</v>
      </c>
      <c r="I660" s="29">
        <v>219240.0</v>
      </c>
      <c r="J660" s="29" t="s">
        <v>1125</v>
      </c>
      <c r="K660" s="222" t="s">
        <v>1137</v>
      </c>
      <c r="L660" s="222">
        <v>1.0</v>
      </c>
      <c r="M660" s="27" t="s">
        <v>1137</v>
      </c>
      <c r="N660" s="236" t="s">
        <v>1174</v>
      </c>
      <c r="O660" s="237" t="s">
        <v>5685</v>
      </c>
      <c r="P660" s="238" t="s">
        <v>5183</v>
      </c>
      <c r="Q660" s="237" t="s">
        <v>5184</v>
      </c>
      <c r="R660" s="237" t="s">
        <v>3991</v>
      </c>
      <c r="S660" s="26" t="str">
        <f t="shared" si="114"/>
        <v>กลุ่มงานการพยาบาลผู้ป่วยห้องผ่าตัด</v>
      </c>
      <c r="T660" s="218" t="s">
        <v>5184</v>
      </c>
      <c r="U660" s="26" t="s">
        <v>1302</v>
      </c>
      <c r="V660" s="25">
        <v>5.0</v>
      </c>
      <c r="W660" s="218" t="s">
        <v>3991</v>
      </c>
      <c r="X660" s="98" t="s">
        <v>1312</v>
      </c>
      <c r="Y660" s="31">
        <v>25.0</v>
      </c>
      <c r="Z660" s="31">
        <v>25.0</v>
      </c>
      <c r="AA660" s="31">
        <v>266.0</v>
      </c>
      <c r="AB660" s="31">
        <v>295.0</v>
      </c>
      <c r="AC660" s="32">
        <v>1.0</v>
      </c>
      <c r="AD660" s="26"/>
      <c r="AE660" s="26"/>
      <c r="AF660" s="32">
        <v>5.0</v>
      </c>
      <c r="AG660" s="33">
        <v>1.509901026664E12</v>
      </c>
      <c r="AH660" s="33" t="s">
        <v>3122</v>
      </c>
      <c r="AI660" s="34" t="s">
        <v>5964</v>
      </c>
    </row>
    <row r="661" ht="38.25" hidden="1" customHeight="1">
      <c r="A661" s="32">
        <v>655.0</v>
      </c>
      <c r="B661" s="218" t="s">
        <v>1037</v>
      </c>
      <c r="C661" s="218" t="s">
        <v>5965</v>
      </c>
      <c r="D661" s="218" t="s">
        <v>5966</v>
      </c>
      <c r="E661" s="218" t="s">
        <v>5683</v>
      </c>
      <c r="F661" s="218" t="s">
        <v>5683</v>
      </c>
      <c r="G661" s="234" t="s">
        <v>4249</v>
      </c>
      <c r="H661" s="235" t="s">
        <v>1110</v>
      </c>
      <c r="I661" s="29">
        <v>219193.0</v>
      </c>
      <c r="J661" s="29" t="s">
        <v>1125</v>
      </c>
      <c r="K661" s="222" t="s">
        <v>1137</v>
      </c>
      <c r="L661" s="222">
        <v>1.0</v>
      </c>
      <c r="M661" s="27" t="s">
        <v>1137</v>
      </c>
      <c r="N661" s="236" t="s">
        <v>1174</v>
      </c>
      <c r="O661" s="237" t="s">
        <v>5685</v>
      </c>
      <c r="P661" s="238" t="s">
        <v>5183</v>
      </c>
      <c r="Q661" s="237" t="s">
        <v>5184</v>
      </c>
      <c r="R661" s="237" t="s">
        <v>3991</v>
      </c>
      <c r="S661" s="26" t="str">
        <f t="shared" si="114"/>
        <v>กลุ่มงานการพยาบาลผู้ป่วยห้องผ่าตัด</v>
      </c>
      <c r="T661" s="218" t="s">
        <v>5184</v>
      </c>
      <c r="U661" s="26" t="s">
        <v>1302</v>
      </c>
      <c r="V661" s="25">
        <v>5.0</v>
      </c>
      <c r="W661" s="218" t="s">
        <v>3991</v>
      </c>
      <c r="X661" s="98" t="s">
        <v>1312</v>
      </c>
      <c r="Y661" s="31">
        <v>25.0</v>
      </c>
      <c r="Z661" s="31">
        <v>25.0</v>
      </c>
      <c r="AA661" s="31">
        <v>266.0</v>
      </c>
      <c r="AB661" s="31">
        <v>295.0</v>
      </c>
      <c r="AC661" s="32">
        <v>1.0</v>
      </c>
      <c r="AD661" s="26"/>
      <c r="AE661" s="26"/>
      <c r="AF661" s="32">
        <v>5.0</v>
      </c>
      <c r="AG661" s="37">
        <v>1.500400101941E12</v>
      </c>
      <c r="AH661" s="37" t="s">
        <v>2632</v>
      </c>
      <c r="AI661" s="44">
        <v>233672.0</v>
      </c>
    </row>
    <row r="662" ht="38.25" hidden="1" customHeight="1">
      <c r="A662" s="32">
        <v>656.0</v>
      </c>
      <c r="B662" s="218" t="s">
        <v>1037</v>
      </c>
      <c r="C662" s="218" t="s">
        <v>5967</v>
      </c>
      <c r="D662" s="218" t="s">
        <v>5968</v>
      </c>
      <c r="E662" s="218" t="s">
        <v>5683</v>
      </c>
      <c r="F662" s="218" t="s">
        <v>5683</v>
      </c>
      <c r="G662" s="234" t="s">
        <v>4249</v>
      </c>
      <c r="H662" s="235" t="s">
        <v>1110</v>
      </c>
      <c r="I662" s="29">
        <v>219239.0</v>
      </c>
      <c r="J662" s="29" t="s">
        <v>1125</v>
      </c>
      <c r="K662" s="222" t="s">
        <v>1137</v>
      </c>
      <c r="L662" s="222">
        <v>1.0</v>
      </c>
      <c r="M662" s="27" t="s">
        <v>1137</v>
      </c>
      <c r="N662" s="236" t="s">
        <v>1174</v>
      </c>
      <c r="O662" s="237" t="s">
        <v>5685</v>
      </c>
      <c r="P662" s="238" t="s">
        <v>5183</v>
      </c>
      <c r="Q662" s="224" t="s">
        <v>5184</v>
      </c>
      <c r="R662" s="237" t="s">
        <v>3991</v>
      </c>
      <c r="S662" s="26" t="str">
        <f t="shared" si="114"/>
        <v>กลุ่มงานการพยาบาลผู้ป่วยห้องผ่าตัด</v>
      </c>
      <c r="T662" s="218" t="s">
        <v>5184</v>
      </c>
      <c r="U662" s="26" t="s">
        <v>1302</v>
      </c>
      <c r="V662" s="25">
        <v>5.0</v>
      </c>
      <c r="W662" s="218" t="s">
        <v>3991</v>
      </c>
      <c r="X662" s="98" t="s">
        <v>1312</v>
      </c>
      <c r="Y662" s="31">
        <v>25.0</v>
      </c>
      <c r="Z662" s="31">
        <v>25.0</v>
      </c>
      <c r="AA662" s="31">
        <v>266.0</v>
      </c>
      <c r="AB662" s="31">
        <v>295.0</v>
      </c>
      <c r="AC662" s="32">
        <v>1.0</v>
      </c>
      <c r="AD662" s="26"/>
      <c r="AE662" s="26"/>
      <c r="AF662" s="32">
        <v>5.0</v>
      </c>
      <c r="AG662" s="33">
        <v>1.505200040578E12</v>
      </c>
      <c r="AH662" s="33" t="s">
        <v>2754</v>
      </c>
      <c r="AI662" s="34" t="s">
        <v>5969</v>
      </c>
    </row>
    <row r="663" ht="38.25" hidden="1" customHeight="1">
      <c r="A663" s="32">
        <v>657.0</v>
      </c>
      <c r="B663" s="218" t="s">
        <v>1037</v>
      </c>
      <c r="C663" s="218" t="s">
        <v>5970</v>
      </c>
      <c r="D663" s="218" t="s">
        <v>5971</v>
      </c>
      <c r="E663" s="218" t="s">
        <v>5683</v>
      </c>
      <c r="F663" s="218" t="s">
        <v>5683</v>
      </c>
      <c r="G663" s="234" t="s">
        <v>4249</v>
      </c>
      <c r="H663" s="235" t="s">
        <v>1110</v>
      </c>
      <c r="I663" s="29">
        <v>232928.0</v>
      </c>
      <c r="J663" s="29" t="s">
        <v>1125</v>
      </c>
      <c r="K663" s="222" t="s">
        <v>1137</v>
      </c>
      <c r="L663" s="222">
        <v>1.0</v>
      </c>
      <c r="M663" s="27" t="s">
        <v>1137</v>
      </c>
      <c r="N663" s="236" t="s">
        <v>1174</v>
      </c>
      <c r="O663" s="237" t="s">
        <v>5685</v>
      </c>
      <c r="P663" s="238" t="s">
        <v>5183</v>
      </c>
      <c r="Q663" s="224" t="s">
        <v>5184</v>
      </c>
      <c r="R663" s="237" t="s">
        <v>3991</v>
      </c>
      <c r="S663" s="26" t="str">
        <f t="shared" si="114"/>
        <v>กลุ่มงานการพยาบาลผู้ป่วยห้องผ่าตัด</v>
      </c>
      <c r="T663" s="218" t="s">
        <v>5184</v>
      </c>
      <c r="U663" s="26" t="s">
        <v>1302</v>
      </c>
      <c r="V663" s="25">
        <v>5.0</v>
      </c>
      <c r="W663" s="218" t="s">
        <v>3991</v>
      </c>
      <c r="X663" s="98" t="s">
        <v>1312</v>
      </c>
      <c r="Y663" s="31">
        <v>25.0</v>
      </c>
      <c r="Z663" s="31">
        <v>25.0</v>
      </c>
      <c r="AA663" s="31">
        <v>266.0</v>
      </c>
      <c r="AB663" s="31">
        <v>295.0</v>
      </c>
      <c r="AC663" s="32">
        <v>1.0</v>
      </c>
      <c r="AD663" s="26"/>
      <c r="AE663" s="26"/>
      <c r="AF663" s="32">
        <v>5.0</v>
      </c>
      <c r="AG663" s="37">
        <v>1.509901636519E12</v>
      </c>
      <c r="AH663" s="37" t="s">
        <v>2734</v>
      </c>
      <c r="AI663" s="44">
        <v>233279.0</v>
      </c>
    </row>
    <row r="664" ht="38.25" hidden="1" customHeight="1">
      <c r="A664" s="32">
        <v>658.0</v>
      </c>
      <c r="B664" s="218" t="s">
        <v>1037</v>
      </c>
      <c r="C664" s="218" t="s">
        <v>5972</v>
      </c>
      <c r="D664" s="218" t="s">
        <v>5973</v>
      </c>
      <c r="E664" s="218" t="s">
        <v>5683</v>
      </c>
      <c r="F664" s="218" t="s">
        <v>5683</v>
      </c>
      <c r="G664" s="234" t="s">
        <v>4249</v>
      </c>
      <c r="H664" s="235" t="s">
        <v>1110</v>
      </c>
      <c r="I664" s="29">
        <v>219238.0</v>
      </c>
      <c r="J664" s="29" t="s">
        <v>1125</v>
      </c>
      <c r="K664" s="222" t="s">
        <v>1137</v>
      </c>
      <c r="L664" s="222">
        <v>1.0</v>
      </c>
      <c r="M664" s="27" t="s">
        <v>1137</v>
      </c>
      <c r="N664" s="236" t="s">
        <v>1174</v>
      </c>
      <c r="O664" s="237" t="s">
        <v>5685</v>
      </c>
      <c r="P664" s="238" t="s">
        <v>5183</v>
      </c>
      <c r="Q664" s="224" t="s">
        <v>5184</v>
      </c>
      <c r="R664" s="237" t="s">
        <v>3991</v>
      </c>
      <c r="S664" s="26" t="str">
        <f t="shared" si="114"/>
        <v>กลุ่มงานการพยาบาลผู้ป่วยห้องผ่าตัด</v>
      </c>
      <c r="T664" s="218" t="s">
        <v>5184</v>
      </c>
      <c r="U664" s="26" t="s">
        <v>1302</v>
      </c>
      <c r="V664" s="25">
        <v>5.0</v>
      </c>
      <c r="W664" s="218" t="s">
        <v>3991</v>
      </c>
      <c r="X664" s="98" t="s">
        <v>1312</v>
      </c>
      <c r="Y664" s="31">
        <v>25.0</v>
      </c>
      <c r="Z664" s="31">
        <v>25.0</v>
      </c>
      <c r="AA664" s="31">
        <v>266.0</v>
      </c>
      <c r="AB664" s="31">
        <v>295.0</v>
      </c>
      <c r="AC664" s="32">
        <v>1.0</v>
      </c>
      <c r="AD664" s="26"/>
      <c r="AE664" s="26"/>
      <c r="AF664" s="32">
        <v>5.0</v>
      </c>
      <c r="AG664" s="33">
        <v>1.500400103536E12</v>
      </c>
      <c r="AH664" s="33" t="s">
        <v>2749</v>
      </c>
      <c r="AI664" s="34" t="s">
        <v>5974</v>
      </c>
    </row>
    <row r="665" ht="38.25" hidden="1" customHeight="1">
      <c r="A665" s="32">
        <v>659.0</v>
      </c>
      <c r="B665" s="218" t="s">
        <v>2692</v>
      </c>
      <c r="C665" s="218" t="s">
        <v>5975</v>
      </c>
      <c r="D665" s="218" t="s">
        <v>5976</v>
      </c>
      <c r="E665" s="218" t="s">
        <v>5683</v>
      </c>
      <c r="F665" s="218" t="s">
        <v>5683</v>
      </c>
      <c r="G665" s="220" t="s">
        <v>4249</v>
      </c>
      <c r="H665" s="235" t="s">
        <v>1110</v>
      </c>
      <c r="I665" s="29">
        <v>108555.0</v>
      </c>
      <c r="J665" s="29" t="s">
        <v>1125</v>
      </c>
      <c r="K665" s="222" t="s">
        <v>1137</v>
      </c>
      <c r="L665" s="222">
        <v>1.0</v>
      </c>
      <c r="M665" s="27" t="s">
        <v>1137</v>
      </c>
      <c r="N665" s="223" t="s">
        <v>1174</v>
      </c>
      <c r="O665" s="224" t="s">
        <v>5685</v>
      </c>
      <c r="P665" s="225" t="s">
        <v>5183</v>
      </c>
      <c r="Q665" s="224" t="s">
        <v>5184</v>
      </c>
      <c r="R665" s="237" t="s">
        <v>3991</v>
      </c>
      <c r="S665" s="26" t="str">
        <f t="shared" si="114"/>
        <v>กลุ่มงานการพยาบาลผู้ป่วยห้องผ่าตัด</v>
      </c>
      <c r="T665" s="218" t="s">
        <v>5184</v>
      </c>
      <c r="U665" s="26" t="s">
        <v>1302</v>
      </c>
      <c r="V665" s="25">
        <v>5.0</v>
      </c>
      <c r="W665" s="218" t="s">
        <v>3991</v>
      </c>
      <c r="X665" s="98" t="s">
        <v>1312</v>
      </c>
      <c r="Y665" s="31">
        <v>25.0</v>
      </c>
      <c r="Z665" s="31">
        <v>25.0</v>
      </c>
      <c r="AA665" s="31">
        <v>266.0</v>
      </c>
      <c r="AB665" s="31">
        <v>295.0</v>
      </c>
      <c r="AC665" s="32">
        <v>1.0</v>
      </c>
      <c r="AD665" s="26"/>
      <c r="AE665" s="26"/>
      <c r="AF665" s="32">
        <v>5.0</v>
      </c>
      <c r="AG665" s="37">
        <v>1.505200011039E12</v>
      </c>
      <c r="AH665" s="37" t="s">
        <v>2729</v>
      </c>
      <c r="AI665" s="44">
        <v>233734.0</v>
      </c>
    </row>
    <row r="666" ht="38.25" hidden="1" customHeight="1">
      <c r="A666" s="32">
        <v>660.0</v>
      </c>
      <c r="B666" s="218" t="s">
        <v>806</v>
      </c>
      <c r="C666" s="218" t="s">
        <v>5977</v>
      </c>
      <c r="D666" s="218" t="s">
        <v>5978</v>
      </c>
      <c r="E666" s="218" t="s">
        <v>5683</v>
      </c>
      <c r="F666" s="218" t="s">
        <v>5683</v>
      </c>
      <c r="G666" s="234" t="s">
        <v>4226</v>
      </c>
      <c r="H666" s="235" t="s">
        <v>5956</v>
      </c>
      <c r="I666" s="29">
        <v>107166.0</v>
      </c>
      <c r="J666" s="29" t="s">
        <v>1125</v>
      </c>
      <c r="K666" s="222" t="s">
        <v>1137</v>
      </c>
      <c r="L666" s="222">
        <v>1.0</v>
      </c>
      <c r="M666" s="27" t="s">
        <v>1137</v>
      </c>
      <c r="N666" s="236" t="s">
        <v>1174</v>
      </c>
      <c r="O666" s="237" t="s">
        <v>5685</v>
      </c>
      <c r="P666" s="238" t="s">
        <v>5183</v>
      </c>
      <c r="Q666" s="237" t="s">
        <v>5184</v>
      </c>
      <c r="R666" s="237" t="s">
        <v>3991</v>
      </c>
      <c r="S666" s="26" t="str">
        <f t="shared" si="114"/>
        <v>กลุ่มงานการพยาบาลผู้ป่วยห้องผ่าตัด</v>
      </c>
      <c r="T666" s="218" t="s">
        <v>5184</v>
      </c>
      <c r="U666" s="26" t="s">
        <v>1302</v>
      </c>
      <c r="V666" s="25">
        <v>5.0</v>
      </c>
      <c r="W666" s="218" t="s">
        <v>3991</v>
      </c>
      <c r="X666" s="98" t="s">
        <v>1312</v>
      </c>
      <c r="Y666" s="31">
        <v>25.0</v>
      </c>
      <c r="Z666" s="31">
        <v>25.0</v>
      </c>
      <c r="AA666" s="31">
        <v>266.0</v>
      </c>
      <c r="AB666" s="31">
        <v>295.0</v>
      </c>
      <c r="AC666" s="32">
        <v>1.0</v>
      </c>
      <c r="AD666" s="26"/>
      <c r="AE666" s="26"/>
      <c r="AF666" s="32">
        <v>5.0</v>
      </c>
      <c r="AG666" s="33">
        <v>3.501400370248E12</v>
      </c>
      <c r="AH666" s="33" t="s">
        <v>3660</v>
      </c>
      <c r="AI666" s="40">
        <v>224637.0</v>
      </c>
    </row>
    <row r="667" ht="38.25" hidden="1" customHeight="1">
      <c r="A667" s="32">
        <v>661.0</v>
      </c>
      <c r="B667" s="218" t="s">
        <v>1037</v>
      </c>
      <c r="C667" s="218" t="s">
        <v>5979</v>
      </c>
      <c r="D667" s="218" t="s">
        <v>5980</v>
      </c>
      <c r="E667" s="218" t="s">
        <v>5683</v>
      </c>
      <c r="F667" s="218" t="s">
        <v>5683</v>
      </c>
      <c r="G667" s="234" t="s">
        <v>4220</v>
      </c>
      <c r="H667" s="235" t="s">
        <v>5692</v>
      </c>
      <c r="I667" s="29">
        <v>219241.0</v>
      </c>
      <c r="J667" s="29" t="s">
        <v>1125</v>
      </c>
      <c r="K667" s="222" t="s">
        <v>1137</v>
      </c>
      <c r="L667" s="222">
        <v>1.0</v>
      </c>
      <c r="M667" s="27" t="s">
        <v>1137</v>
      </c>
      <c r="N667" s="236" t="s">
        <v>1174</v>
      </c>
      <c r="O667" s="237" t="s">
        <v>5685</v>
      </c>
      <c r="P667" s="238" t="s">
        <v>5183</v>
      </c>
      <c r="Q667" s="237" t="s">
        <v>5184</v>
      </c>
      <c r="R667" s="237" t="s">
        <v>3991</v>
      </c>
      <c r="S667" s="26" t="str">
        <f t="shared" si="114"/>
        <v>กลุ่มงานการพยาบาลผู้ป่วยห้องผ่าตัด</v>
      </c>
      <c r="T667" s="218" t="s">
        <v>5184</v>
      </c>
      <c r="U667" s="26" t="s">
        <v>1302</v>
      </c>
      <c r="V667" s="25">
        <v>5.0</v>
      </c>
      <c r="W667" s="218" t="s">
        <v>3991</v>
      </c>
      <c r="X667" s="98" t="s">
        <v>1312</v>
      </c>
      <c r="Y667" s="31">
        <v>25.0</v>
      </c>
      <c r="Z667" s="31">
        <v>25.0</v>
      </c>
      <c r="AA667" s="31">
        <v>266.0</v>
      </c>
      <c r="AB667" s="31">
        <v>295.0</v>
      </c>
      <c r="AC667" s="32">
        <v>1.0</v>
      </c>
      <c r="AD667" s="26"/>
      <c r="AE667" s="26"/>
      <c r="AF667" s="32">
        <v>5.0</v>
      </c>
      <c r="AG667" s="37">
        <v>1.509901304516E12</v>
      </c>
      <c r="AH667" s="37" t="s">
        <v>2984</v>
      </c>
      <c r="AI667" s="38" t="s">
        <v>5981</v>
      </c>
    </row>
    <row r="668" ht="38.25" hidden="1" customHeight="1">
      <c r="A668" s="32">
        <v>662.0</v>
      </c>
      <c r="B668" s="218" t="s">
        <v>1037</v>
      </c>
      <c r="C668" s="218" t="s">
        <v>5768</v>
      </c>
      <c r="D668" s="218" t="s">
        <v>5982</v>
      </c>
      <c r="E668" s="218" t="s">
        <v>5683</v>
      </c>
      <c r="F668" s="218" t="s">
        <v>5683</v>
      </c>
      <c r="G668" s="234" t="s">
        <v>4249</v>
      </c>
      <c r="H668" s="235" t="s">
        <v>1110</v>
      </c>
      <c r="I668" s="29">
        <v>219208.0</v>
      </c>
      <c r="J668" s="29" t="s">
        <v>1125</v>
      </c>
      <c r="K668" s="222" t="s">
        <v>1137</v>
      </c>
      <c r="L668" s="222">
        <v>1.0</v>
      </c>
      <c r="M668" s="27" t="s">
        <v>1137</v>
      </c>
      <c r="N668" s="239" t="s">
        <v>3981</v>
      </c>
      <c r="O668" s="237" t="s">
        <v>5685</v>
      </c>
      <c r="P668" s="238" t="s">
        <v>5183</v>
      </c>
      <c r="Q668" s="237" t="s">
        <v>5184</v>
      </c>
      <c r="R668" s="237" t="s">
        <v>3991</v>
      </c>
      <c r="S668" s="26" t="str">
        <f t="shared" si="114"/>
        <v>กลุ่มงานการพยาบาลผู้ป่วยออร์โธปิดิกส์</v>
      </c>
      <c r="T668" s="218" t="s">
        <v>4869</v>
      </c>
      <c r="U668" s="26" t="s">
        <v>1302</v>
      </c>
      <c r="V668" s="25">
        <v>5.0</v>
      </c>
      <c r="W668" s="218" t="s">
        <v>3991</v>
      </c>
      <c r="X668" s="98" t="s">
        <v>1312</v>
      </c>
      <c r="Y668" s="31">
        <v>25.0</v>
      </c>
      <c r="Z668" s="31">
        <v>25.0</v>
      </c>
      <c r="AA668" s="31">
        <v>266.0</v>
      </c>
      <c r="AB668" s="31">
        <v>295.0</v>
      </c>
      <c r="AC668" s="32">
        <v>1.0</v>
      </c>
      <c r="AD668" s="26"/>
      <c r="AE668" s="26"/>
      <c r="AF668" s="32">
        <v>5.0</v>
      </c>
      <c r="AG668" s="33">
        <v>1.501900075796E12</v>
      </c>
      <c r="AH668" s="33" t="s">
        <v>2646</v>
      </c>
      <c r="AI668" s="34" t="s">
        <v>5983</v>
      </c>
    </row>
    <row r="669" ht="38.25" hidden="1" customHeight="1">
      <c r="A669" s="32">
        <v>663.0</v>
      </c>
      <c r="B669" s="218" t="s">
        <v>1037</v>
      </c>
      <c r="C669" s="218" t="s">
        <v>5984</v>
      </c>
      <c r="D669" s="218" t="s">
        <v>5985</v>
      </c>
      <c r="E669" s="218" t="s">
        <v>5683</v>
      </c>
      <c r="F669" s="218" t="s">
        <v>5683</v>
      </c>
      <c r="G669" s="234" t="s">
        <v>4249</v>
      </c>
      <c r="H669" s="235" t="s">
        <v>1110</v>
      </c>
      <c r="I669" s="29">
        <v>232918.0</v>
      </c>
      <c r="J669" s="29" t="s">
        <v>1125</v>
      </c>
      <c r="K669" s="222" t="s">
        <v>1137</v>
      </c>
      <c r="L669" s="222">
        <v>1.0</v>
      </c>
      <c r="M669" s="27" t="s">
        <v>1137</v>
      </c>
      <c r="N669" s="236" t="s">
        <v>1174</v>
      </c>
      <c r="O669" s="237" t="s">
        <v>5986</v>
      </c>
      <c r="P669" s="238" t="s">
        <v>4868</v>
      </c>
      <c r="Q669" s="237" t="s">
        <v>4869</v>
      </c>
      <c r="R669" s="237" t="s">
        <v>3991</v>
      </c>
      <c r="S669" s="26" t="str">
        <f t="shared" si="114"/>
        <v>กลุ่มงานการพยาบาลผู้ป่วยออร์โธปิดิกส์</v>
      </c>
      <c r="T669" s="218" t="s">
        <v>4869</v>
      </c>
      <c r="U669" s="26" t="s">
        <v>1302</v>
      </c>
      <c r="V669" s="25">
        <v>12.0</v>
      </c>
      <c r="W669" s="218" t="s">
        <v>3991</v>
      </c>
      <c r="X669" s="98" t="s">
        <v>1312</v>
      </c>
      <c r="Y669" s="31">
        <v>14.0</v>
      </c>
      <c r="Z669" s="31">
        <v>14.0</v>
      </c>
      <c r="AA669" s="31">
        <v>266.0</v>
      </c>
      <c r="AB669" s="31">
        <v>295.0</v>
      </c>
      <c r="AC669" s="32">
        <v>1.0</v>
      </c>
      <c r="AD669" s="26"/>
      <c r="AE669" s="26"/>
      <c r="AF669" s="32">
        <v>5.0</v>
      </c>
      <c r="AG669" s="33">
        <v>1.505200035981E12</v>
      </c>
      <c r="AH669" s="33" t="s">
        <v>2650</v>
      </c>
      <c r="AI669" s="34" t="s">
        <v>5987</v>
      </c>
    </row>
    <row r="670" ht="38.25" hidden="1" customHeight="1">
      <c r="A670" s="32">
        <v>664.0</v>
      </c>
      <c r="B670" s="218" t="s">
        <v>1037</v>
      </c>
      <c r="C670" s="218" t="s">
        <v>5021</v>
      </c>
      <c r="D670" s="218" t="s">
        <v>5988</v>
      </c>
      <c r="E670" s="218" t="s">
        <v>5683</v>
      </c>
      <c r="F670" s="218" t="s">
        <v>5683</v>
      </c>
      <c r="G670" s="234" t="s">
        <v>4249</v>
      </c>
      <c r="H670" s="235" t="s">
        <v>1110</v>
      </c>
      <c r="I670" s="29">
        <v>219178.0</v>
      </c>
      <c r="J670" s="29" t="s">
        <v>1125</v>
      </c>
      <c r="K670" s="222" t="s">
        <v>1137</v>
      </c>
      <c r="L670" s="222">
        <v>1.0</v>
      </c>
      <c r="M670" s="27" t="s">
        <v>1137</v>
      </c>
      <c r="N670" s="236" t="s">
        <v>1174</v>
      </c>
      <c r="O670" s="237" t="s">
        <v>5986</v>
      </c>
      <c r="P670" s="238" t="s">
        <v>4868</v>
      </c>
      <c r="Q670" s="237" t="s">
        <v>4869</v>
      </c>
      <c r="R670" s="237" t="s">
        <v>3991</v>
      </c>
      <c r="S670" s="26" t="str">
        <f t="shared" si="114"/>
        <v>กลุ่มงานการพยาบาลผู้ป่วยออร์โธปิดิกส์</v>
      </c>
      <c r="T670" s="218" t="s">
        <v>4869</v>
      </c>
      <c r="U670" s="26" t="s">
        <v>1302</v>
      </c>
      <c r="V670" s="25">
        <v>12.0</v>
      </c>
      <c r="W670" s="218" t="s">
        <v>3991</v>
      </c>
      <c r="X670" s="98" t="s">
        <v>1312</v>
      </c>
      <c r="Y670" s="31">
        <v>14.0</v>
      </c>
      <c r="Z670" s="31">
        <v>14.0</v>
      </c>
      <c r="AA670" s="31">
        <v>266.0</v>
      </c>
      <c r="AB670" s="31">
        <v>295.0</v>
      </c>
      <c r="AC670" s="32">
        <v>1.0</v>
      </c>
      <c r="AD670" s="26"/>
      <c r="AE670" s="26"/>
      <c r="AF670" s="32">
        <v>5.0</v>
      </c>
      <c r="AG670" s="33">
        <v>1.509901536191E12</v>
      </c>
      <c r="AH670" s="33" t="s">
        <v>2832</v>
      </c>
      <c r="AI670" s="40">
        <v>233331.0</v>
      </c>
    </row>
    <row r="671" ht="38.25" hidden="1" customHeight="1">
      <c r="A671" s="32">
        <v>665.0</v>
      </c>
      <c r="B671" s="218" t="s">
        <v>806</v>
      </c>
      <c r="C671" s="218" t="s">
        <v>5989</v>
      </c>
      <c r="D671" s="218" t="s">
        <v>5990</v>
      </c>
      <c r="E671" s="218" t="s">
        <v>5683</v>
      </c>
      <c r="F671" s="218" t="s">
        <v>5683</v>
      </c>
      <c r="G671" s="234" t="s">
        <v>4226</v>
      </c>
      <c r="H671" s="235" t="s">
        <v>5692</v>
      </c>
      <c r="I671" s="29">
        <v>106638.0</v>
      </c>
      <c r="J671" s="29" t="s">
        <v>1125</v>
      </c>
      <c r="K671" s="222" t="s">
        <v>1137</v>
      </c>
      <c r="L671" s="222">
        <v>1.0</v>
      </c>
      <c r="M671" s="27" t="s">
        <v>1137</v>
      </c>
      <c r="N671" s="236" t="s">
        <v>1174</v>
      </c>
      <c r="O671" s="237" t="s">
        <v>5986</v>
      </c>
      <c r="P671" s="238" t="s">
        <v>4868</v>
      </c>
      <c r="Q671" s="237" t="s">
        <v>4869</v>
      </c>
      <c r="R671" s="237" t="s">
        <v>3991</v>
      </c>
      <c r="S671" s="26" t="str">
        <f t="shared" si="114"/>
        <v>กลุ่มงานการพยาบาลผู้ป่วยออร์โธปิดิกส์</v>
      </c>
      <c r="T671" s="218" t="s">
        <v>4869</v>
      </c>
      <c r="U671" s="26" t="s">
        <v>1302</v>
      </c>
      <c r="V671" s="25">
        <v>12.0</v>
      </c>
      <c r="W671" s="218" t="s">
        <v>3991</v>
      </c>
      <c r="X671" s="98" t="s">
        <v>1312</v>
      </c>
      <c r="Y671" s="31">
        <v>14.0</v>
      </c>
      <c r="Z671" s="31">
        <v>14.0</v>
      </c>
      <c r="AA671" s="31">
        <v>266.0</v>
      </c>
      <c r="AB671" s="31">
        <v>295.0</v>
      </c>
      <c r="AC671" s="32">
        <v>1.0</v>
      </c>
      <c r="AD671" s="26"/>
      <c r="AE671" s="26" t="s">
        <v>5991</v>
      </c>
      <c r="AF671" s="32">
        <v>5.0</v>
      </c>
      <c r="AG671" s="33">
        <v>3.500600318699E12</v>
      </c>
      <c r="AH671" s="33" t="s">
        <v>3718</v>
      </c>
      <c r="AI671" s="34" t="s">
        <v>5992</v>
      </c>
    </row>
    <row r="672" ht="38.25" hidden="1" customHeight="1">
      <c r="A672" s="32">
        <v>666.0</v>
      </c>
      <c r="B672" s="218" t="s">
        <v>1037</v>
      </c>
      <c r="C672" s="218" t="s">
        <v>5993</v>
      </c>
      <c r="D672" s="218" t="s">
        <v>5994</v>
      </c>
      <c r="E672" s="218" t="s">
        <v>5683</v>
      </c>
      <c r="F672" s="218" t="s">
        <v>5683</v>
      </c>
      <c r="G672" s="234" t="s">
        <v>4249</v>
      </c>
      <c r="H672" s="235" t="s">
        <v>1110</v>
      </c>
      <c r="I672" s="29">
        <v>219197.0</v>
      </c>
      <c r="J672" s="29" t="s">
        <v>1125</v>
      </c>
      <c r="K672" s="222" t="s">
        <v>1137</v>
      </c>
      <c r="L672" s="222">
        <v>1.0</v>
      </c>
      <c r="M672" s="27" t="s">
        <v>1137</v>
      </c>
      <c r="N672" s="236" t="s">
        <v>1174</v>
      </c>
      <c r="O672" s="237" t="s">
        <v>5986</v>
      </c>
      <c r="P672" s="238" t="s">
        <v>4868</v>
      </c>
      <c r="Q672" s="237" t="s">
        <v>4869</v>
      </c>
      <c r="R672" s="237" t="s">
        <v>3991</v>
      </c>
      <c r="S672" s="26" t="str">
        <f t="shared" si="114"/>
        <v>กลุ่มงานการพยาบาลผู้ป่วยออร์โธปิดิกส์</v>
      </c>
      <c r="T672" s="218" t="s">
        <v>4869</v>
      </c>
      <c r="U672" s="26" t="s">
        <v>1302</v>
      </c>
      <c r="V672" s="25">
        <v>12.0</v>
      </c>
      <c r="W672" s="218" t="s">
        <v>3991</v>
      </c>
      <c r="X672" s="98" t="s">
        <v>1312</v>
      </c>
      <c r="Y672" s="31">
        <v>14.0</v>
      </c>
      <c r="Z672" s="31">
        <v>14.0</v>
      </c>
      <c r="AA672" s="31">
        <v>266.0</v>
      </c>
      <c r="AB672" s="31">
        <v>295.0</v>
      </c>
      <c r="AC672" s="32">
        <v>1.0</v>
      </c>
      <c r="AD672" s="26"/>
      <c r="AE672" s="26"/>
      <c r="AF672" s="32">
        <v>5.0</v>
      </c>
      <c r="AG672" s="37">
        <v>1.509901427995E12</v>
      </c>
      <c r="AH672" s="37" t="s">
        <v>2860</v>
      </c>
      <c r="AI672" s="38" t="s">
        <v>5995</v>
      </c>
    </row>
    <row r="673" ht="38.25" hidden="1" customHeight="1">
      <c r="A673" s="32">
        <v>667.0</v>
      </c>
      <c r="B673" s="218" t="s">
        <v>1037</v>
      </c>
      <c r="C673" s="218" t="s">
        <v>5996</v>
      </c>
      <c r="D673" s="218" t="s">
        <v>5997</v>
      </c>
      <c r="E673" s="218" t="s">
        <v>5683</v>
      </c>
      <c r="F673" s="218" t="s">
        <v>5683</v>
      </c>
      <c r="G673" s="234" t="s">
        <v>4249</v>
      </c>
      <c r="H673" s="235" t="s">
        <v>1110</v>
      </c>
      <c r="I673" s="29">
        <v>118717.0</v>
      </c>
      <c r="J673" s="29" t="s">
        <v>1125</v>
      </c>
      <c r="K673" s="222" t="s">
        <v>1137</v>
      </c>
      <c r="L673" s="222">
        <v>1.0</v>
      </c>
      <c r="M673" s="27" t="s">
        <v>1137</v>
      </c>
      <c r="N673" s="236" t="s">
        <v>1174</v>
      </c>
      <c r="O673" s="237" t="s">
        <v>5986</v>
      </c>
      <c r="P673" s="238" t="s">
        <v>4868</v>
      </c>
      <c r="Q673" s="237" t="s">
        <v>4869</v>
      </c>
      <c r="R673" s="237" t="s">
        <v>3991</v>
      </c>
      <c r="S673" s="26" t="str">
        <f t="shared" si="114"/>
        <v>กลุ่มงานการพยาบาลผู้ป่วยออร์โธปิดิกส์</v>
      </c>
      <c r="T673" s="218" t="s">
        <v>4869</v>
      </c>
      <c r="U673" s="26" t="s">
        <v>1302</v>
      </c>
      <c r="V673" s="25">
        <v>12.0</v>
      </c>
      <c r="W673" s="218" t="s">
        <v>3991</v>
      </c>
      <c r="X673" s="98" t="s">
        <v>1312</v>
      </c>
      <c r="Y673" s="31">
        <v>14.0</v>
      </c>
      <c r="Z673" s="31">
        <v>14.0</v>
      </c>
      <c r="AA673" s="31">
        <v>266.0</v>
      </c>
      <c r="AB673" s="31">
        <v>295.0</v>
      </c>
      <c r="AC673" s="32">
        <v>1.0</v>
      </c>
      <c r="AD673" s="26"/>
      <c r="AE673" s="26"/>
      <c r="AF673" s="32">
        <v>5.0</v>
      </c>
      <c r="AG673" s="33">
        <v>1.520500115447E12</v>
      </c>
      <c r="AH673" s="46"/>
      <c r="AI673" s="40">
        <v>233702.0</v>
      </c>
    </row>
    <row r="674" ht="38.25" hidden="1" customHeight="1">
      <c r="A674" s="32">
        <v>668.0</v>
      </c>
      <c r="B674" s="218" t="s">
        <v>1037</v>
      </c>
      <c r="C674" s="218" t="s">
        <v>5635</v>
      </c>
      <c r="D674" s="218" t="s">
        <v>5998</v>
      </c>
      <c r="E674" s="218" t="s">
        <v>5683</v>
      </c>
      <c r="F674" s="218" t="s">
        <v>5683</v>
      </c>
      <c r="G674" s="234" t="s">
        <v>4249</v>
      </c>
      <c r="H674" s="235" t="s">
        <v>1110</v>
      </c>
      <c r="I674" s="29">
        <v>232920.0</v>
      </c>
      <c r="J674" s="29" t="s">
        <v>1125</v>
      </c>
      <c r="K674" s="222" t="s">
        <v>1137</v>
      </c>
      <c r="L674" s="222">
        <v>1.0</v>
      </c>
      <c r="M674" s="27" t="s">
        <v>1137</v>
      </c>
      <c r="N674" s="239" t="s">
        <v>3981</v>
      </c>
      <c r="O674" s="237" t="s">
        <v>4944</v>
      </c>
      <c r="P674" s="238" t="s">
        <v>4945</v>
      </c>
      <c r="Q674" s="237" t="s">
        <v>4869</v>
      </c>
      <c r="R674" s="237" t="s">
        <v>3991</v>
      </c>
      <c r="S674" s="26" t="str">
        <f t="shared" si="114"/>
        <v>กลุ่มงานการพยาบาลผู้ป่วยออร์โธปิดิกส์</v>
      </c>
      <c r="T674" s="218" t="s">
        <v>4869</v>
      </c>
      <c r="U674" s="26" t="s">
        <v>1302</v>
      </c>
      <c r="V674" s="25">
        <v>12.0</v>
      </c>
      <c r="W674" s="218" t="s">
        <v>3991</v>
      </c>
      <c r="X674" s="98" t="s">
        <v>1312</v>
      </c>
      <c r="Y674" s="31">
        <v>14.0</v>
      </c>
      <c r="Z674" s="31">
        <v>14.0</v>
      </c>
      <c r="AA674" s="31">
        <v>266.0</v>
      </c>
      <c r="AB674" s="31">
        <v>295.0</v>
      </c>
      <c r="AC674" s="32">
        <v>1.0</v>
      </c>
      <c r="AD674" s="26"/>
      <c r="AE674" s="26"/>
      <c r="AF674" s="32">
        <v>5.0</v>
      </c>
      <c r="AG674" s="37">
        <v>1.501100106778E12</v>
      </c>
      <c r="AH674" s="37" t="s">
        <v>2571</v>
      </c>
      <c r="AI674" s="44">
        <v>233400.0</v>
      </c>
    </row>
    <row r="675" ht="38.25" hidden="1" customHeight="1">
      <c r="A675" s="32">
        <v>669.0</v>
      </c>
      <c r="B675" s="218" t="s">
        <v>2692</v>
      </c>
      <c r="C675" s="218" t="s">
        <v>5999</v>
      </c>
      <c r="D675" s="218" t="s">
        <v>6000</v>
      </c>
      <c r="E675" s="218" t="s">
        <v>5683</v>
      </c>
      <c r="F675" s="218" t="s">
        <v>5683</v>
      </c>
      <c r="G675" s="234" t="s">
        <v>4249</v>
      </c>
      <c r="H675" s="235" t="s">
        <v>1110</v>
      </c>
      <c r="I675" s="29">
        <v>219219.0</v>
      </c>
      <c r="J675" s="29" t="s">
        <v>1125</v>
      </c>
      <c r="K675" s="222" t="s">
        <v>1137</v>
      </c>
      <c r="L675" s="222">
        <v>1.0</v>
      </c>
      <c r="M675" s="27" t="s">
        <v>1137</v>
      </c>
      <c r="N675" s="236" t="s">
        <v>1174</v>
      </c>
      <c r="O675" s="237" t="s">
        <v>5805</v>
      </c>
      <c r="P675" s="238" t="s">
        <v>4873</v>
      </c>
      <c r="Q675" s="237" t="s">
        <v>4874</v>
      </c>
      <c r="R675" s="237" t="s">
        <v>3991</v>
      </c>
      <c r="S675" s="26" t="str">
        <f t="shared" si="114"/>
        <v>กลุ่มงานการพยาบาลผู้ป่วยอายุรกรรม</v>
      </c>
      <c r="T675" s="218" t="s">
        <v>4874</v>
      </c>
      <c r="U675" s="26" t="s">
        <v>1302</v>
      </c>
      <c r="V675" s="25">
        <v>7.0</v>
      </c>
      <c r="W675" s="218" t="s">
        <v>3991</v>
      </c>
      <c r="X675" s="98" t="s">
        <v>1312</v>
      </c>
      <c r="Y675" s="31">
        <v>44.0</v>
      </c>
      <c r="Z675" s="31">
        <v>44.0</v>
      </c>
      <c r="AA675" s="31">
        <v>266.0</v>
      </c>
      <c r="AB675" s="31">
        <v>295.0</v>
      </c>
      <c r="AC675" s="89">
        <v>2.0</v>
      </c>
      <c r="AD675" s="218"/>
      <c r="AE675" s="26"/>
      <c r="AF675" s="32">
        <v>5.0</v>
      </c>
      <c r="AG675" s="37">
        <v>1.509901283403E12</v>
      </c>
      <c r="AH675" s="37" t="s">
        <v>3013</v>
      </c>
      <c r="AI675" s="38" t="s">
        <v>4354</v>
      </c>
    </row>
    <row r="676" ht="38.25" hidden="1" customHeight="1">
      <c r="A676" s="32">
        <v>670.0</v>
      </c>
      <c r="B676" s="218" t="s">
        <v>1037</v>
      </c>
      <c r="C676" s="218" t="s">
        <v>4307</v>
      </c>
      <c r="D676" s="218" t="s">
        <v>6001</v>
      </c>
      <c r="E676" s="218" t="s">
        <v>5683</v>
      </c>
      <c r="F676" s="218" t="s">
        <v>5683</v>
      </c>
      <c r="G676" s="234" t="s">
        <v>4249</v>
      </c>
      <c r="H676" s="235" t="s">
        <v>1110</v>
      </c>
      <c r="I676" s="29">
        <v>219192.0</v>
      </c>
      <c r="J676" s="29" t="s">
        <v>1125</v>
      </c>
      <c r="K676" s="222" t="s">
        <v>1137</v>
      </c>
      <c r="L676" s="222">
        <v>1.0</v>
      </c>
      <c r="M676" s="27" t="s">
        <v>1137</v>
      </c>
      <c r="N676" s="236" t="s">
        <v>1174</v>
      </c>
      <c r="O676" s="237" t="s">
        <v>4882</v>
      </c>
      <c r="P676" s="238" t="s">
        <v>4883</v>
      </c>
      <c r="Q676" s="237" t="s">
        <v>4874</v>
      </c>
      <c r="R676" s="237" t="s">
        <v>3991</v>
      </c>
      <c r="S676" s="26" t="str">
        <f t="shared" si="114"/>
        <v>กลุ่มงานการพยาบาลผู้ป่วยอายุรกรรม</v>
      </c>
      <c r="T676" s="218" t="s">
        <v>4874</v>
      </c>
      <c r="U676" s="26" t="s">
        <v>1302</v>
      </c>
      <c r="V676" s="25">
        <v>7.0</v>
      </c>
      <c r="W676" s="218" t="s">
        <v>3991</v>
      </c>
      <c r="X676" s="98" t="s">
        <v>1312</v>
      </c>
      <c r="Y676" s="31">
        <v>44.0</v>
      </c>
      <c r="Z676" s="31">
        <v>44.0</v>
      </c>
      <c r="AA676" s="31">
        <v>266.0</v>
      </c>
      <c r="AB676" s="31">
        <v>295.0</v>
      </c>
      <c r="AC676" s="32">
        <v>1.0</v>
      </c>
      <c r="AD676" s="26"/>
      <c r="AE676" s="26"/>
      <c r="AF676" s="32">
        <v>5.0</v>
      </c>
      <c r="AG676" s="33">
        <v>1.500700153121E12</v>
      </c>
      <c r="AH676" s="33" t="s">
        <v>2576</v>
      </c>
      <c r="AI676" s="34" t="s">
        <v>6002</v>
      </c>
    </row>
    <row r="677" ht="38.25" hidden="1" customHeight="1">
      <c r="A677" s="32">
        <v>671.0</v>
      </c>
      <c r="B677" s="218" t="s">
        <v>806</v>
      </c>
      <c r="C677" s="218" t="s">
        <v>6003</v>
      </c>
      <c r="D677" s="218" t="s">
        <v>6004</v>
      </c>
      <c r="E677" s="218" t="s">
        <v>5683</v>
      </c>
      <c r="F677" s="218" t="s">
        <v>5683</v>
      </c>
      <c r="G677" s="234" t="s">
        <v>4226</v>
      </c>
      <c r="H677" s="235" t="s">
        <v>5692</v>
      </c>
      <c r="I677" s="29">
        <v>219201.0</v>
      </c>
      <c r="J677" s="29" t="s">
        <v>1125</v>
      </c>
      <c r="K677" s="222" t="s">
        <v>1137</v>
      </c>
      <c r="L677" s="222">
        <v>1.0</v>
      </c>
      <c r="M677" s="27" t="s">
        <v>1137</v>
      </c>
      <c r="N677" s="239" t="s">
        <v>3981</v>
      </c>
      <c r="O677" s="237" t="s">
        <v>5904</v>
      </c>
      <c r="P677" s="238" t="s">
        <v>4938</v>
      </c>
      <c r="Q677" s="76" t="s">
        <v>4939</v>
      </c>
      <c r="R677" s="237" t="s">
        <v>3991</v>
      </c>
      <c r="S677" s="26" t="str">
        <f t="shared" si="114"/>
        <v>กลุ่มงานการพยาบาลผู้ป่วยอายุรกรรม</v>
      </c>
      <c r="T677" s="218" t="s">
        <v>4874</v>
      </c>
      <c r="U677" s="26" t="s">
        <v>1302</v>
      </c>
      <c r="V677" s="25">
        <v>13.0</v>
      </c>
      <c r="W677" s="218" t="s">
        <v>3991</v>
      </c>
      <c r="X677" s="98" t="s">
        <v>1312</v>
      </c>
      <c r="Y677" s="31">
        <v>6.0</v>
      </c>
      <c r="Z677" s="31">
        <v>6.0</v>
      </c>
      <c r="AA677" s="31">
        <v>266.0</v>
      </c>
      <c r="AB677" s="31">
        <v>295.0</v>
      </c>
      <c r="AC677" s="32">
        <v>1.0</v>
      </c>
      <c r="AD677" s="26"/>
      <c r="AE677" s="26"/>
      <c r="AF677" s="32">
        <v>5.0</v>
      </c>
      <c r="AG677" s="37">
        <v>3.501000008045E12</v>
      </c>
      <c r="AH677" s="37" t="s">
        <v>3700</v>
      </c>
      <c r="AI677" s="38" t="s">
        <v>6005</v>
      </c>
    </row>
    <row r="678" ht="38.25" hidden="1" customHeight="1">
      <c r="A678" s="32">
        <v>672.0</v>
      </c>
      <c r="B678" s="218" t="s">
        <v>1037</v>
      </c>
      <c r="C678" s="218" t="s">
        <v>4414</v>
      </c>
      <c r="D678" s="218" t="s">
        <v>6006</v>
      </c>
      <c r="E678" s="218" t="s">
        <v>5683</v>
      </c>
      <c r="F678" s="218" t="s">
        <v>5683</v>
      </c>
      <c r="G678" s="234" t="s">
        <v>4249</v>
      </c>
      <c r="H678" s="235" t="s">
        <v>1110</v>
      </c>
      <c r="I678" s="29">
        <v>246026.0</v>
      </c>
      <c r="J678" s="29" t="s">
        <v>1125</v>
      </c>
      <c r="K678" s="222" t="s">
        <v>1137</v>
      </c>
      <c r="L678" s="222">
        <v>1.0</v>
      </c>
      <c r="M678" s="27" t="s">
        <v>1137</v>
      </c>
      <c r="N678" s="239" t="s">
        <v>3981</v>
      </c>
      <c r="O678" s="237" t="s">
        <v>5153</v>
      </c>
      <c r="P678" s="238" t="s">
        <v>5154</v>
      </c>
      <c r="Q678" s="237" t="s">
        <v>4959</v>
      </c>
      <c r="R678" s="237" t="s">
        <v>3991</v>
      </c>
      <c r="S678" s="26" t="str">
        <f t="shared" si="114"/>
        <v>กลุ่มงานการพยาบาลผู้ป่วยอายุรกรรม</v>
      </c>
      <c r="T678" s="218" t="s">
        <v>4874</v>
      </c>
      <c r="U678" s="26" t="s">
        <v>1302</v>
      </c>
      <c r="V678" s="25">
        <v>3.0</v>
      </c>
      <c r="W678" s="218" t="s">
        <v>3991</v>
      </c>
      <c r="X678" s="98" t="s">
        <v>1312</v>
      </c>
      <c r="Y678" s="31">
        <v>32.0</v>
      </c>
      <c r="Z678" s="31">
        <v>32.0</v>
      </c>
      <c r="AA678" s="31">
        <v>266.0</v>
      </c>
      <c r="AB678" s="31">
        <v>295.0</v>
      </c>
      <c r="AC678" s="32">
        <v>1.0</v>
      </c>
      <c r="AD678" s="26"/>
      <c r="AE678" s="26"/>
      <c r="AF678" s="32">
        <v>5.0</v>
      </c>
      <c r="AG678" s="33">
        <v>1.501101114499E12</v>
      </c>
      <c r="AH678" s="33" t="s">
        <v>2205</v>
      </c>
      <c r="AI678" s="40">
        <v>233825.0</v>
      </c>
    </row>
    <row r="679" ht="38.25" hidden="1" customHeight="1">
      <c r="A679" s="32">
        <v>673.0</v>
      </c>
      <c r="B679" s="218" t="s">
        <v>806</v>
      </c>
      <c r="C679" s="218" t="s">
        <v>6007</v>
      </c>
      <c r="D679" s="218" t="s">
        <v>6008</v>
      </c>
      <c r="E679" s="218" t="s">
        <v>5683</v>
      </c>
      <c r="F679" s="218" t="s">
        <v>5683</v>
      </c>
      <c r="G679" s="234" t="s">
        <v>4226</v>
      </c>
      <c r="H679" s="235" t="s">
        <v>5692</v>
      </c>
      <c r="I679" s="29">
        <v>219225.0</v>
      </c>
      <c r="J679" s="29" t="s">
        <v>1125</v>
      </c>
      <c r="K679" s="222" t="s">
        <v>1137</v>
      </c>
      <c r="L679" s="222">
        <v>1.0</v>
      </c>
      <c r="M679" s="27" t="s">
        <v>1137</v>
      </c>
      <c r="N679" s="236" t="s">
        <v>1174</v>
      </c>
      <c r="O679" s="237" t="s">
        <v>4882</v>
      </c>
      <c r="P679" s="238" t="s">
        <v>4883</v>
      </c>
      <c r="Q679" s="237" t="s">
        <v>4874</v>
      </c>
      <c r="R679" s="237" t="s">
        <v>3991</v>
      </c>
      <c r="S679" s="26" t="str">
        <f t="shared" si="114"/>
        <v>กลุ่มงานการพยาบาลผู้ป่วยอายุรกรรม</v>
      </c>
      <c r="T679" s="218" t="s">
        <v>4874</v>
      </c>
      <c r="U679" s="26" t="s">
        <v>1302</v>
      </c>
      <c r="V679" s="25">
        <v>7.0</v>
      </c>
      <c r="W679" s="218" t="s">
        <v>3991</v>
      </c>
      <c r="X679" s="98" t="s">
        <v>1312</v>
      </c>
      <c r="Y679" s="31">
        <v>44.0</v>
      </c>
      <c r="Z679" s="31">
        <v>44.0</v>
      </c>
      <c r="AA679" s="31">
        <v>266.0</v>
      </c>
      <c r="AB679" s="31">
        <v>295.0</v>
      </c>
      <c r="AC679" s="32">
        <v>1.0</v>
      </c>
      <c r="AD679" s="26"/>
      <c r="AE679" s="26"/>
      <c r="AF679" s="32">
        <v>5.0</v>
      </c>
      <c r="AG679" s="37">
        <v>3.560700013075E12</v>
      </c>
      <c r="AH679" s="61"/>
      <c r="AI679" s="38" t="s">
        <v>6009</v>
      </c>
    </row>
    <row r="680" ht="38.25" hidden="1" customHeight="1">
      <c r="A680" s="32">
        <v>674.0</v>
      </c>
      <c r="B680" s="218"/>
      <c r="C680" s="218"/>
      <c r="D680" s="218"/>
      <c r="E680" s="218" t="s">
        <v>5683</v>
      </c>
      <c r="F680" s="218" t="s">
        <v>5683</v>
      </c>
      <c r="G680" s="234" t="s">
        <v>4249</v>
      </c>
      <c r="H680" s="235" t="s">
        <v>1110</v>
      </c>
      <c r="I680" s="29">
        <v>219203.0</v>
      </c>
      <c r="J680" s="29" t="s">
        <v>1125</v>
      </c>
      <c r="K680" s="222" t="s">
        <v>1137</v>
      </c>
      <c r="L680" s="222">
        <v>1.0</v>
      </c>
      <c r="M680" s="27" t="s">
        <v>1137</v>
      </c>
      <c r="N680" s="236" t="s">
        <v>1174</v>
      </c>
      <c r="O680" s="237" t="s">
        <v>4904</v>
      </c>
      <c r="P680" s="238" t="s">
        <v>4905</v>
      </c>
      <c r="Q680" s="237" t="s">
        <v>4874</v>
      </c>
      <c r="R680" s="237" t="s">
        <v>3991</v>
      </c>
      <c r="S680" s="26" t="str">
        <f t="shared" si="114"/>
        <v>กลุ่มงานการพยาบาลผู้ป่วยอายุรกรรม</v>
      </c>
      <c r="T680" s="218" t="s">
        <v>4874</v>
      </c>
      <c r="U680" s="26" t="s">
        <v>1302</v>
      </c>
      <c r="V680" s="25">
        <v>7.0</v>
      </c>
      <c r="W680" s="218" t="s">
        <v>3991</v>
      </c>
      <c r="X680" s="98" t="s">
        <v>1312</v>
      </c>
      <c r="Y680" s="31">
        <v>44.0</v>
      </c>
      <c r="Z680" s="31">
        <v>44.0</v>
      </c>
      <c r="AA680" s="31">
        <v>266.0</v>
      </c>
      <c r="AB680" s="31">
        <v>295.0</v>
      </c>
      <c r="AC680" s="32">
        <v>0.0</v>
      </c>
      <c r="AD680" s="64" t="s">
        <v>6010</v>
      </c>
      <c r="AE680" s="26"/>
      <c r="AF680" s="32">
        <v>5.0</v>
      </c>
      <c r="AG680" s="65"/>
      <c r="AH680" s="65"/>
      <c r="AI680" s="66"/>
    </row>
    <row r="681" ht="38.25" hidden="1" customHeight="1">
      <c r="A681" s="32">
        <v>675.0</v>
      </c>
      <c r="B681" s="218" t="s">
        <v>1037</v>
      </c>
      <c r="C681" s="218" t="s">
        <v>6011</v>
      </c>
      <c r="D681" s="218" t="s">
        <v>6012</v>
      </c>
      <c r="E681" s="218" t="s">
        <v>5683</v>
      </c>
      <c r="F681" s="218" t="s">
        <v>5683</v>
      </c>
      <c r="G681" s="234" t="s">
        <v>4249</v>
      </c>
      <c r="H681" s="235" t="s">
        <v>1110</v>
      </c>
      <c r="I681" s="29">
        <v>142480.0</v>
      </c>
      <c r="J681" s="29" t="s">
        <v>1125</v>
      </c>
      <c r="K681" s="222" t="s">
        <v>1137</v>
      </c>
      <c r="L681" s="222">
        <v>1.0</v>
      </c>
      <c r="M681" s="27" t="s">
        <v>1137</v>
      </c>
      <c r="N681" s="239" t="s">
        <v>3981</v>
      </c>
      <c r="O681" s="237" t="s">
        <v>4928</v>
      </c>
      <c r="P681" s="238" t="s">
        <v>4929</v>
      </c>
      <c r="Q681" s="245" t="s">
        <v>4858</v>
      </c>
      <c r="R681" s="237" t="s">
        <v>3991</v>
      </c>
      <c r="S681" s="26" t="str">
        <f t="shared" si="114"/>
        <v>กลุ่มงานการพยาบาลผู้ป่วยอายุรกรรม</v>
      </c>
      <c r="T681" s="218" t="s">
        <v>4874</v>
      </c>
      <c r="U681" s="26" t="s">
        <v>1302</v>
      </c>
      <c r="V681" s="25">
        <v>8.0</v>
      </c>
      <c r="W681" s="218" t="s">
        <v>3991</v>
      </c>
      <c r="X681" s="98" t="s">
        <v>1312</v>
      </c>
      <c r="Y681" s="31">
        <v>14.0</v>
      </c>
      <c r="Z681" s="31">
        <v>14.0</v>
      </c>
      <c r="AA681" s="31">
        <v>266.0</v>
      </c>
      <c r="AB681" s="31">
        <v>295.0</v>
      </c>
      <c r="AC681" s="32">
        <v>1.0</v>
      </c>
      <c r="AD681" s="26"/>
      <c r="AE681" s="26"/>
      <c r="AF681" s="32">
        <v>5.0</v>
      </c>
      <c r="AG681" s="33">
        <v>1.500700204711E12</v>
      </c>
      <c r="AH681" s="33" t="s">
        <v>2599</v>
      </c>
      <c r="AI681" s="34" t="s">
        <v>6013</v>
      </c>
    </row>
    <row r="682" ht="38.25" hidden="1" customHeight="1">
      <c r="A682" s="32">
        <v>676.0</v>
      </c>
      <c r="B682" s="218" t="s">
        <v>1037</v>
      </c>
      <c r="C682" s="218" t="s">
        <v>6014</v>
      </c>
      <c r="D682" s="218" t="s">
        <v>6015</v>
      </c>
      <c r="E682" s="218" t="s">
        <v>5683</v>
      </c>
      <c r="F682" s="218" t="s">
        <v>5683</v>
      </c>
      <c r="G682" s="234" t="s">
        <v>4249</v>
      </c>
      <c r="H682" s="235" t="s">
        <v>1110</v>
      </c>
      <c r="I682" s="29">
        <v>107082.0</v>
      </c>
      <c r="J682" s="29" t="s">
        <v>1125</v>
      </c>
      <c r="K682" s="222" t="s">
        <v>1137</v>
      </c>
      <c r="L682" s="222">
        <v>1.0</v>
      </c>
      <c r="M682" s="27" t="s">
        <v>1137</v>
      </c>
      <c r="N682" s="236" t="s">
        <v>1174</v>
      </c>
      <c r="O682" s="237" t="s">
        <v>4944</v>
      </c>
      <c r="P682" s="238" t="s">
        <v>4945</v>
      </c>
      <c r="Q682" s="237" t="s">
        <v>4869</v>
      </c>
      <c r="R682" s="237" t="s">
        <v>3991</v>
      </c>
      <c r="S682" s="26" t="str">
        <f t="shared" si="114"/>
        <v>กลุ่มงานการพยาบาลผู้ป่วยอายุรกรรม</v>
      </c>
      <c r="T682" s="218" t="s">
        <v>4874</v>
      </c>
      <c r="U682" s="26" t="s">
        <v>1302</v>
      </c>
      <c r="V682" s="25">
        <v>12.0</v>
      </c>
      <c r="W682" s="218" t="s">
        <v>3991</v>
      </c>
      <c r="X682" s="98" t="s">
        <v>1312</v>
      </c>
      <c r="Y682" s="31">
        <v>14.0</v>
      </c>
      <c r="Z682" s="31">
        <v>14.0</v>
      </c>
      <c r="AA682" s="31">
        <v>266.0</v>
      </c>
      <c r="AB682" s="31">
        <v>295.0</v>
      </c>
      <c r="AC682" s="32">
        <v>1.0</v>
      </c>
      <c r="AD682" s="26"/>
      <c r="AE682" s="26"/>
      <c r="AF682" s="32">
        <v>5.0</v>
      </c>
      <c r="AG682" s="37">
        <v>1.509901689795E12</v>
      </c>
      <c r="AH682" s="37" t="s">
        <v>2604</v>
      </c>
      <c r="AI682" s="38" t="s">
        <v>6016</v>
      </c>
    </row>
    <row r="683" ht="38.25" hidden="1" customHeight="1">
      <c r="A683" s="32">
        <v>677.0</v>
      </c>
      <c r="B683" s="218" t="s">
        <v>1037</v>
      </c>
      <c r="C683" s="218" t="s">
        <v>6017</v>
      </c>
      <c r="D683" s="218" t="s">
        <v>6018</v>
      </c>
      <c r="E683" s="218" t="s">
        <v>5683</v>
      </c>
      <c r="F683" s="218" t="s">
        <v>5683</v>
      </c>
      <c r="G683" s="234" t="s">
        <v>4249</v>
      </c>
      <c r="H683" s="226" t="s">
        <v>1110</v>
      </c>
      <c r="I683" s="29">
        <v>219207.0</v>
      </c>
      <c r="J683" s="29" t="s">
        <v>1125</v>
      </c>
      <c r="K683" s="222" t="s">
        <v>1137</v>
      </c>
      <c r="L683" s="222">
        <v>1.0</v>
      </c>
      <c r="M683" s="27" t="s">
        <v>1137</v>
      </c>
      <c r="N683" s="236" t="s">
        <v>1174</v>
      </c>
      <c r="O683" s="237" t="s">
        <v>4944</v>
      </c>
      <c r="P683" s="238" t="s">
        <v>4945</v>
      </c>
      <c r="Q683" s="237" t="s">
        <v>4869</v>
      </c>
      <c r="R683" s="237" t="s">
        <v>3991</v>
      </c>
      <c r="S683" s="26" t="str">
        <f t="shared" si="114"/>
        <v>กลุ่มงานการพยาบาลผู้ป่วยอายุรกรรม</v>
      </c>
      <c r="T683" s="218" t="s">
        <v>4874</v>
      </c>
      <c r="U683" s="26" t="s">
        <v>1302</v>
      </c>
      <c r="V683" s="25">
        <v>12.0</v>
      </c>
      <c r="W683" s="218" t="s">
        <v>3991</v>
      </c>
      <c r="X683" s="98" t="s">
        <v>1312</v>
      </c>
      <c r="Y683" s="31">
        <v>14.0</v>
      </c>
      <c r="Z683" s="31">
        <v>14.0</v>
      </c>
      <c r="AA683" s="31">
        <v>266.0</v>
      </c>
      <c r="AB683" s="31">
        <v>295.0</v>
      </c>
      <c r="AC683" s="32">
        <v>1.0</v>
      </c>
      <c r="AD683" s="26"/>
      <c r="AE683" s="26"/>
      <c r="AF683" s="32">
        <v>5.0</v>
      </c>
      <c r="AG683" s="33">
        <v>1.50070019541E12</v>
      </c>
      <c r="AH683" s="33" t="s">
        <v>2658</v>
      </c>
      <c r="AI683" s="34" t="s">
        <v>6019</v>
      </c>
    </row>
    <row r="684" ht="38.25" hidden="1" customHeight="1">
      <c r="A684" s="32">
        <v>678.0</v>
      </c>
      <c r="B684" s="218" t="s">
        <v>1037</v>
      </c>
      <c r="C684" s="218" t="s">
        <v>6020</v>
      </c>
      <c r="D684" s="218" t="s">
        <v>6021</v>
      </c>
      <c r="E684" s="218" t="s">
        <v>5683</v>
      </c>
      <c r="F684" s="218" t="s">
        <v>5683</v>
      </c>
      <c r="G684" s="234" t="s">
        <v>4249</v>
      </c>
      <c r="H684" s="226" t="s">
        <v>1110</v>
      </c>
      <c r="I684" s="29">
        <v>106746.0</v>
      </c>
      <c r="J684" s="29" t="s">
        <v>1125</v>
      </c>
      <c r="K684" s="222" t="s">
        <v>1137</v>
      </c>
      <c r="L684" s="222">
        <v>1.0</v>
      </c>
      <c r="M684" s="27" t="s">
        <v>1137</v>
      </c>
      <c r="N684" s="236" t="s">
        <v>1174</v>
      </c>
      <c r="O684" s="237" t="s">
        <v>4944</v>
      </c>
      <c r="P684" s="238" t="s">
        <v>4945</v>
      </c>
      <c r="Q684" s="237" t="s">
        <v>4869</v>
      </c>
      <c r="R684" s="237" t="s">
        <v>3991</v>
      </c>
      <c r="S684" s="26" t="str">
        <f t="shared" si="114"/>
        <v>กลุ่มงานการพยาบาลผู้ป่วยอายุรกรรม</v>
      </c>
      <c r="T684" s="218" t="s">
        <v>4874</v>
      </c>
      <c r="U684" s="26" t="s">
        <v>1302</v>
      </c>
      <c r="V684" s="25">
        <v>12.0</v>
      </c>
      <c r="W684" s="218" t="s">
        <v>3991</v>
      </c>
      <c r="X684" s="98" t="s">
        <v>1312</v>
      </c>
      <c r="Y684" s="31">
        <v>14.0</v>
      </c>
      <c r="Z684" s="31">
        <v>14.0</v>
      </c>
      <c r="AA684" s="31">
        <v>266.0</v>
      </c>
      <c r="AB684" s="31">
        <v>295.0</v>
      </c>
      <c r="AC684" s="32">
        <v>1.0</v>
      </c>
      <c r="AD684" s="26"/>
      <c r="AE684" s="26"/>
      <c r="AF684" s="32">
        <v>5.0</v>
      </c>
      <c r="AG684" s="37">
        <v>1.500300182256E12</v>
      </c>
      <c r="AH684" s="37" t="s">
        <v>2609</v>
      </c>
      <c r="AI684" s="38" t="s">
        <v>6022</v>
      </c>
    </row>
    <row r="685" ht="38.25" hidden="1" customHeight="1">
      <c r="A685" s="32">
        <v>679.0</v>
      </c>
      <c r="B685" s="218" t="s">
        <v>1037</v>
      </c>
      <c r="C685" s="218" t="s">
        <v>4307</v>
      </c>
      <c r="D685" s="218" t="s">
        <v>6023</v>
      </c>
      <c r="E685" s="218" t="s">
        <v>5683</v>
      </c>
      <c r="F685" s="218" t="s">
        <v>5683</v>
      </c>
      <c r="G685" s="234" t="s">
        <v>4249</v>
      </c>
      <c r="H685" s="226" t="s">
        <v>1110</v>
      </c>
      <c r="I685" s="29">
        <v>206739.0</v>
      </c>
      <c r="J685" s="29" t="s">
        <v>1125</v>
      </c>
      <c r="K685" s="222" t="s">
        <v>1137</v>
      </c>
      <c r="L685" s="222">
        <v>1.0</v>
      </c>
      <c r="M685" s="27" t="s">
        <v>1137</v>
      </c>
      <c r="N685" s="236" t="s">
        <v>1174</v>
      </c>
      <c r="O685" s="237" t="s">
        <v>5805</v>
      </c>
      <c r="P685" s="238" t="s">
        <v>4873</v>
      </c>
      <c r="Q685" s="237" t="s">
        <v>4874</v>
      </c>
      <c r="R685" s="237" t="s">
        <v>3991</v>
      </c>
      <c r="S685" s="26" t="str">
        <f t="shared" si="114"/>
        <v>กลุ่มงานการพยาบาลผู้ป่วยอายุรกรรม</v>
      </c>
      <c r="T685" s="218" t="s">
        <v>4874</v>
      </c>
      <c r="U685" s="26" t="s">
        <v>1302</v>
      </c>
      <c r="V685" s="25">
        <v>7.0</v>
      </c>
      <c r="W685" s="218" t="s">
        <v>3991</v>
      </c>
      <c r="X685" s="98" t="s">
        <v>1312</v>
      </c>
      <c r="Y685" s="31">
        <v>44.0</v>
      </c>
      <c r="Z685" s="31">
        <v>44.0</v>
      </c>
      <c r="AA685" s="31">
        <v>266.0</v>
      </c>
      <c r="AB685" s="31">
        <v>295.0</v>
      </c>
      <c r="AC685" s="32">
        <v>1.0</v>
      </c>
      <c r="AD685" s="26"/>
      <c r="AE685" s="26"/>
      <c r="AF685" s="32">
        <v>5.0</v>
      </c>
      <c r="AG685" s="33">
        <v>1.500700144254E12</v>
      </c>
      <c r="AH685" s="46"/>
      <c r="AI685" s="34" t="s">
        <v>6024</v>
      </c>
    </row>
    <row r="686" ht="38.25" hidden="1" customHeight="1">
      <c r="A686" s="32">
        <v>680.0</v>
      </c>
      <c r="B686" s="218" t="s">
        <v>1037</v>
      </c>
      <c r="C686" s="218" t="s">
        <v>6025</v>
      </c>
      <c r="D686" s="218" t="s">
        <v>6026</v>
      </c>
      <c r="E686" s="218" t="s">
        <v>5683</v>
      </c>
      <c r="F686" s="218" t="s">
        <v>5683</v>
      </c>
      <c r="G686" s="234" t="s">
        <v>4249</v>
      </c>
      <c r="H686" s="235" t="s">
        <v>1110</v>
      </c>
      <c r="I686" s="29">
        <v>203868.0</v>
      </c>
      <c r="J686" s="29" t="s">
        <v>1125</v>
      </c>
      <c r="K686" s="222" t="s">
        <v>1137</v>
      </c>
      <c r="L686" s="222">
        <v>1.0</v>
      </c>
      <c r="M686" s="27" t="s">
        <v>1137</v>
      </c>
      <c r="N686" s="236" t="s">
        <v>1174</v>
      </c>
      <c r="O686" s="237" t="s">
        <v>5805</v>
      </c>
      <c r="P686" s="238" t="s">
        <v>4873</v>
      </c>
      <c r="Q686" s="237" t="s">
        <v>4874</v>
      </c>
      <c r="R686" s="237" t="s">
        <v>3991</v>
      </c>
      <c r="S686" s="26" t="str">
        <f t="shared" si="114"/>
        <v>กลุ่มงานการพยาบาลผู้ป่วยอายุรกรรม</v>
      </c>
      <c r="T686" s="218" t="s">
        <v>4874</v>
      </c>
      <c r="U686" s="26" t="s">
        <v>1302</v>
      </c>
      <c r="V686" s="25">
        <v>7.0</v>
      </c>
      <c r="W686" s="218" t="s">
        <v>3991</v>
      </c>
      <c r="X686" s="98" t="s">
        <v>1312</v>
      </c>
      <c r="Y686" s="31">
        <v>44.0</v>
      </c>
      <c r="Z686" s="31">
        <v>44.0</v>
      </c>
      <c r="AA686" s="31">
        <v>266.0</v>
      </c>
      <c r="AB686" s="31">
        <v>295.0</v>
      </c>
      <c r="AC686" s="32">
        <v>1.0</v>
      </c>
      <c r="AD686" s="26"/>
      <c r="AE686" s="26"/>
      <c r="AF686" s="32">
        <v>5.0</v>
      </c>
      <c r="AG686" s="37">
        <v>1.509900996813E12</v>
      </c>
      <c r="AH686" s="61"/>
      <c r="AI686" s="38" t="s">
        <v>6027</v>
      </c>
    </row>
    <row r="687" ht="38.25" hidden="1" customHeight="1">
      <c r="A687" s="32">
        <v>681.0</v>
      </c>
      <c r="B687" s="218" t="s">
        <v>806</v>
      </c>
      <c r="C687" s="218" t="s">
        <v>6028</v>
      </c>
      <c r="D687" s="218" t="s">
        <v>5104</v>
      </c>
      <c r="E687" s="218" t="s">
        <v>5683</v>
      </c>
      <c r="F687" s="218" t="s">
        <v>5683</v>
      </c>
      <c r="G687" s="234" t="s">
        <v>4226</v>
      </c>
      <c r="H687" s="226" t="s">
        <v>5692</v>
      </c>
      <c r="I687" s="29">
        <v>107157.0</v>
      </c>
      <c r="J687" s="29" t="s">
        <v>1125</v>
      </c>
      <c r="K687" s="222" t="s">
        <v>1137</v>
      </c>
      <c r="L687" s="222">
        <v>1.0</v>
      </c>
      <c r="M687" s="27" t="s">
        <v>1137</v>
      </c>
      <c r="N687" s="236" t="s">
        <v>1174</v>
      </c>
      <c r="O687" s="237" t="s">
        <v>5805</v>
      </c>
      <c r="P687" s="238" t="s">
        <v>4873</v>
      </c>
      <c r="Q687" s="237" t="s">
        <v>4874</v>
      </c>
      <c r="R687" s="237" t="s">
        <v>3991</v>
      </c>
      <c r="S687" s="26" t="str">
        <f t="shared" si="114"/>
        <v>กลุ่มงานการพยาบาลผู้ป่วยอายุรกรรม</v>
      </c>
      <c r="T687" s="218" t="s">
        <v>4874</v>
      </c>
      <c r="U687" s="26" t="s">
        <v>1302</v>
      </c>
      <c r="V687" s="25">
        <v>7.0</v>
      </c>
      <c r="W687" s="218" t="s">
        <v>3991</v>
      </c>
      <c r="X687" s="98" t="s">
        <v>1312</v>
      </c>
      <c r="Y687" s="31">
        <v>44.0</v>
      </c>
      <c r="Z687" s="31">
        <v>44.0</v>
      </c>
      <c r="AA687" s="31">
        <v>266.0</v>
      </c>
      <c r="AB687" s="31">
        <v>295.0</v>
      </c>
      <c r="AC687" s="32">
        <v>1.0</v>
      </c>
      <c r="AD687" s="26"/>
      <c r="AE687" s="218" t="s">
        <v>6029</v>
      </c>
      <c r="AF687" s="32">
        <v>5.0</v>
      </c>
      <c r="AG687" s="33">
        <v>3.500700080376E12</v>
      </c>
      <c r="AH687" s="33" t="s">
        <v>3708</v>
      </c>
      <c r="AI687" s="34" t="s">
        <v>6030</v>
      </c>
    </row>
    <row r="688" ht="38.25" hidden="1" customHeight="1">
      <c r="A688" s="32">
        <v>682.0</v>
      </c>
      <c r="B688" s="218" t="s">
        <v>1037</v>
      </c>
      <c r="C688" s="218" t="s">
        <v>6031</v>
      </c>
      <c r="D688" s="218" t="s">
        <v>6032</v>
      </c>
      <c r="E688" s="218" t="s">
        <v>5683</v>
      </c>
      <c r="F688" s="218" t="s">
        <v>5683</v>
      </c>
      <c r="G688" s="234" t="s">
        <v>4249</v>
      </c>
      <c r="H688" s="226" t="s">
        <v>1110</v>
      </c>
      <c r="I688" s="29">
        <v>106977.0</v>
      </c>
      <c r="J688" s="29" t="s">
        <v>1125</v>
      </c>
      <c r="K688" s="222" t="s">
        <v>1137</v>
      </c>
      <c r="L688" s="222">
        <v>1.0</v>
      </c>
      <c r="M688" s="27" t="s">
        <v>1137</v>
      </c>
      <c r="N688" s="236" t="s">
        <v>1174</v>
      </c>
      <c r="O688" s="237" t="s">
        <v>5805</v>
      </c>
      <c r="P688" s="238" t="s">
        <v>4873</v>
      </c>
      <c r="Q688" s="237" t="s">
        <v>4874</v>
      </c>
      <c r="R688" s="237" t="s">
        <v>3991</v>
      </c>
      <c r="S688" s="26" t="str">
        <f t="shared" si="114"/>
        <v>กลุ่มงานการพยาบาลผู้ป่วยอายุรกรรม</v>
      </c>
      <c r="T688" s="218" t="s">
        <v>4874</v>
      </c>
      <c r="U688" s="26" t="s">
        <v>1302</v>
      </c>
      <c r="V688" s="25">
        <v>7.0</v>
      </c>
      <c r="W688" s="218" t="s">
        <v>3991</v>
      </c>
      <c r="X688" s="98" t="s">
        <v>1312</v>
      </c>
      <c r="Y688" s="31">
        <v>44.0</v>
      </c>
      <c r="Z688" s="31">
        <v>44.0</v>
      </c>
      <c r="AA688" s="31">
        <v>266.0</v>
      </c>
      <c r="AB688" s="31">
        <v>295.0</v>
      </c>
      <c r="AC688" s="32">
        <v>1.0</v>
      </c>
      <c r="AD688" s="26"/>
      <c r="AE688" s="26"/>
      <c r="AF688" s="32">
        <v>5.0</v>
      </c>
      <c r="AG688" s="37">
        <v>2.560200012802E12</v>
      </c>
      <c r="AH688" s="37" t="s">
        <v>2641</v>
      </c>
      <c r="AI688" s="38" t="s">
        <v>6033</v>
      </c>
    </row>
    <row r="689" ht="38.25" hidden="1" customHeight="1">
      <c r="A689" s="32">
        <v>683.0</v>
      </c>
      <c r="B689" s="218" t="s">
        <v>1037</v>
      </c>
      <c r="C689" s="218" t="s">
        <v>6034</v>
      </c>
      <c r="D689" s="218" t="s">
        <v>6035</v>
      </c>
      <c r="E689" s="218" t="s">
        <v>5683</v>
      </c>
      <c r="F689" s="218" t="s">
        <v>5683</v>
      </c>
      <c r="G689" s="234" t="s">
        <v>4249</v>
      </c>
      <c r="H689" s="226" t="s">
        <v>1110</v>
      </c>
      <c r="I689" s="29">
        <v>106978.0</v>
      </c>
      <c r="J689" s="29" t="s">
        <v>1125</v>
      </c>
      <c r="K689" s="222" t="s">
        <v>1137</v>
      </c>
      <c r="L689" s="222">
        <v>1.0</v>
      </c>
      <c r="M689" s="27" t="s">
        <v>1137</v>
      </c>
      <c r="N689" s="236" t="s">
        <v>1174</v>
      </c>
      <c r="O689" s="237" t="s">
        <v>4904</v>
      </c>
      <c r="P689" s="238" t="s">
        <v>4905</v>
      </c>
      <c r="Q689" s="237" t="s">
        <v>4874</v>
      </c>
      <c r="R689" s="237" t="s">
        <v>3991</v>
      </c>
      <c r="S689" s="26" t="str">
        <f t="shared" si="114"/>
        <v>กลุ่มงานการพยาบาลผู้ป่วยอายุรกรรม</v>
      </c>
      <c r="T689" s="218" t="s">
        <v>4874</v>
      </c>
      <c r="U689" s="26" t="s">
        <v>1302</v>
      </c>
      <c r="V689" s="25">
        <v>7.0</v>
      </c>
      <c r="W689" s="218" t="s">
        <v>3991</v>
      </c>
      <c r="X689" s="98" t="s">
        <v>1312</v>
      </c>
      <c r="Y689" s="31">
        <v>44.0</v>
      </c>
      <c r="Z689" s="31">
        <v>44.0</v>
      </c>
      <c r="AA689" s="31">
        <v>266.0</v>
      </c>
      <c r="AB689" s="31">
        <v>295.0</v>
      </c>
      <c r="AC689" s="32">
        <v>1.0</v>
      </c>
      <c r="AD689" s="26"/>
      <c r="AE689" s="26"/>
      <c r="AF689" s="32">
        <v>5.0</v>
      </c>
      <c r="AG689" s="37">
        <v>1.500100074085E12</v>
      </c>
      <c r="AH689" s="37" t="s">
        <v>2591</v>
      </c>
      <c r="AI689" s="44">
        <v>233726.0</v>
      </c>
    </row>
    <row r="690" ht="38.25" hidden="1" customHeight="1">
      <c r="A690" s="32">
        <v>684.0</v>
      </c>
      <c r="B690" s="218" t="s">
        <v>1037</v>
      </c>
      <c r="C690" s="218" t="s">
        <v>6036</v>
      </c>
      <c r="D690" s="218" t="s">
        <v>6037</v>
      </c>
      <c r="E690" s="218" t="s">
        <v>5683</v>
      </c>
      <c r="F690" s="218" t="s">
        <v>5683</v>
      </c>
      <c r="G690" s="234" t="s">
        <v>4249</v>
      </c>
      <c r="H690" s="226" t="s">
        <v>1110</v>
      </c>
      <c r="I690" s="29">
        <v>219211.0</v>
      </c>
      <c r="J690" s="29" t="s">
        <v>1125</v>
      </c>
      <c r="K690" s="222" t="s">
        <v>1137</v>
      </c>
      <c r="L690" s="222">
        <v>1.0</v>
      </c>
      <c r="M690" s="27" t="s">
        <v>1137</v>
      </c>
      <c r="N690" s="236" t="s">
        <v>1174</v>
      </c>
      <c r="O690" s="237" t="s">
        <v>4904</v>
      </c>
      <c r="P690" s="238" t="s">
        <v>4905</v>
      </c>
      <c r="Q690" s="237" t="s">
        <v>4874</v>
      </c>
      <c r="R690" s="237" t="s">
        <v>3991</v>
      </c>
      <c r="S690" s="26" t="str">
        <f t="shared" si="114"/>
        <v>กลุ่มงานการพยาบาลผู้ป่วยอายุรกรรม</v>
      </c>
      <c r="T690" s="218" t="s">
        <v>4874</v>
      </c>
      <c r="U690" s="26" t="s">
        <v>1302</v>
      </c>
      <c r="V690" s="25">
        <v>7.0</v>
      </c>
      <c r="W690" s="218" t="s">
        <v>3991</v>
      </c>
      <c r="X690" s="98" t="s">
        <v>1312</v>
      </c>
      <c r="Y690" s="31">
        <v>44.0</v>
      </c>
      <c r="Z690" s="31">
        <v>44.0</v>
      </c>
      <c r="AA690" s="31">
        <v>266.0</v>
      </c>
      <c r="AB690" s="31">
        <v>295.0</v>
      </c>
      <c r="AC690" s="32">
        <v>1.0</v>
      </c>
      <c r="AD690" s="26"/>
      <c r="AE690" s="26"/>
      <c r="AF690" s="32">
        <v>5.0</v>
      </c>
      <c r="AG690" s="33">
        <v>1.505100001252E12</v>
      </c>
      <c r="AH690" s="33" t="s">
        <v>2636</v>
      </c>
      <c r="AI690" s="40">
        <v>233611.0</v>
      </c>
    </row>
    <row r="691" ht="38.25" hidden="1" customHeight="1">
      <c r="A691" s="32">
        <v>685.0</v>
      </c>
      <c r="B691" s="218" t="s">
        <v>1037</v>
      </c>
      <c r="C691" s="218" t="s">
        <v>4269</v>
      </c>
      <c r="D691" s="218" t="s">
        <v>6038</v>
      </c>
      <c r="E691" s="218" t="s">
        <v>5683</v>
      </c>
      <c r="F691" s="218" t="s">
        <v>5683</v>
      </c>
      <c r="G691" s="234" t="s">
        <v>4249</v>
      </c>
      <c r="H691" s="226" t="s">
        <v>1110</v>
      </c>
      <c r="I691" s="29">
        <v>219224.0</v>
      </c>
      <c r="J691" s="29" t="s">
        <v>1125</v>
      </c>
      <c r="K691" s="222" t="s">
        <v>1137</v>
      </c>
      <c r="L691" s="222">
        <v>1.0</v>
      </c>
      <c r="M691" s="27" t="s">
        <v>1137</v>
      </c>
      <c r="N691" s="236" t="s">
        <v>1174</v>
      </c>
      <c r="O691" s="237" t="s">
        <v>4904</v>
      </c>
      <c r="P691" s="238" t="s">
        <v>4905</v>
      </c>
      <c r="Q691" s="237" t="s">
        <v>4874</v>
      </c>
      <c r="R691" s="237" t="s">
        <v>3991</v>
      </c>
      <c r="S691" s="26" t="str">
        <f t="shared" si="114"/>
        <v>กลุ่มงานการพยาบาลผู้ป่วยอายุรกรรม</v>
      </c>
      <c r="T691" s="218" t="s">
        <v>4874</v>
      </c>
      <c r="U691" s="26" t="s">
        <v>1302</v>
      </c>
      <c r="V691" s="25">
        <v>7.0</v>
      </c>
      <c r="W691" s="218" t="s">
        <v>3991</v>
      </c>
      <c r="X691" s="98" t="s">
        <v>1312</v>
      </c>
      <c r="Y691" s="31">
        <v>44.0</v>
      </c>
      <c r="Z691" s="31">
        <v>44.0</v>
      </c>
      <c r="AA691" s="31">
        <v>266.0</v>
      </c>
      <c r="AB691" s="31">
        <v>295.0</v>
      </c>
      <c r="AC691" s="32">
        <v>1.0</v>
      </c>
      <c r="AD691" s="26"/>
      <c r="AE691" s="26"/>
      <c r="AF691" s="32">
        <v>5.0</v>
      </c>
      <c r="AG691" s="37">
        <v>1.509901345492E12</v>
      </c>
      <c r="AH691" s="37" t="s">
        <v>2891</v>
      </c>
      <c r="AI691" s="44">
        <v>232304.0</v>
      </c>
    </row>
    <row r="692" ht="38.25" hidden="1" customHeight="1">
      <c r="A692" s="32">
        <v>686.0</v>
      </c>
      <c r="B692" s="86" t="s">
        <v>1037</v>
      </c>
      <c r="C692" s="86" t="s">
        <v>6039</v>
      </c>
      <c r="D692" s="86" t="s">
        <v>5498</v>
      </c>
      <c r="E692" s="86" t="s">
        <v>5683</v>
      </c>
      <c r="F692" s="86" t="s">
        <v>5683</v>
      </c>
      <c r="G692" s="114" t="s">
        <v>4249</v>
      </c>
      <c r="H692" s="258" t="s">
        <v>1110</v>
      </c>
      <c r="I692" s="84">
        <v>219093.0</v>
      </c>
      <c r="J692" s="84" t="s">
        <v>1125</v>
      </c>
      <c r="K692" s="241" t="s">
        <v>1137</v>
      </c>
      <c r="L692" s="241">
        <v>1.0</v>
      </c>
      <c r="M692" s="27" t="s">
        <v>1137</v>
      </c>
      <c r="N692" s="116" t="s">
        <v>1174</v>
      </c>
      <c r="O692" s="113" t="s">
        <v>4904</v>
      </c>
      <c r="P692" s="242" t="s">
        <v>4905</v>
      </c>
      <c r="Q692" s="113" t="s">
        <v>4874</v>
      </c>
      <c r="R692" s="113" t="s">
        <v>3991</v>
      </c>
      <c r="S692" s="82" t="str">
        <f t="shared" si="114"/>
        <v>กลุ่มงานการพยาบาลผู้ป่วยอายุรกรรม</v>
      </c>
      <c r="T692" s="86" t="s">
        <v>4874</v>
      </c>
      <c r="U692" s="86" t="s">
        <v>6040</v>
      </c>
      <c r="V692" s="85">
        <v>7.0</v>
      </c>
      <c r="W692" s="86" t="s">
        <v>3991</v>
      </c>
      <c r="X692" s="243" t="s">
        <v>1312</v>
      </c>
      <c r="Y692" s="31">
        <v>44.0</v>
      </c>
      <c r="Z692" s="31">
        <v>44.0</v>
      </c>
      <c r="AA692" s="31">
        <v>266.0</v>
      </c>
      <c r="AB692" s="31">
        <v>295.0</v>
      </c>
      <c r="AC692" s="88">
        <v>3.0</v>
      </c>
      <c r="AD692" s="86"/>
      <c r="AE692" s="82"/>
      <c r="AF692" s="88">
        <v>5.0</v>
      </c>
      <c r="AG692" s="33">
        <v>1.509901639127E12</v>
      </c>
      <c r="AH692" s="46"/>
      <c r="AI692" s="40">
        <v>233280.0</v>
      </c>
    </row>
    <row r="693" ht="38.25" hidden="1" customHeight="1">
      <c r="A693" s="32">
        <v>687.0</v>
      </c>
      <c r="B693" s="26" t="s">
        <v>1037</v>
      </c>
      <c r="C693" s="26" t="s">
        <v>5171</v>
      </c>
      <c r="D693" s="26" t="s">
        <v>6041</v>
      </c>
      <c r="E693" s="218" t="s">
        <v>5683</v>
      </c>
      <c r="F693" s="218" t="s">
        <v>5683</v>
      </c>
      <c r="G693" s="234" t="s">
        <v>4226</v>
      </c>
      <c r="H693" s="226" t="s">
        <v>5692</v>
      </c>
      <c r="I693" s="29">
        <v>107140.0</v>
      </c>
      <c r="J693" s="29" t="s">
        <v>1125</v>
      </c>
      <c r="K693" s="222" t="s">
        <v>1137</v>
      </c>
      <c r="L693" s="222">
        <v>1.0</v>
      </c>
      <c r="M693" s="27" t="s">
        <v>1137</v>
      </c>
      <c r="N693" s="236" t="s">
        <v>1174</v>
      </c>
      <c r="O693" s="237" t="s">
        <v>4904</v>
      </c>
      <c r="P693" s="238" t="s">
        <v>4905</v>
      </c>
      <c r="Q693" s="237" t="s">
        <v>4874</v>
      </c>
      <c r="R693" s="237" t="s">
        <v>3991</v>
      </c>
      <c r="S693" s="26" t="str">
        <f t="shared" si="114"/>
        <v>กลุ่มงานการพยาบาลผู้ป่วยอายุรกรรม</v>
      </c>
      <c r="T693" s="218" t="s">
        <v>4874</v>
      </c>
      <c r="U693" s="26" t="s">
        <v>1302</v>
      </c>
      <c r="V693" s="25">
        <v>7.0</v>
      </c>
      <c r="W693" s="218" t="s">
        <v>3991</v>
      </c>
      <c r="X693" s="98" t="s">
        <v>1312</v>
      </c>
      <c r="Y693" s="31">
        <v>44.0</v>
      </c>
      <c r="Z693" s="31">
        <v>44.0</v>
      </c>
      <c r="AA693" s="31">
        <v>266.0</v>
      </c>
      <c r="AB693" s="31">
        <v>295.0</v>
      </c>
      <c r="AC693" s="32">
        <v>1.0</v>
      </c>
      <c r="AD693" s="218"/>
      <c r="AE693" s="26"/>
      <c r="AF693" s="32">
        <v>5.0</v>
      </c>
      <c r="AG693" s="37">
        <v>1.501100081007E12</v>
      </c>
      <c r="AH693" s="37" t="s">
        <v>3585</v>
      </c>
      <c r="AI693" s="38" t="s">
        <v>6042</v>
      </c>
    </row>
    <row r="694" ht="38.25" hidden="1" customHeight="1">
      <c r="A694" s="32">
        <v>688.0</v>
      </c>
      <c r="B694" s="26"/>
      <c r="C694" s="26"/>
      <c r="D694" s="26"/>
      <c r="E694" s="218" t="s">
        <v>5683</v>
      </c>
      <c r="F694" s="218" t="s">
        <v>5683</v>
      </c>
      <c r="G694" s="234" t="s">
        <v>4226</v>
      </c>
      <c r="H694" s="226" t="s">
        <v>5692</v>
      </c>
      <c r="I694" s="29">
        <v>219195.0</v>
      </c>
      <c r="J694" s="29" t="s">
        <v>1125</v>
      </c>
      <c r="K694" s="222" t="s">
        <v>1137</v>
      </c>
      <c r="L694" s="222">
        <v>1.0</v>
      </c>
      <c r="M694" s="27" t="s">
        <v>1137</v>
      </c>
      <c r="N694" s="236" t="s">
        <v>1174</v>
      </c>
      <c r="O694" s="237" t="s">
        <v>4904</v>
      </c>
      <c r="P694" s="238" t="s">
        <v>4905</v>
      </c>
      <c r="Q694" s="237" t="s">
        <v>4874</v>
      </c>
      <c r="R694" s="237" t="s">
        <v>3991</v>
      </c>
      <c r="S694" s="26" t="str">
        <f t="shared" si="114"/>
        <v>กลุ่มงานการพยาบาลผู้ป่วยอายุรกรรม</v>
      </c>
      <c r="T694" s="218" t="s">
        <v>4874</v>
      </c>
      <c r="U694" s="26" t="s">
        <v>1302</v>
      </c>
      <c r="V694" s="25">
        <v>7.0</v>
      </c>
      <c r="W694" s="218" t="s">
        <v>3991</v>
      </c>
      <c r="X694" s="98" t="s">
        <v>1312</v>
      </c>
      <c r="Y694" s="31">
        <v>44.0</v>
      </c>
      <c r="Z694" s="31">
        <v>44.0</v>
      </c>
      <c r="AA694" s="31">
        <v>266.0</v>
      </c>
      <c r="AB694" s="31">
        <v>295.0</v>
      </c>
      <c r="AC694" s="32">
        <v>0.0</v>
      </c>
      <c r="AD694" s="219" t="s">
        <v>6043</v>
      </c>
      <c r="AE694" s="26"/>
      <c r="AF694" s="32">
        <v>5.0</v>
      </c>
      <c r="AG694" s="65"/>
      <c r="AH694" s="65"/>
      <c r="AI694" s="66"/>
    </row>
    <row r="695" ht="38.25" hidden="1" customHeight="1">
      <c r="A695" s="32">
        <v>689.0</v>
      </c>
      <c r="B695" s="218" t="s">
        <v>1037</v>
      </c>
      <c r="C695" s="218" t="s">
        <v>6044</v>
      </c>
      <c r="D695" s="218" t="s">
        <v>6045</v>
      </c>
      <c r="E695" s="218" t="s">
        <v>5683</v>
      </c>
      <c r="F695" s="218" t="s">
        <v>5683</v>
      </c>
      <c r="G695" s="234" t="s">
        <v>4249</v>
      </c>
      <c r="H695" s="226" t="s">
        <v>1110</v>
      </c>
      <c r="I695" s="29">
        <v>219206.0</v>
      </c>
      <c r="J695" s="29" t="s">
        <v>1125</v>
      </c>
      <c r="K695" s="222" t="s">
        <v>1137</v>
      </c>
      <c r="L695" s="222">
        <v>1.0</v>
      </c>
      <c r="M695" s="27" t="s">
        <v>1137</v>
      </c>
      <c r="N695" s="236" t="s">
        <v>1174</v>
      </c>
      <c r="O695" s="237" t="s">
        <v>4877</v>
      </c>
      <c r="P695" s="238" t="s">
        <v>4878</v>
      </c>
      <c r="Q695" s="237" t="s">
        <v>4874</v>
      </c>
      <c r="R695" s="237" t="s">
        <v>3991</v>
      </c>
      <c r="S695" s="26" t="str">
        <f t="shared" si="114"/>
        <v>กลุ่มงานการพยาบาลผู้ป่วยอายุรกรรม</v>
      </c>
      <c r="T695" s="218" t="s">
        <v>4874</v>
      </c>
      <c r="U695" s="26" t="s">
        <v>1302</v>
      </c>
      <c r="V695" s="25">
        <v>7.0</v>
      </c>
      <c r="W695" s="218" t="s">
        <v>3991</v>
      </c>
      <c r="X695" s="98" t="s">
        <v>1312</v>
      </c>
      <c r="Y695" s="31">
        <v>44.0</v>
      </c>
      <c r="Z695" s="31">
        <v>44.0</v>
      </c>
      <c r="AA695" s="31">
        <v>266.0</v>
      </c>
      <c r="AB695" s="31">
        <v>295.0</v>
      </c>
      <c r="AC695" s="32">
        <v>1.0</v>
      </c>
      <c r="AD695" s="26"/>
      <c r="AE695" s="26"/>
      <c r="AF695" s="32">
        <v>5.0</v>
      </c>
      <c r="AG695" s="33">
        <v>1.500700175249E12</v>
      </c>
      <c r="AH695" s="33" t="s">
        <v>2595</v>
      </c>
      <c r="AI695" s="34" t="s">
        <v>6046</v>
      </c>
    </row>
    <row r="696" ht="38.25" hidden="1" customHeight="1">
      <c r="A696" s="32">
        <v>690.0</v>
      </c>
      <c r="B696" s="218" t="s">
        <v>1037</v>
      </c>
      <c r="C696" s="218" t="s">
        <v>6047</v>
      </c>
      <c r="D696" s="218" t="s">
        <v>6048</v>
      </c>
      <c r="E696" s="218" t="s">
        <v>5683</v>
      </c>
      <c r="F696" s="218" t="s">
        <v>5683</v>
      </c>
      <c r="G696" s="234" t="s">
        <v>4249</v>
      </c>
      <c r="H696" s="226" t="s">
        <v>1110</v>
      </c>
      <c r="I696" s="29">
        <v>219181.0</v>
      </c>
      <c r="J696" s="29" t="s">
        <v>1125</v>
      </c>
      <c r="K696" s="222" t="s">
        <v>1137</v>
      </c>
      <c r="L696" s="222">
        <v>1.0</v>
      </c>
      <c r="M696" s="27" t="s">
        <v>1137</v>
      </c>
      <c r="N696" s="236" t="s">
        <v>1174</v>
      </c>
      <c r="O696" s="237" t="s">
        <v>4877</v>
      </c>
      <c r="P696" s="238" t="s">
        <v>4878</v>
      </c>
      <c r="Q696" s="237" t="s">
        <v>4874</v>
      </c>
      <c r="R696" s="237" t="s">
        <v>3991</v>
      </c>
      <c r="S696" s="26" t="str">
        <f t="shared" si="114"/>
        <v>กลุ่มงานการพยาบาลผู้ป่วยอายุรกรรม</v>
      </c>
      <c r="T696" s="218" t="s">
        <v>4874</v>
      </c>
      <c r="U696" s="26" t="s">
        <v>1302</v>
      </c>
      <c r="V696" s="25">
        <v>7.0</v>
      </c>
      <c r="W696" s="218" t="s">
        <v>3991</v>
      </c>
      <c r="X696" s="98" t="s">
        <v>1312</v>
      </c>
      <c r="Y696" s="31">
        <v>44.0</v>
      </c>
      <c r="Z696" s="31">
        <v>44.0</v>
      </c>
      <c r="AA696" s="31">
        <v>266.0</v>
      </c>
      <c r="AB696" s="31">
        <v>295.0</v>
      </c>
      <c r="AC696" s="32">
        <v>1.0</v>
      </c>
      <c r="AD696" s="26"/>
      <c r="AE696" s="26"/>
      <c r="AF696" s="32">
        <v>5.0</v>
      </c>
      <c r="AG696" s="37">
        <v>1.500400091201E12</v>
      </c>
      <c r="AH696" s="37" t="s">
        <v>2882</v>
      </c>
      <c r="AI696" s="38" t="s">
        <v>4913</v>
      </c>
    </row>
    <row r="697" ht="38.25" hidden="1" customHeight="1">
      <c r="A697" s="32">
        <v>691.0</v>
      </c>
      <c r="B697" s="218" t="s">
        <v>1037</v>
      </c>
      <c r="C697" s="218" t="s">
        <v>6049</v>
      </c>
      <c r="D697" s="218" t="s">
        <v>5892</v>
      </c>
      <c r="E697" s="218" t="s">
        <v>5683</v>
      </c>
      <c r="F697" s="218" t="s">
        <v>5683</v>
      </c>
      <c r="G697" s="234" t="s">
        <v>4249</v>
      </c>
      <c r="H697" s="226" t="s">
        <v>1110</v>
      </c>
      <c r="I697" s="29">
        <v>219213.0</v>
      </c>
      <c r="J697" s="29" t="s">
        <v>1125</v>
      </c>
      <c r="K697" s="222" t="s">
        <v>1137</v>
      </c>
      <c r="L697" s="222">
        <v>1.0</v>
      </c>
      <c r="M697" s="27" t="s">
        <v>1137</v>
      </c>
      <c r="N697" s="236" t="s">
        <v>1174</v>
      </c>
      <c r="O697" s="237" t="s">
        <v>4877</v>
      </c>
      <c r="P697" s="238" t="s">
        <v>4878</v>
      </c>
      <c r="Q697" s="237" t="s">
        <v>4874</v>
      </c>
      <c r="R697" s="237" t="s">
        <v>3991</v>
      </c>
      <c r="S697" s="26" t="str">
        <f t="shared" si="114"/>
        <v>กลุ่มงานการพยาบาลผู้ป่วยอายุรกรรม</v>
      </c>
      <c r="T697" s="218" t="s">
        <v>4874</v>
      </c>
      <c r="U697" s="26" t="s">
        <v>1302</v>
      </c>
      <c r="V697" s="25">
        <v>7.0</v>
      </c>
      <c r="W697" s="218" t="s">
        <v>3991</v>
      </c>
      <c r="X697" s="98" t="s">
        <v>1312</v>
      </c>
      <c r="Y697" s="31">
        <v>44.0</v>
      </c>
      <c r="Z697" s="31">
        <v>44.0</v>
      </c>
      <c r="AA697" s="31">
        <v>266.0</v>
      </c>
      <c r="AB697" s="31">
        <v>295.0</v>
      </c>
      <c r="AC697" s="32">
        <v>1.0</v>
      </c>
      <c r="AD697" s="26"/>
      <c r="AE697" s="26"/>
      <c r="AF697" s="32">
        <v>5.0</v>
      </c>
      <c r="AG697" s="33">
        <v>1.50530001465E12</v>
      </c>
      <c r="AH697" s="33" t="s">
        <v>2614</v>
      </c>
      <c r="AI697" s="34" t="s">
        <v>6050</v>
      </c>
    </row>
    <row r="698" ht="38.25" hidden="1" customHeight="1">
      <c r="A698" s="32">
        <v>692.0</v>
      </c>
      <c r="B698" s="218" t="s">
        <v>1037</v>
      </c>
      <c r="C698" s="218" t="s">
        <v>5409</v>
      </c>
      <c r="D698" s="218" t="s">
        <v>6051</v>
      </c>
      <c r="E698" s="218" t="s">
        <v>5683</v>
      </c>
      <c r="F698" s="218" t="s">
        <v>5683</v>
      </c>
      <c r="G698" s="234" t="s">
        <v>4249</v>
      </c>
      <c r="H698" s="226" t="s">
        <v>1110</v>
      </c>
      <c r="I698" s="29">
        <v>219228.0</v>
      </c>
      <c r="J698" s="29" t="s">
        <v>1125</v>
      </c>
      <c r="K698" s="222" t="s">
        <v>1137</v>
      </c>
      <c r="L698" s="222">
        <v>1.0</v>
      </c>
      <c r="M698" s="27" t="s">
        <v>1137</v>
      </c>
      <c r="N698" s="236" t="s">
        <v>1174</v>
      </c>
      <c r="O698" s="237" t="s">
        <v>4877</v>
      </c>
      <c r="P698" s="238" t="s">
        <v>4878</v>
      </c>
      <c r="Q698" s="237" t="s">
        <v>4874</v>
      </c>
      <c r="R698" s="237" t="s">
        <v>3991</v>
      </c>
      <c r="S698" s="26" t="str">
        <f t="shared" si="114"/>
        <v>กลุ่มงานการพยาบาลผู้ป่วยอายุรกรรม</v>
      </c>
      <c r="T698" s="218" t="s">
        <v>4874</v>
      </c>
      <c r="U698" s="26" t="s">
        <v>1302</v>
      </c>
      <c r="V698" s="25">
        <v>7.0</v>
      </c>
      <c r="W698" s="218" t="s">
        <v>3991</v>
      </c>
      <c r="X698" s="98" t="s">
        <v>1312</v>
      </c>
      <c r="Y698" s="31">
        <v>44.0</v>
      </c>
      <c r="Z698" s="31">
        <v>44.0</v>
      </c>
      <c r="AA698" s="31">
        <v>266.0</v>
      </c>
      <c r="AB698" s="31">
        <v>295.0</v>
      </c>
      <c r="AC698" s="32">
        <v>1.0</v>
      </c>
      <c r="AD698" s="26"/>
      <c r="AE698" s="26"/>
      <c r="AF698" s="32">
        <v>5.0</v>
      </c>
      <c r="AG698" s="37">
        <v>1.509901436731E12</v>
      </c>
      <c r="AH698" s="37" t="s">
        <v>2815</v>
      </c>
      <c r="AI698" s="38" t="s">
        <v>6052</v>
      </c>
    </row>
    <row r="699" ht="38.25" hidden="1" customHeight="1">
      <c r="A699" s="32">
        <v>693.0</v>
      </c>
      <c r="B699" s="26" t="s">
        <v>806</v>
      </c>
      <c r="C699" s="26" t="s">
        <v>6053</v>
      </c>
      <c r="D699" s="26" t="s">
        <v>6054</v>
      </c>
      <c r="E699" s="218" t="s">
        <v>5683</v>
      </c>
      <c r="F699" s="218" t="s">
        <v>5683</v>
      </c>
      <c r="G699" s="234" t="s">
        <v>4226</v>
      </c>
      <c r="H699" s="226" t="s">
        <v>6055</v>
      </c>
      <c r="I699" s="29">
        <v>219221.0</v>
      </c>
      <c r="J699" s="29" t="s">
        <v>1125</v>
      </c>
      <c r="K699" s="222" t="s">
        <v>1137</v>
      </c>
      <c r="L699" s="222">
        <v>1.0</v>
      </c>
      <c r="M699" s="27" t="s">
        <v>1137</v>
      </c>
      <c r="N699" s="236" t="s">
        <v>1174</v>
      </c>
      <c r="O699" s="237" t="s">
        <v>4396</v>
      </c>
      <c r="P699" s="238" t="s">
        <v>4397</v>
      </c>
      <c r="Q699" s="237" t="s">
        <v>4398</v>
      </c>
      <c r="R699" s="237" t="s">
        <v>3991</v>
      </c>
      <c r="S699" s="26" t="str">
        <f t="shared" si="114"/>
        <v>กลุ่มงานการพยาบาลผู้ป่วยอุบัติเหตุและฉุกเฉิน</v>
      </c>
      <c r="T699" s="218" t="s">
        <v>4398</v>
      </c>
      <c r="U699" s="26" t="s">
        <v>1302</v>
      </c>
      <c r="V699" s="25">
        <v>1.0</v>
      </c>
      <c r="W699" s="218" t="s">
        <v>3991</v>
      </c>
      <c r="X699" s="98" t="s">
        <v>1312</v>
      </c>
      <c r="Y699" s="31">
        <v>20.0</v>
      </c>
      <c r="Z699" s="31">
        <v>20.0</v>
      </c>
      <c r="AA699" s="31">
        <v>266.0</v>
      </c>
      <c r="AB699" s="31">
        <v>295.0</v>
      </c>
      <c r="AC699" s="32">
        <v>1.0</v>
      </c>
      <c r="AD699" s="218"/>
      <c r="AE699" s="26"/>
      <c r="AF699" s="32">
        <v>5.0</v>
      </c>
      <c r="AG699" s="37">
        <v>8.502084010668E12</v>
      </c>
      <c r="AH699" s="61"/>
      <c r="AI699" s="44">
        <v>229686.0</v>
      </c>
    </row>
    <row r="700" ht="38.25" hidden="1" customHeight="1">
      <c r="A700" s="32">
        <v>694.0</v>
      </c>
      <c r="B700" s="218" t="s">
        <v>806</v>
      </c>
      <c r="C700" s="218" t="s">
        <v>5323</v>
      </c>
      <c r="D700" s="218" t="s">
        <v>6056</v>
      </c>
      <c r="E700" s="218" t="s">
        <v>5683</v>
      </c>
      <c r="F700" s="218" t="s">
        <v>5683</v>
      </c>
      <c r="G700" s="234" t="s">
        <v>4226</v>
      </c>
      <c r="H700" s="226" t="s">
        <v>6055</v>
      </c>
      <c r="I700" s="29">
        <v>117973.0</v>
      </c>
      <c r="J700" s="29" t="s">
        <v>1125</v>
      </c>
      <c r="K700" s="222" t="s">
        <v>1137</v>
      </c>
      <c r="L700" s="222">
        <v>1.0</v>
      </c>
      <c r="M700" s="27" t="s">
        <v>1137</v>
      </c>
      <c r="N700" s="259" t="s">
        <v>1174</v>
      </c>
      <c r="O700" s="237" t="s">
        <v>4396</v>
      </c>
      <c r="P700" s="238" t="s">
        <v>4397</v>
      </c>
      <c r="Q700" s="237" t="s">
        <v>4398</v>
      </c>
      <c r="R700" s="237" t="s">
        <v>3991</v>
      </c>
      <c r="S700" s="26" t="str">
        <f t="shared" si="114"/>
        <v>กลุ่มงานการพยาบาลผู้ป่วยอุบัติเหตุและฉุกเฉิน</v>
      </c>
      <c r="T700" s="218" t="s">
        <v>4398</v>
      </c>
      <c r="U700" s="26" t="s">
        <v>1302</v>
      </c>
      <c r="V700" s="25">
        <v>1.0</v>
      </c>
      <c r="W700" s="218" t="s">
        <v>3991</v>
      </c>
      <c r="X700" s="98" t="s">
        <v>1312</v>
      </c>
      <c r="Y700" s="31">
        <v>20.0</v>
      </c>
      <c r="Z700" s="31">
        <v>20.0</v>
      </c>
      <c r="AA700" s="31">
        <v>266.0</v>
      </c>
      <c r="AB700" s="31">
        <v>295.0</v>
      </c>
      <c r="AC700" s="32">
        <v>1.0</v>
      </c>
      <c r="AD700" s="26"/>
      <c r="AE700" s="26"/>
      <c r="AF700" s="32">
        <v>5.0</v>
      </c>
      <c r="AG700" s="33">
        <v>3.589900003292E12</v>
      </c>
      <c r="AH700" s="33" t="s">
        <v>3745</v>
      </c>
      <c r="AI700" s="40">
        <v>222898.0</v>
      </c>
    </row>
    <row r="701" ht="38.25" hidden="1" customHeight="1">
      <c r="A701" s="32">
        <v>695.0</v>
      </c>
      <c r="B701" s="218" t="s">
        <v>806</v>
      </c>
      <c r="C701" s="218" t="s">
        <v>5516</v>
      </c>
      <c r="D701" s="218" t="s">
        <v>6057</v>
      </c>
      <c r="E701" s="218" t="s">
        <v>5683</v>
      </c>
      <c r="F701" s="218" t="s">
        <v>5683</v>
      </c>
      <c r="G701" s="234" t="s">
        <v>4226</v>
      </c>
      <c r="H701" s="226" t="s">
        <v>6055</v>
      </c>
      <c r="I701" s="29">
        <v>159146.0</v>
      </c>
      <c r="J701" s="29" t="s">
        <v>1125</v>
      </c>
      <c r="K701" s="222" t="s">
        <v>1137</v>
      </c>
      <c r="L701" s="222">
        <v>1.0</v>
      </c>
      <c r="M701" s="27" t="s">
        <v>1137</v>
      </c>
      <c r="N701" s="236" t="s">
        <v>1174</v>
      </c>
      <c r="O701" s="237" t="s">
        <v>4396</v>
      </c>
      <c r="P701" s="238" t="s">
        <v>4397</v>
      </c>
      <c r="Q701" s="237" t="s">
        <v>4398</v>
      </c>
      <c r="R701" s="237" t="s">
        <v>3991</v>
      </c>
      <c r="S701" s="26" t="str">
        <f t="shared" si="114"/>
        <v>กลุ่มงานการพยาบาลผู้ป่วยอุบัติเหตุและฉุกเฉิน</v>
      </c>
      <c r="T701" s="218" t="s">
        <v>4398</v>
      </c>
      <c r="U701" s="26" t="s">
        <v>1302</v>
      </c>
      <c r="V701" s="25">
        <v>1.0</v>
      </c>
      <c r="W701" s="218" t="s">
        <v>3991</v>
      </c>
      <c r="X701" s="98" t="s">
        <v>1312</v>
      </c>
      <c r="Y701" s="31">
        <v>20.0</v>
      </c>
      <c r="Z701" s="31">
        <v>20.0</v>
      </c>
      <c r="AA701" s="31">
        <v>266.0</v>
      </c>
      <c r="AB701" s="31">
        <v>295.0</v>
      </c>
      <c r="AC701" s="32">
        <v>1.0</v>
      </c>
      <c r="AD701" s="26"/>
      <c r="AE701" s="26" t="s">
        <v>6058</v>
      </c>
      <c r="AF701" s="32">
        <v>5.0</v>
      </c>
      <c r="AG701" s="37">
        <v>3.500700459162E12</v>
      </c>
      <c r="AH701" s="37" t="s">
        <v>3740</v>
      </c>
      <c r="AI701" s="44">
        <v>226849.0</v>
      </c>
    </row>
    <row r="702" ht="38.25" hidden="1" customHeight="1">
      <c r="A702" s="32">
        <v>696.0</v>
      </c>
      <c r="B702" s="218" t="s">
        <v>1037</v>
      </c>
      <c r="C702" s="218" t="s">
        <v>6059</v>
      </c>
      <c r="D702" s="218" t="s">
        <v>6060</v>
      </c>
      <c r="E702" s="218" t="s">
        <v>5683</v>
      </c>
      <c r="F702" s="218" t="s">
        <v>5683</v>
      </c>
      <c r="G702" s="234" t="s">
        <v>4249</v>
      </c>
      <c r="H702" s="235" t="s">
        <v>1110</v>
      </c>
      <c r="I702" s="29">
        <v>219223.0</v>
      </c>
      <c r="J702" s="29" t="s">
        <v>1125</v>
      </c>
      <c r="K702" s="222" t="s">
        <v>1137</v>
      </c>
      <c r="L702" s="222">
        <v>1.0</v>
      </c>
      <c r="M702" s="27" t="s">
        <v>1137</v>
      </c>
      <c r="N702" s="236" t="s">
        <v>1174</v>
      </c>
      <c r="O702" s="237" t="s">
        <v>4396</v>
      </c>
      <c r="P702" s="238" t="s">
        <v>4397</v>
      </c>
      <c r="Q702" s="237" t="s">
        <v>4398</v>
      </c>
      <c r="R702" s="237" t="s">
        <v>3991</v>
      </c>
      <c r="S702" s="26" t="str">
        <f t="shared" si="114"/>
        <v>กลุ่มงานการพยาบาลผู้ป่วยอุบัติเหตุและฉุกเฉิน</v>
      </c>
      <c r="T702" s="218" t="s">
        <v>4398</v>
      </c>
      <c r="U702" s="26" t="s">
        <v>1302</v>
      </c>
      <c r="V702" s="25">
        <v>1.0</v>
      </c>
      <c r="W702" s="218" t="s">
        <v>3991</v>
      </c>
      <c r="X702" s="98" t="s">
        <v>1312</v>
      </c>
      <c r="Y702" s="31">
        <v>20.0</v>
      </c>
      <c r="Z702" s="31">
        <v>20.0</v>
      </c>
      <c r="AA702" s="31">
        <v>266.0</v>
      </c>
      <c r="AB702" s="31">
        <v>295.0</v>
      </c>
      <c r="AC702" s="32">
        <v>1.0</v>
      </c>
      <c r="AD702" s="26"/>
      <c r="AE702" s="26"/>
      <c r="AF702" s="32">
        <v>5.0</v>
      </c>
      <c r="AG702" s="37">
        <v>1.489900215472E12</v>
      </c>
      <c r="AH702" s="37" t="s">
        <v>2886</v>
      </c>
      <c r="AI702" s="44">
        <v>233030.0</v>
      </c>
    </row>
    <row r="703" ht="38.25" hidden="1" customHeight="1">
      <c r="A703" s="32">
        <v>697.0</v>
      </c>
      <c r="B703" s="218" t="s">
        <v>1037</v>
      </c>
      <c r="C703" s="218" t="s">
        <v>6061</v>
      </c>
      <c r="D703" s="218" t="s">
        <v>6062</v>
      </c>
      <c r="E703" s="218" t="s">
        <v>5683</v>
      </c>
      <c r="F703" s="218" t="s">
        <v>5683</v>
      </c>
      <c r="G703" s="234" t="s">
        <v>4249</v>
      </c>
      <c r="H703" s="235" t="s">
        <v>1110</v>
      </c>
      <c r="I703" s="29">
        <v>107136.0</v>
      </c>
      <c r="J703" s="29" t="s">
        <v>1125</v>
      </c>
      <c r="K703" s="222" t="s">
        <v>1137</v>
      </c>
      <c r="L703" s="222">
        <v>1.0</v>
      </c>
      <c r="M703" s="27" t="s">
        <v>1137</v>
      </c>
      <c r="N703" s="236" t="s">
        <v>1174</v>
      </c>
      <c r="O703" s="237" t="s">
        <v>4396</v>
      </c>
      <c r="P703" s="238" t="s">
        <v>4397</v>
      </c>
      <c r="Q703" s="237" t="s">
        <v>4398</v>
      </c>
      <c r="R703" s="237" t="s">
        <v>3991</v>
      </c>
      <c r="S703" s="26" t="str">
        <f t="shared" si="114"/>
        <v>กลุ่มงานการพยาบาลผู้ป่วยอุบัติเหตุและฉุกเฉิน</v>
      </c>
      <c r="T703" s="218" t="s">
        <v>4398</v>
      </c>
      <c r="U703" s="26" t="s">
        <v>1302</v>
      </c>
      <c r="V703" s="25">
        <v>1.0</v>
      </c>
      <c r="W703" s="218" t="s">
        <v>3991</v>
      </c>
      <c r="X703" s="98" t="s">
        <v>1312</v>
      </c>
      <c r="Y703" s="31">
        <v>20.0</v>
      </c>
      <c r="Z703" s="31">
        <v>20.0</v>
      </c>
      <c r="AA703" s="31">
        <v>266.0</v>
      </c>
      <c r="AB703" s="31">
        <v>295.0</v>
      </c>
      <c r="AC703" s="32">
        <v>1.0</v>
      </c>
      <c r="AD703" s="26"/>
      <c r="AE703" s="26"/>
      <c r="AF703" s="32">
        <v>5.0</v>
      </c>
      <c r="AG703" s="33">
        <v>1.580400194531E12</v>
      </c>
      <c r="AH703" s="33" t="s">
        <v>2473</v>
      </c>
      <c r="AI703" s="40">
        <v>233760.0</v>
      </c>
    </row>
    <row r="704" ht="38.25" hidden="1" customHeight="1">
      <c r="A704" s="32">
        <v>698.0</v>
      </c>
      <c r="B704" s="218" t="s">
        <v>1037</v>
      </c>
      <c r="C704" s="218" t="s">
        <v>6063</v>
      </c>
      <c r="D704" s="218" t="s">
        <v>6064</v>
      </c>
      <c r="E704" s="218" t="s">
        <v>5683</v>
      </c>
      <c r="F704" s="218" t="s">
        <v>5683</v>
      </c>
      <c r="G704" s="234" t="s">
        <v>4226</v>
      </c>
      <c r="H704" s="235" t="s">
        <v>6055</v>
      </c>
      <c r="I704" s="29">
        <v>111431.0</v>
      </c>
      <c r="J704" s="29" t="s">
        <v>1125</v>
      </c>
      <c r="K704" s="222" t="s">
        <v>1137</v>
      </c>
      <c r="L704" s="222">
        <v>1.0</v>
      </c>
      <c r="M704" s="27" t="s">
        <v>1137</v>
      </c>
      <c r="N704" s="236" t="s">
        <v>1174</v>
      </c>
      <c r="O704" s="237" t="s">
        <v>4396</v>
      </c>
      <c r="P704" s="238" t="s">
        <v>4397</v>
      </c>
      <c r="Q704" s="237" t="s">
        <v>4398</v>
      </c>
      <c r="R704" s="237" t="s">
        <v>3991</v>
      </c>
      <c r="S704" s="26" t="str">
        <f t="shared" si="114"/>
        <v>กลุ่มงานการพยาบาลผู้ป่วยอุบัติเหตุและฉุกเฉิน</v>
      </c>
      <c r="T704" s="218" t="s">
        <v>4398</v>
      </c>
      <c r="U704" s="26" t="s">
        <v>1302</v>
      </c>
      <c r="V704" s="25">
        <v>1.0</v>
      </c>
      <c r="W704" s="218" t="s">
        <v>3991</v>
      </c>
      <c r="X704" s="98" t="s">
        <v>1312</v>
      </c>
      <c r="Y704" s="31">
        <v>20.0</v>
      </c>
      <c r="Z704" s="31">
        <v>20.0</v>
      </c>
      <c r="AA704" s="31">
        <v>266.0</v>
      </c>
      <c r="AB704" s="31">
        <v>295.0</v>
      </c>
      <c r="AC704" s="32">
        <v>1.0</v>
      </c>
      <c r="AD704" s="26"/>
      <c r="AE704" s="26"/>
      <c r="AF704" s="32">
        <v>5.0</v>
      </c>
      <c r="AG704" s="37">
        <v>5.501190005294E12</v>
      </c>
      <c r="AH704" s="37" t="s">
        <v>491</v>
      </c>
      <c r="AI704" s="38" t="s">
        <v>6065</v>
      </c>
    </row>
    <row r="705" ht="38.25" hidden="1" customHeight="1">
      <c r="A705" s="32">
        <v>699.0</v>
      </c>
      <c r="B705" s="218" t="s">
        <v>1037</v>
      </c>
      <c r="C705" s="218" t="s">
        <v>6066</v>
      </c>
      <c r="D705" s="218" t="s">
        <v>6067</v>
      </c>
      <c r="E705" s="218" t="s">
        <v>5683</v>
      </c>
      <c r="F705" s="218" t="s">
        <v>5683</v>
      </c>
      <c r="G705" s="234" t="s">
        <v>4249</v>
      </c>
      <c r="H705" s="235" t="s">
        <v>1110</v>
      </c>
      <c r="I705" s="29">
        <v>219222.0</v>
      </c>
      <c r="J705" s="29" t="s">
        <v>1125</v>
      </c>
      <c r="K705" s="222" t="s">
        <v>1137</v>
      </c>
      <c r="L705" s="222">
        <v>1.0</v>
      </c>
      <c r="M705" s="27" t="s">
        <v>1137</v>
      </c>
      <c r="N705" s="236" t="s">
        <v>1174</v>
      </c>
      <c r="O705" s="237" t="s">
        <v>4396</v>
      </c>
      <c r="P705" s="238" t="s">
        <v>4397</v>
      </c>
      <c r="Q705" s="237" t="s">
        <v>4398</v>
      </c>
      <c r="R705" s="237" t="s">
        <v>3991</v>
      </c>
      <c r="S705" s="26" t="str">
        <f t="shared" si="114"/>
        <v>กลุ่มงานการพยาบาลผู้ป่วยอุบัติเหตุและฉุกเฉิน</v>
      </c>
      <c r="T705" s="218" t="s">
        <v>4398</v>
      </c>
      <c r="U705" s="26" t="s">
        <v>1302</v>
      </c>
      <c r="V705" s="25">
        <v>1.0</v>
      </c>
      <c r="W705" s="218" t="s">
        <v>3991</v>
      </c>
      <c r="X705" s="98" t="s">
        <v>1312</v>
      </c>
      <c r="Y705" s="31">
        <v>20.0</v>
      </c>
      <c r="Z705" s="31">
        <v>20.0</v>
      </c>
      <c r="AA705" s="31">
        <v>266.0</v>
      </c>
      <c r="AB705" s="31">
        <v>295.0</v>
      </c>
      <c r="AC705" s="32">
        <v>1.0</v>
      </c>
      <c r="AD705" s="26"/>
      <c r="AE705" s="26"/>
      <c r="AF705" s="32">
        <v>5.0</v>
      </c>
      <c r="AG705" s="33">
        <v>1.505200004962E12</v>
      </c>
      <c r="AH705" s="33" t="s">
        <v>2703</v>
      </c>
      <c r="AI705" s="34" t="s">
        <v>6068</v>
      </c>
    </row>
    <row r="706" ht="38.25" hidden="1" customHeight="1">
      <c r="A706" s="32">
        <v>700.0</v>
      </c>
      <c r="B706" s="218" t="s">
        <v>1037</v>
      </c>
      <c r="C706" s="218" t="s">
        <v>6069</v>
      </c>
      <c r="D706" s="218" t="s">
        <v>6070</v>
      </c>
      <c r="E706" s="218" t="s">
        <v>5683</v>
      </c>
      <c r="F706" s="218" t="s">
        <v>5683</v>
      </c>
      <c r="G706" s="234" t="s">
        <v>4249</v>
      </c>
      <c r="H706" s="226" t="s">
        <v>1110</v>
      </c>
      <c r="I706" s="29">
        <v>106881.0</v>
      </c>
      <c r="J706" s="29" t="s">
        <v>1125</v>
      </c>
      <c r="K706" s="222" t="s">
        <v>1137</v>
      </c>
      <c r="L706" s="222">
        <v>1.0</v>
      </c>
      <c r="M706" s="27" t="s">
        <v>1137</v>
      </c>
      <c r="N706" s="236" t="s">
        <v>1174</v>
      </c>
      <c r="O706" s="237" t="s">
        <v>4396</v>
      </c>
      <c r="P706" s="238" t="s">
        <v>4397</v>
      </c>
      <c r="Q706" s="224" t="s">
        <v>4398</v>
      </c>
      <c r="R706" s="237" t="s">
        <v>3991</v>
      </c>
      <c r="S706" s="26" t="str">
        <f t="shared" si="114"/>
        <v>กลุ่มงานการพยาบาลผู้ป่วยอุบัติเหตุและฉุกเฉิน</v>
      </c>
      <c r="T706" s="218" t="s">
        <v>4398</v>
      </c>
      <c r="U706" s="26" t="s">
        <v>1302</v>
      </c>
      <c r="V706" s="25">
        <v>1.0</v>
      </c>
      <c r="W706" s="218" t="s">
        <v>3991</v>
      </c>
      <c r="X706" s="98" t="s">
        <v>1312</v>
      </c>
      <c r="Y706" s="31">
        <v>20.0</v>
      </c>
      <c r="Z706" s="31">
        <v>20.0</v>
      </c>
      <c r="AA706" s="31">
        <v>266.0</v>
      </c>
      <c r="AB706" s="31">
        <v>295.0</v>
      </c>
      <c r="AC706" s="32">
        <v>1.0</v>
      </c>
      <c r="AD706" s="26"/>
      <c r="AE706" s="26"/>
      <c r="AF706" s="32">
        <v>5.0</v>
      </c>
      <c r="AG706" s="37">
        <v>1.500300174334E12</v>
      </c>
      <c r="AH706" s="37" t="s">
        <v>2699</v>
      </c>
      <c r="AI706" s="38" t="s">
        <v>6071</v>
      </c>
    </row>
    <row r="707" ht="38.25" hidden="1" customHeight="1">
      <c r="A707" s="32">
        <v>701.0</v>
      </c>
      <c r="B707" s="218" t="s">
        <v>806</v>
      </c>
      <c r="C707" s="218" t="s">
        <v>6072</v>
      </c>
      <c r="D707" s="218" t="s">
        <v>6073</v>
      </c>
      <c r="E707" s="218" t="s">
        <v>5683</v>
      </c>
      <c r="F707" s="218" t="s">
        <v>5683</v>
      </c>
      <c r="G707" s="234" t="s">
        <v>4220</v>
      </c>
      <c r="H707" s="235" t="s">
        <v>5692</v>
      </c>
      <c r="I707" s="29">
        <v>107641.0</v>
      </c>
      <c r="J707" s="29" t="s">
        <v>1125</v>
      </c>
      <c r="K707" s="222" t="s">
        <v>1137</v>
      </c>
      <c r="L707" s="222">
        <v>1.0</v>
      </c>
      <c r="M707" s="27" t="s">
        <v>1137</v>
      </c>
      <c r="N707" s="236" t="s">
        <v>1174</v>
      </c>
      <c r="O707" s="237" t="s">
        <v>4396</v>
      </c>
      <c r="P707" s="238" t="s">
        <v>4397</v>
      </c>
      <c r="Q707" s="237" t="s">
        <v>4398</v>
      </c>
      <c r="R707" s="237" t="s">
        <v>3991</v>
      </c>
      <c r="S707" s="26" t="str">
        <f t="shared" si="114"/>
        <v>กลุ่มงานการพยาบาลผู้ป่วยอุบัติเหตุและฉุกเฉิน</v>
      </c>
      <c r="T707" s="218" t="s">
        <v>4398</v>
      </c>
      <c r="U707" s="26" t="s">
        <v>1302</v>
      </c>
      <c r="V707" s="25">
        <v>1.0</v>
      </c>
      <c r="W707" s="218" t="s">
        <v>3991</v>
      </c>
      <c r="X707" s="98" t="s">
        <v>1312</v>
      </c>
      <c r="Y707" s="31">
        <v>20.0</v>
      </c>
      <c r="Z707" s="31">
        <v>20.0</v>
      </c>
      <c r="AA707" s="31">
        <v>266.0</v>
      </c>
      <c r="AB707" s="31">
        <v>295.0</v>
      </c>
      <c r="AC707" s="32">
        <v>1.0</v>
      </c>
      <c r="AD707" s="26"/>
      <c r="AE707" s="26"/>
      <c r="AF707" s="32">
        <v>5.0</v>
      </c>
      <c r="AG707" s="33">
        <v>3.340100461699E12</v>
      </c>
      <c r="AH707" s="33" t="s">
        <v>3731</v>
      </c>
      <c r="AI707" s="34" t="s">
        <v>6074</v>
      </c>
    </row>
    <row r="708" ht="38.25" hidden="1" customHeight="1">
      <c r="A708" s="32">
        <v>702.0</v>
      </c>
      <c r="B708" s="218" t="s">
        <v>1037</v>
      </c>
      <c r="C708" s="218" t="s">
        <v>6075</v>
      </c>
      <c r="D708" s="218" t="s">
        <v>6076</v>
      </c>
      <c r="E708" s="218" t="s">
        <v>5683</v>
      </c>
      <c r="F708" s="218" t="s">
        <v>5683</v>
      </c>
      <c r="G708" s="234" t="s">
        <v>4249</v>
      </c>
      <c r="H708" s="235" t="s">
        <v>1110</v>
      </c>
      <c r="I708" s="29">
        <v>219187.0</v>
      </c>
      <c r="J708" s="29" t="s">
        <v>1125</v>
      </c>
      <c r="K708" s="222" t="s">
        <v>1137</v>
      </c>
      <c r="L708" s="222">
        <v>1.0</v>
      </c>
      <c r="M708" s="27" t="s">
        <v>1137</v>
      </c>
      <c r="N708" s="239" t="s">
        <v>3981</v>
      </c>
      <c r="O708" s="237" t="s">
        <v>5153</v>
      </c>
      <c r="P708" s="238" t="s">
        <v>5154</v>
      </c>
      <c r="Q708" s="237" t="s">
        <v>4959</v>
      </c>
      <c r="R708" s="237" t="s">
        <v>3991</v>
      </c>
      <c r="S708" s="26" t="str">
        <f t="shared" si="114"/>
        <v>กลุ่มงานการพยาบาลผู้ป่วยอุบัติเหตุและฉุกเฉิน</v>
      </c>
      <c r="T708" s="218" t="s">
        <v>4398</v>
      </c>
      <c r="U708" s="26" t="s">
        <v>1302</v>
      </c>
      <c r="V708" s="25">
        <v>3.0</v>
      </c>
      <c r="W708" s="218" t="s">
        <v>3991</v>
      </c>
      <c r="X708" s="98" t="s">
        <v>1312</v>
      </c>
      <c r="Y708" s="31">
        <v>32.0</v>
      </c>
      <c r="Z708" s="31">
        <v>32.0</v>
      </c>
      <c r="AA708" s="31">
        <v>266.0</v>
      </c>
      <c r="AB708" s="31">
        <v>295.0</v>
      </c>
      <c r="AC708" s="32">
        <v>1.0</v>
      </c>
      <c r="AD708" s="26"/>
      <c r="AE708" s="26"/>
      <c r="AF708" s="32">
        <v>5.0</v>
      </c>
      <c r="AG708" s="37">
        <v>1.501100107936E12</v>
      </c>
      <c r="AH708" s="37" t="s">
        <v>2694</v>
      </c>
      <c r="AI708" s="44">
        <v>233788.0</v>
      </c>
    </row>
    <row r="709" ht="38.25" hidden="1" customHeight="1">
      <c r="A709" s="32">
        <v>703.0</v>
      </c>
      <c r="B709" s="218" t="s">
        <v>1037</v>
      </c>
      <c r="C709" s="218" t="s">
        <v>6077</v>
      </c>
      <c r="D709" s="218" t="s">
        <v>6078</v>
      </c>
      <c r="E709" s="218" t="s">
        <v>5683</v>
      </c>
      <c r="F709" s="218" t="s">
        <v>5683</v>
      </c>
      <c r="G709" s="234" t="s">
        <v>4249</v>
      </c>
      <c r="H709" s="235" t="s">
        <v>1110</v>
      </c>
      <c r="I709" s="29">
        <v>219237.0</v>
      </c>
      <c r="J709" s="29" t="s">
        <v>1125</v>
      </c>
      <c r="K709" s="222" t="s">
        <v>1137</v>
      </c>
      <c r="L709" s="222">
        <v>1.0</v>
      </c>
      <c r="M709" s="27" t="s">
        <v>1137</v>
      </c>
      <c r="N709" s="239" t="s">
        <v>3981</v>
      </c>
      <c r="O709" s="237" t="s">
        <v>5685</v>
      </c>
      <c r="P709" s="238" t="s">
        <v>5183</v>
      </c>
      <c r="Q709" s="237" t="s">
        <v>5184</v>
      </c>
      <c r="R709" s="237" t="s">
        <v>3991</v>
      </c>
      <c r="S709" s="26" t="str">
        <f t="shared" si="114"/>
        <v>กลุ่มงานการพยาบาลผู้ป่วยอุบัติเหตุและฉุกเฉิน</v>
      </c>
      <c r="T709" s="218" t="s">
        <v>4398</v>
      </c>
      <c r="U709" s="26" t="s">
        <v>1302</v>
      </c>
      <c r="V709" s="25">
        <v>5.0</v>
      </c>
      <c r="W709" s="218" t="s">
        <v>3991</v>
      </c>
      <c r="X709" s="98" t="s">
        <v>1312</v>
      </c>
      <c r="Y709" s="31">
        <v>25.0</v>
      </c>
      <c r="Z709" s="31">
        <v>25.0</v>
      </c>
      <c r="AA709" s="31">
        <v>266.0</v>
      </c>
      <c r="AB709" s="31">
        <v>295.0</v>
      </c>
      <c r="AC709" s="32">
        <v>1.0</v>
      </c>
      <c r="AD709" s="26"/>
      <c r="AE709" s="26"/>
      <c r="AF709" s="32">
        <v>5.0</v>
      </c>
      <c r="AG709" s="37">
        <v>1.500300183821E12</v>
      </c>
      <c r="AH709" s="37" t="s">
        <v>2721</v>
      </c>
      <c r="AI709" s="44">
        <v>234063.0</v>
      </c>
    </row>
    <row r="710" ht="38.25" hidden="1" customHeight="1">
      <c r="A710" s="32">
        <v>704.0</v>
      </c>
      <c r="B710" s="218" t="s">
        <v>1037</v>
      </c>
      <c r="C710" s="218" t="s">
        <v>6079</v>
      </c>
      <c r="D710" s="218" t="s">
        <v>6080</v>
      </c>
      <c r="E710" s="218" t="s">
        <v>5683</v>
      </c>
      <c r="F710" s="218" t="s">
        <v>5683</v>
      </c>
      <c r="G710" s="234" t="s">
        <v>4249</v>
      </c>
      <c r="H710" s="235" t="s">
        <v>1110</v>
      </c>
      <c r="I710" s="29">
        <v>106242.0</v>
      </c>
      <c r="J710" s="29" t="s">
        <v>1125</v>
      </c>
      <c r="K710" s="222" t="s">
        <v>1137</v>
      </c>
      <c r="L710" s="222">
        <v>1.0</v>
      </c>
      <c r="M710" s="27" t="s">
        <v>1137</v>
      </c>
      <c r="N710" s="239" t="s">
        <v>3981</v>
      </c>
      <c r="O710" s="237" t="s">
        <v>5685</v>
      </c>
      <c r="P710" s="238" t="s">
        <v>5183</v>
      </c>
      <c r="Q710" s="237" t="s">
        <v>5184</v>
      </c>
      <c r="R710" s="237" t="s">
        <v>3991</v>
      </c>
      <c r="S710" s="26" t="str">
        <f t="shared" si="114"/>
        <v>กลุ่มงานการพยาบาลผู้ป่วยอุบัติเหตุและฉุกเฉิน</v>
      </c>
      <c r="T710" s="218" t="s">
        <v>4398</v>
      </c>
      <c r="U710" s="26" t="s">
        <v>1302</v>
      </c>
      <c r="V710" s="25">
        <v>5.0</v>
      </c>
      <c r="W710" s="218" t="s">
        <v>3991</v>
      </c>
      <c r="X710" s="98" t="s">
        <v>1312</v>
      </c>
      <c r="Y710" s="31">
        <v>25.0</v>
      </c>
      <c r="Z710" s="31">
        <v>25.0</v>
      </c>
      <c r="AA710" s="31">
        <v>266.0</v>
      </c>
      <c r="AB710" s="31">
        <v>295.0</v>
      </c>
      <c r="AC710" s="32">
        <v>1.0</v>
      </c>
      <c r="AD710" s="26"/>
      <c r="AE710" s="26"/>
      <c r="AF710" s="32">
        <v>5.0</v>
      </c>
      <c r="AG710" s="33">
        <v>1.505200010547E12</v>
      </c>
      <c r="AH710" s="33" t="s">
        <v>2707</v>
      </c>
      <c r="AI710" s="40">
        <v>233612.0</v>
      </c>
    </row>
    <row r="711" ht="38.25" hidden="1" customHeight="1">
      <c r="A711" s="32">
        <v>705.0</v>
      </c>
      <c r="B711" s="218" t="s">
        <v>1037</v>
      </c>
      <c r="C711" s="218" t="s">
        <v>5128</v>
      </c>
      <c r="D711" s="218" t="s">
        <v>6081</v>
      </c>
      <c r="E711" s="218" t="s">
        <v>5683</v>
      </c>
      <c r="F711" s="218" t="s">
        <v>5683</v>
      </c>
      <c r="G711" s="234" t="s">
        <v>4249</v>
      </c>
      <c r="H711" s="235" t="s">
        <v>1110</v>
      </c>
      <c r="I711" s="29">
        <v>107151.0</v>
      </c>
      <c r="J711" s="29" t="s">
        <v>1125</v>
      </c>
      <c r="K711" s="222" t="s">
        <v>1137</v>
      </c>
      <c r="L711" s="222">
        <v>1.0</v>
      </c>
      <c r="M711" s="27" t="s">
        <v>1137</v>
      </c>
      <c r="N711" s="239" t="s">
        <v>3981</v>
      </c>
      <c r="O711" s="237" t="s">
        <v>5986</v>
      </c>
      <c r="P711" s="238" t="s">
        <v>4868</v>
      </c>
      <c r="Q711" s="237" t="s">
        <v>4869</v>
      </c>
      <c r="R711" s="237" t="s">
        <v>3991</v>
      </c>
      <c r="S711" s="26" t="str">
        <f t="shared" si="114"/>
        <v>กลุ่มงานการพยาบาลผู้ป่วยอุบัติเหตุและฉุกเฉิน</v>
      </c>
      <c r="T711" s="218" t="s">
        <v>4398</v>
      </c>
      <c r="U711" s="26" t="s">
        <v>1302</v>
      </c>
      <c r="V711" s="25">
        <v>12.0</v>
      </c>
      <c r="W711" s="218" t="s">
        <v>3991</v>
      </c>
      <c r="X711" s="98" t="s">
        <v>1312</v>
      </c>
      <c r="Y711" s="31">
        <v>14.0</v>
      </c>
      <c r="Z711" s="31">
        <v>14.0</v>
      </c>
      <c r="AA711" s="31">
        <v>266.0</v>
      </c>
      <c r="AB711" s="31">
        <v>295.0</v>
      </c>
      <c r="AC711" s="32">
        <v>1.0</v>
      </c>
      <c r="AD711" s="26"/>
      <c r="AE711" s="26"/>
      <c r="AF711" s="32">
        <v>5.0</v>
      </c>
      <c r="AG711" s="37">
        <v>1.529900944198E12</v>
      </c>
      <c r="AH711" s="61"/>
      <c r="AI711" s="44">
        <v>234158.0</v>
      </c>
    </row>
    <row r="712" ht="38.25" hidden="1" customHeight="1">
      <c r="A712" s="32">
        <v>706.0</v>
      </c>
      <c r="B712" s="218" t="s">
        <v>1037</v>
      </c>
      <c r="C712" s="218" t="s">
        <v>6082</v>
      </c>
      <c r="D712" s="218" t="s">
        <v>6083</v>
      </c>
      <c r="E712" s="218" t="s">
        <v>5683</v>
      </c>
      <c r="F712" s="218" t="s">
        <v>5683</v>
      </c>
      <c r="G712" s="234" t="s">
        <v>4249</v>
      </c>
      <c r="H712" s="235" t="s">
        <v>1110</v>
      </c>
      <c r="I712" s="29">
        <v>219236.0</v>
      </c>
      <c r="J712" s="29" t="s">
        <v>1125</v>
      </c>
      <c r="K712" s="222" t="s">
        <v>1137</v>
      </c>
      <c r="L712" s="222">
        <v>1.0</v>
      </c>
      <c r="M712" s="27" t="s">
        <v>1137</v>
      </c>
      <c r="N712" s="236" t="s">
        <v>1174</v>
      </c>
      <c r="O712" s="237" t="s">
        <v>4644</v>
      </c>
      <c r="P712" s="238" t="s">
        <v>5348</v>
      </c>
      <c r="Q712" s="237" t="s">
        <v>5349</v>
      </c>
      <c r="R712" s="237" t="s">
        <v>3991</v>
      </c>
      <c r="S712" s="26" t="str">
        <f t="shared" si="114"/>
        <v>กลุ่มงานการพยาบาลวิสัญญี</v>
      </c>
      <c r="T712" s="218" t="s">
        <v>5349</v>
      </c>
      <c r="U712" s="26" t="s">
        <v>1302</v>
      </c>
      <c r="V712" s="25">
        <v>6.0</v>
      </c>
      <c r="W712" s="218" t="s">
        <v>3991</v>
      </c>
      <c r="X712" s="98" t="s">
        <v>1312</v>
      </c>
      <c r="Y712" s="31">
        <v>18.0</v>
      </c>
      <c r="Z712" s="31">
        <v>18.0</v>
      </c>
      <c r="AA712" s="31">
        <v>266.0</v>
      </c>
      <c r="AB712" s="31">
        <v>295.0</v>
      </c>
      <c r="AC712" s="32">
        <v>1.0</v>
      </c>
      <c r="AD712" s="26"/>
      <c r="AE712" s="26"/>
      <c r="AF712" s="32">
        <v>5.0</v>
      </c>
      <c r="AG712" s="37">
        <v>1.499900102724E12</v>
      </c>
      <c r="AH712" s="37" t="s">
        <v>3060</v>
      </c>
      <c r="AI712" s="44">
        <v>231294.0</v>
      </c>
    </row>
    <row r="713" ht="38.25" hidden="1" customHeight="1">
      <c r="A713" s="32">
        <v>707.0</v>
      </c>
      <c r="B713" s="218" t="s">
        <v>806</v>
      </c>
      <c r="C713" s="218" t="s">
        <v>6084</v>
      </c>
      <c r="D713" s="218" t="s">
        <v>6085</v>
      </c>
      <c r="E713" s="218" t="s">
        <v>5683</v>
      </c>
      <c r="F713" s="218" t="s">
        <v>5683</v>
      </c>
      <c r="G713" s="234" t="s">
        <v>4226</v>
      </c>
      <c r="H713" s="235" t="s">
        <v>6086</v>
      </c>
      <c r="I713" s="29">
        <v>160391.0</v>
      </c>
      <c r="J713" s="29" t="s">
        <v>1125</v>
      </c>
      <c r="K713" s="222" t="s">
        <v>1137</v>
      </c>
      <c r="L713" s="222">
        <v>1.0</v>
      </c>
      <c r="M713" s="27" t="s">
        <v>1137</v>
      </c>
      <c r="N713" s="236" t="s">
        <v>1174</v>
      </c>
      <c r="O713" s="237" t="s">
        <v>4644</v>
      </c>
      <c r="P713" s="238" t="s">
        <v>5348</v>
      </c>
      <c r="Q713" s="237" t="s">
        <v>5349</v>
      </c>
      <c r="R713" s="237" t="s">
        <v>3991</v>
      </c>
      <c r="S713" s="26" t="str">
        <f t="shared" si="114"/>
        <v>กลุ่มงานการพยาบาลวิสัญญี</v>
      </c>
      <c r="T713" s="218" t="s">
        <v>5349</v>
      </c>
      <c r="U713" s="26" t="s">
        <v>1302</v>
      </c>
      <c r="V713" s="25">
        <v>6.0</v>
      </c>
      <c r="W713" s="218" t="s">
        <v>3991</v>
      </c>
      <c r="X713" s="98" t="s">
        <v>1312</v>
      </c>
      <c r="Y713" s="31">
        <v>18.0</v>
      </c>
      <c r="Z713" s="31">
        <v>18.0</v>
      </c>
      <c r="AA713" s="31">
        <v>266.0</v>
      </c>
      <c r="AB713" s="31">
        <v>295.0</v>
      </c>
      <c r="AC713" s="32">
        <v>1.0</v>
      </c>
      <c r="AD713" s="26"/>
      <c r="AE713" s="26"/>
      <c r="AF713" s="32">
        <v>5.0</v>
      </c>
      <c r="AG713" s="37">
        <v>3.570800066979E12</v>
      </c>
      <c r="AH713" s="37" t="s">
        <v>3651</v>
      </c>
      <c r="AI713" s="38" t="s">
        <v>6087</v>
      </c>
    </row>
    <row r="714" ht="38.25" hidden="1" customHeight="1">
      <c r="A714" s="32">
        <v>708.0</v>
      </c>
      <c r="B714" s="218" t="s">
        <v>1037</v>
      </c>
      <c r="C714" s="218" t="s">
        <v>6088</v>
      </c>
      <c r="D714" s="218" t="s">
        <v>6089</v>
      </c>
      <c r="E714" s="218" t="s">
        <v>5683</v>
      </c>
      <c r="F714" s="218" t="s">
        <v>5683</v>
      </c>
      <c r="G714" s="234" t="s">
        <v>4220</v>
      </c>
      <c r="H714" s="235" t="s">
        <v>5692</v>
      </c>
      <c r="I714" s="29">
        <v>99953.0</v>
      </c>
      <c r="J714" s="29" t="s">
        <v>1125</v>
      </c>
      <c r="K714" s="222" t="s">
        <v>1137</v>
      </c>
      <c r="L714" s="222">
        <v>1.0</v>
      </c>
      <c r="M714" s="27" t="s">
        <v>1137</v>
      </c>
      <c r="N714" s="236" t="s">
        <v>1174</v>
      </c>
      <c r="O714" s="237" t="s">
        <v>4644</v>
      </c>
      <c r="P714" s="238" t="s">
        <v>5348</v>
      </c>
      <c r="Q714" s="237" t="s">
        <v>5349</v>
      </c>
      <c r="R714" s="237" t="s">
        <v>3991</v>
      </c>
      <c r="S714" s="26" t="str">
        <f t="shared" si="114"/>
        <v>กลุ่มงานการพยาบาลวิสัญญี</v>
      </c>
      <c r="T714" s="218" t="s">
        <v>5349</v>
      </c>
      <c r="U714" s="26" t="s">
        <v>1302</v>
      </c>
      <c r="V714" s="25">
        <v>6.0</v>
      </c>
      <c r="W714" s="218" t="s">
        <v>3991</v>
      </c>
      <c r="X714" s="98" t="s">
        <v>1312</v>
      </c>
      <c r="Y714" s="31">
        <v>18.0</v>
      </c>
      <c r="Z714" s="31">
        <v>18.0</v>
      </c>
      <c r="AA714" s="31">
        <v>266.0</v>
      </c>
      <c r="AB714" s="31">
        <v>295.0</v>
      </c>
      <c r="AC714" s="32">
        <v>1.0</v>
      </c>
      <c r="AD714" s="26"/>
      <c r="AE714" s="26"/>
      <c r="AF714" s="32">
        <v>5.0</v>
      </c>
      <c r="AG714" s="37">
        <v>1.509900701759E12</v>
      </c>
      <c r="AH714" s="37" t="s">
        <v>3637</v>
      </c>
      <c r="AI714" s="44">
        <v>230867.0</v>
      </c>
    </row>
    <row r="715" ht="38.25" hidden="1" customHeight="1">
      <c r="A715" s="32">
        <v>709.0</v>
      </c>
      <c r="B715" s="218" t="s">
        <v>1037</v>
      </c>
      <c r="C715" s="218" t="s">
        <v>6020</v>
      </c>
      <c r="D715" s="218" t="s">
        <v>4079</v>
      </c>
      <c r="E715" s="218" t="s">
        <v>5683</v>
      </c>
      <c r="F715" s="218" t="s">
        <v>5683</v>
      </c>
      <c r="G715" s="234" t="s">
        <v>4220</v>
      </c>
      <c r="H715" s="235" t="s">
        <v>5692</v>
      </c>
      <c r="I715" s="29">
        <v>194076.0</v>
      </c>
      <c r="J715" s="29" t="s">
        <v>1125</v>
      </c>
      <c r="K715" s="222" t="s">
        <v>1137</v>
      </c>
      <c r="L715" s="222">
        <v>1.0</v>
      </c>
      <c r="M715" s="27" t="s">
        <v>1137</v>
      </c>
      <c r="N715" s="236" t="s">
        <v>1174</v>
      </c>
      <c r="O715" s="237" t="s">
        <v>4644</v>
      </c>
      <c r="P715" s="238" t="s">
        <v>5348</v>
      </c>
      <c r="Q715" s="237" t="s">
        <v>5349</v>
      </c>
      <c r="R715" s="237" t="s">
        <v>3991</v>
      </c>
      <c r="S715" s="26" t="str">
        <f t="shared" si="114"/>
        <v>กลุ่มงานการพยาบาลวิสัญญี</v>
      </c>
      <c r="T715" s="218" t="s">
        <v>5349</v>
      </c>
      <c r="U715" s="26" t="s">
        <v>1302</v>
      </c>
      <c r="V715" s="25">
        <v>6.0</v>
      </c>
      <c r="W715" s="218" t="s">
        <v>3991</v>
      </c>
      <c r="X715" s="98" t="s">
        <v>1312</v>
      </c>
      <c r="Y715" s="31">
        <v>18.0</v>
      </c>
      <c r="Z715" s="31">
        <v>18.0</v>
      </c>
      <c r="AA715" s="31">
        <v>266.0</v>
      </c>
      <c r="AB715" s="31">
        <v>295.0</v>
      </c>
      <c r="AC715" s="32">
        <v>1.0</v>
      </c>
      <c r="AD715" s="26"/>
      <c r="AE715" s="26"/>
      <c r="AF715" s="32">
        <v>5.0</v>
      </c>
      <c r="AG715" s="33">
        <v>1.57030009103E12</v>
      </c>
      <c r="AH715" s="33" t="s">
        <v>3589</v>
      </c>
      <c r="AI715" s="34" t="s">
        <v>6090</v>
      </c>
    </row>
    <row r="716" ht="38.25" hidden="1" customHeight="1">
      <c r="A716" s="32">
        <v>710.0</v>
      </c>
      <c r="B716" s="218" t="s">
        <v>1037</v>
      </c>
      <c r="C716" s="218" t="s">
        <v>6091</v>
      </c>
      <c r="D716" s="218" t="s">
        <v>6092</v>
      </c>
      <c r="E716" s="218" t="s">
        <v>5683</v>
      </c>
      <c r="F716" s="218" t="s">
        <v>5683</v>
      </c>
      <c r="G716" s="234" t="s">
        <v>4220</v>
      </c>
      <c r="H716" s="235" t="s">
        <v>5692</v>
      </c>
      <c r="I716" s="29">
        <v>183781.0</v>
      </c>
      <c r="J716" s="29" t="s">
        <v>1125</v>
      </c>
      <c r="K716" s="222" t="s">
        <v>1137</v>
      </c>
      <c r="L716" s="222">
        <v>1.0</v>
      </c>
      <c r="M716" s="27" t="s">
        <v>1137</v>
      </c>
      <c r="N716" s="236" t="s">
        <v>1174</v>
      </c>
      <c r="O716" s="237" t="s">
        <v>4644</v>
      </c>
      <c r="P716" s="238" t="s">
        <v>5348</v>
      </c>
      <c r="Q716" s="237" t="s">
        <v>5349</v>
      </c>
      <c r="R716" s="237" t="s">
        <v>3991</v>
      </c>
      <c r="S716" s="26" t="str">
        <f t="shared" si="114"/>
        <v>กลุ่มงานการพยาบาลวิสัญญี</v>
      </c>
      <c r="T716" s="218" t="s">
        <v>5349</v>
      </c>
      <c r="U716" s="26" t="s">
        <v>1302</v>
      </c>
      <c r="V716" s="25">
        <v>6.0</v>
      </c>
      <c r="W716" s="218" t="s">
        <v>3991</v>
      </c>
      <c r="X716" s="98" t="s">
        <v>1312</v>
      </c>
      <c r="Y716" s="31">
        <v>18.0</v>
      </c>
      <c r="Z716" s="31">
        <v>18.0</v>
      </c>
      <c r="AA716" s="31">
        <v>266.0</v>
      </c>
      <c r="AB716" s="31">
        <v>295.0</v>
      </c>
      <c r="AC716" s="32">
        <v>1.0</v>
      </c>
      <c r="AD716" s="26"/>
      <c r="AE716" s="26"/>
      <c r="AF716" s="32">
        <v>5.0</v>
      </c>
      <c r="AG716" s="37">
        <v>1.509900268851E12</v>
      </c>
      <c r="AH716" s="37" t="s">
        <v>3668</v>
      </c>
      <c r="AI716" s="44">
        <v>229476.0</v>
      </c>
    </row>
    <row r="717" ht="38.25" hidden="1" customHeight="1">
      <c r="A717" s="32">
        <v>711.0</v>
      </c>
      <c r="B717" s="218" t="s">
        <v>1037</v>
      </c>
      <c r="C717" s="218" t="s">
        <v>5784</v>
      </c>
      <c r="D717" s="218" t="s">
        <v>6093</v>
      </c>
      <c r="E717" s="218" t="s">
        <v>5683</v>
      </c>
      <c r="F717" s="218" t="s">
        <v>5683</v>
      </c>
      <c r="G717" s="234" t="s">
        <v>4249</v>
      </c>
      <c r="H717" s="235" t="s">
        <v>1110</v>
      </c>
      <c r="I717" s="29">
        <v>194256.0</v>
      </c>
      <c r="J717" s="29" t="s">
        <v>1125</v>
      </c>
      <c r="K717" s="222" t="s">
        <v>1137</v>
      </c>
      <c r="L717" s="222">
        <v>1.0</v>
      </c>
      <c r="M717" s="27" t="s">
        <v>1137</v>
      </c>
      <c r="N717" s="236" t="s">
        <v>1174</v>
      </c>
      <c r="O717" s="237" t="s">
        <v>4644</v>
      </c>
      <c r="P717" s="238" t="s">
        <v>5348</v>
      </c>
      <c r="Q717" s="237" t="s">
        <v>5349</v>
      </c>
      <c r="R717" s="237" t="s">
        <v>3991</v>
      </c>
      <c r="S717" s="26" t="str">
        <f t="shared" si="114"/>
        <v>กลุ่มงานการพยาบาลวิสัญญี</v>
      </c>
      <c r="T717" s="218" t="s">
        <v>5349</v>
      </c>
      <c r="U717" s="26" t="s">
        <v>1302</v>
      </c>
      <c r="V717" s="25">
        <v>6.0</v>
      </c>
      <c r="W717" s="218" t="s">
        <v>3991</v>
      </c>
      <c r="X717" s="98" t="s">
        <v>1312</v>
      </c>
      <c r="Y717" s="31">
        <v>18.0</v>
      </c>
      <c r="Z717" s="31">
        <v>18.0</v>
      </c>
      <c r="AA717" s="31">
        <v>266.0</v>
      </c>
      <c r="AB717" s="31">
        <v>295.0</v>
      </c>
      <c r="AC717" s="32">
        <v>1.0</v>
      </c>
      <c r="AD717" s="26"/>
      <c r="AE717" s="26"/>
      <c r="AF717" s="32">
        <v>5.0</v>
      </c>
      <c r="AG717" s="33">
        <v>1.500800067189E12</v>
      </c>
      <c r="AH717" s="33" t="s">
        <v>3633</v>
      </c>
      <c r="AI717" s="34" t="s">
        <v>6094</v>
      </c>
    </row>
    <row r="718" ht="38.25" hidden="1" customHeight="1">
      <c r="A718" s="32">
        <v>712.0</v>
      </c>
      <c r="B718" s="26" t="s">
        <v>806</v>
      </c>
      <c r="C718" s="26" t="s">
        <v>4989</v>
      </c>
      <c r="D718" s="26" t="s">
        <v>6095</v>
      </c>
      <c r="E718" s="26" t="s">
        <v>5683</v>
      </c>
      <c r="F718" s="26" t="s">
        <v>5683</v>
      </c>
      <c r="G718" s="77" t="s">
        <v>4226</v>
      </c>
      <c r="H718" s="27" t="s">
        <v>5692</v>
      </c>
      <c r="I718" s="29">
        <v>110835.0</v>
      </c>
      <c r="J718" s="29" t="s">
        <v>1125</v>
      </c>
      <c r="K718" s="27" t="s">
        <v>1137</v>
      </c>
      <c r="L718" s="25">
        <v>1.0</v>
      </c>
      <c r="M718" s="27" t="s">
        <v>1137</v>
      </c>
      <c r="N718" s="80" t="s">
        <v>1174</v>
      </c>
      <c r="O718" s="76" t="str">
        <f>+T718</f>
        <v>กลุ่มงานจิตเวชและยาเสพติด</v>
      </c>
      <c r="P718" s="245" t="str">
        <f t="shared" ref="P718:P721" si="115">+O718</f>
        <v>กลุ่มงานจิตเวชและยาเสพติด</v>
      </c>
      <c r="Q718" s="76" t="str">
        <f t="shared" ref="Q718:Q721" si="116">+T718</f>
        <v>กลุ่มงานจิตเวชและยาเสพติด</v>
      </c>
      <c r="R718" s="76" t="str">
        <f t="shared" ref="R718:R721" si="117">+W718</f>
        <v>ภารกิจด้านบริการทุติยภูมิและตติยภูมิ</v>
      </c>
      <c r="S718" s="26" t="str">
        <f t="shared" si="114"/>
        <v>กลุ่มงานจิตเวชและยาเสพติด</v>
      </c>
      <c r="T718" s="26" t="s">
        <v>4311</v>
      </c>
      <c r="U718" s="26" t="s">
        <v>1302</v>
      </c>
      <c r="V718" s="25">
        <v>13.0</v>
      </c>
      <c r="W718" s="26" t="s">
        <v>4054</v>
      </c>
      <c r="X718" s="25" t="s">
        <v>3978</v>
      </c>
      <c r="Y718" s="31">
        <v>4.0</v>
      </c>
      <c r="Z718" s="31">
        <v>8.0</v>
      </c>
      <c r="AA718" s="31">
        <v>199.0</v>
      </c>
      <c r="AB718" s="31">
        <v>295.0</v>
      </c>
      <c r="AC718" s="32">
        <v>1.0</v>
      </c>
      <c r="AD718" s="26"/>
      <c r="AE718" s="26"/>
      <c r="AF718" s="32">
        <v>5.0</v>
      </c>
      <c r="AG718" s="37">
        <v>3.520101541848E12</v>
      </c>
      <c r="AH718" s="37" t="s">
        <v>3779</v>
      </c>
      <c r="AI718" s="38" t="s">
        <v>6096</v>
      </c>
    </row>
    <row r="719" ht="38.25" hidden="1" customHeight="1">
      <c r="A719" s="32">
        <v>713.0</v>
      </c>
      <c r="B719" s="26" t="s">
        <v>806</v>
      </c>
      <c r="C719" s="26" t="s">
        <v>6097</v>
      </c>
      <c r="D719" s="26" t="s">
        <v>6098</v>
      </c>
      <c r="E719" s="26" t="s">
        <v>5683</v>
      </c>
      <c r="F719" s="26" t="s">
        <v>5683</v>
      </c>
      <c r="G719" s="77" t="s">
        <v>4220</v>
      </c>
      <c r="H719" s="27" t="s">
        <v>5692</v>
      </c>
      <c r="I719" s="29">
        <v>106635.0</v>
      </c>
      <c r="J719" s="29" t="s">
        <v>1125</v>
      </c>
      <c r="K719" s="27" t="s">
        <v>1137</v>
      </c>
      <c r="L719" s="25">
        <v>1.0</v>
      </c>
      <c r="M719" s="27" t="s">
        <v>1137</v>
      </c>
      <c r="N719" s="80" t="s">
        <v>1174</v>
      </c>
      <c r="O719" s="76" t="s">
        <v>4311</v>
      </c>
      <c r="P719" s="245" t="str">
        <f t="shared" si="115"/>
        <v>กลุ่มงานจิตเวชและยาเสพติด</v>
      </c>
      <c r="Q719" s="76" t="str">
        <f t="shared" si="116"/>
        <v>กลุ่มงานจิตเวชและยาเสพติด</v>
      </c>
      <c r="R719" s="76" t="str">
        <f t="shared" si="117"/>
        <v>ภารกิจด้านบริการทุติยภูมิและตติยภูมิ</v>
      </c>
      <c r="S719" s="26" t="str">
        <f t="shared" si="114"/>
        <v>กลุ่มงานจิตเวชและยาเสพติด</v>
      </c>
      <c r="T719" s="26" t="s">
        <v>4311</v>
      </c>
      <c r="U719" s="26" t="s">
        <v>1302</v>
      </c>
      <c r="V719" s="25">
        <v>13.0</v>
      </c>
      <c r="W719" s="26" t="s">
        <v>4054</v>
      </c>
      <c r="X719" s="25" t="s">
        <v>3978</v>
      </c>
      <c r="Y719" s="31">
        <v>4.0</v>
      </c>
      <c r="Z719" s="31">
        <v>8.0</v>
      </c>
      <c r="AA719" s="31">
        <v>199.0</v>
      </c>
      <c r="AB719" s="31">
        <v>295.0</v>
      </c>
      <c r="AC719" s="32">
        <v>1.0</v>
      </c>
      <c r="AD719" s="26"/>
      <c r="AE719" s="26"/>
      <c r="AF719" s="32">
        <v>5.0</v>
      </c>
      <c r="AG719" s="33">
        <v>3.500700647104E12</v>
      </c>
      <c r="AH719" s="33" t="s">
        <v>3798</v>
      </c>
      <c r="AI719" s="34" t="s">
        <v>6099</v>
      </c>
    </row>
    <row r="720" ht="38.25" hidden="1" customHeight="1">
      <c r="A720" s="32">
        <v>714.0</v>
      </c>
      <c r="B720" s="26" t="s">
        <v>1037</v>
      </c>
      <c r="C720" s="26" t="s">
        <v>6100</v>
      </c>
      <c r="D720" s="26" t="s">
        <v>6101</v>
      </c>
      <c r="E720" s="26" t="s">
        <v>5683</v>
      </c>
      <c r="F720" s="26" t="s">
        <v>5683</v>
      </c>
      <c r="G720" s="77" t="s">
        <v>4220</v>
      </c>
      <c r="H720" s="27" t="s">
        <v>5692</v>
      </c>
      <c r="I720" s="29">
        <v>159299.0</v>
      </c>
      <c r="J720" s="29" t="s">
        <v>1125</v>
      </c>
      <c r="K720" s="27" t="s">
        <v>1137</v>
      </c>
      <c r="L720" s="25">
        <v>1.0</v>
      </c>
      <c r="M720" s="27" t="s">
        <v>1137</v>
      </c>
      <c r="N720" s="80" t="s">
        <v>1174</v>
      </c>
      <c r="O720" s="76" t="s">
        <v>4311</v>
      </c>
      <c r="P720" s="245" t="str">
        <f t="shared" si="115"/>
        <v>กลุ่มงานจิตเวชและยาเสพติด</v>
      </c>
      <c r="Q720" s="76" t="str">
        <f t="shared" si="116"/>
        <v>กลุ่มงานจิตเวชและยาเสพติด</v>
      </c>
      <c r="R720" s="76" t="str">
        <f t="shared" si="117"/>
        <v>ภารกิจด้านบริการทุติยภูมิและตติยภูมิ</v>
      </c>
      <c r="S720" s="26" t="str">
        <f t="shared" si="114"/>
        <v>กลุ่มงานจิตเวชและยาเสพติด</v>
      </c>
      <c r="T720" s="26" t="s">
        <v>4311</v>
      </c>
      <c r="U720" s="26" t="s">
        <v>1302</v>
      </c>
      <c r="V720" s="25">
        <v>13.0</v>
      </c>
      <c r="W720" s="26" t="s">
        <v>4054</v>
      </c>
      <c r="X720" s="25" t="s">
        <v>3978</v>
      </c>
      <c r="Y720" s="31">
        <v>4.0</v>
      </c>
      <c r="Z720" s="31">
        <v>8.0</v>
      </c>
      <c r="AA720" s="31">
        <v>199.0</v>
      </c>
      <c r="AB720" s="31">
        <v>295.0</v>
      </c>
      <c r="AC720" s="32">
        <v>1.0</v>
      </c>
      <c r="AD720" s="26"/>
      <c r="AE720" s="26"/>
      <c r="AF720" s="32">
        <v>5.0</v>
      </c>
      <c r="AG720" s="37">
        <v>3.500500300437E12</v>
      </c>
      <c r="AH720" s="37" t="s">
        <v>3577</v>
      </c>
      <c r="AI720" s="38" t="s">
        <v>6102</v>
      </c>
    </row>
    <row r="721" ht="38.25" hidden="1" customHeight="1">
      <c r="A721" s="32">
        <v>715.0</v>
      </c>
      <c r="B721" s="26" t="s">
        <v>1037</v>
      </c>
      <c r="C721" s="26" t="s">
        <v>6070</v>
      </c>
      <c r="D721" s="26" t="s">
        <v>6103</v>
      </c>
      <c r="E721" s="26" t="s">
        <v>5683</v>
      </c>
      <c r="F721" s="26" t="s">
        <v>5683</v>
      </c>
      <c r="G721" s="77" t="s">
        <v>4220</v>
      </c>
      <c r="H721" s="27" t="s">
        <v>5692</v>
      </c>
      <c r="I721" s="29">
        <v>159304.0</v>
      </c>
      <c r="J721" s="29" t="s">
        <v>1125</v>
      </c>
      <c r="K721" s="27" t="s">
        <v>1137</v>
      </c>
      <c r="L721" s="25">
        <v>1.0</v>
      </c>
      <c r="M721" s="27" t="s">
        <v>1137</v>
      </c>
      <c r="N721" s="80" t="s">
        <v>1174</v>
      </c>
      <c r="O721" s="76" t="s">
        <v>4311</v>
      </c>
      <c r="P721" s="245" t="str">
        <f t="shared" si="115"/>
        <v>กลุ่มงานจิตเวชและยาเสพติด</v>
      </c>
      <c r="Q721" s="76" t="str">
        <f t="shared" si="116"/>
        <v>กลุ่มงานจิตเวชและยาเสพติด</v>
      </c>
      <c r="R721" s="76" t="str">
        <f t="shared" si="117"/>
        <v>ภารกิจด้านบริการทุติยภูมิและตติยภูมิ</v>
      </c>
      <c r="S721" s="26" t="str">
        <f t="shared" si="114"/>
        <v>กลุ่มงานจิตเวชและยาเสพติด</v>
      </c>
      <c r="T721" s="26" t="s">
        <v>4311</v>
      </c>
      <c r="U721" s="26" t="s">
        <v>1302</v>
      </c>
      <c r="V721" s="25">
        <v>13.0</v>
      </c>
      <c r="W721" s="26" t="s">
        <v>4054</v>
      </c>
      <c r="X721" s="25" t="s">
        <v>3978</v>
      </c>
      <c r="Y721" s="31">
        <v>4.0</v>
      </c>
      <c r="Z721" s="31">
        <v>8.0</v>
      </c>
      <c r="AA721" s="31">
        <v>199.0</v>
      </c>
      <c r="AB721" s="31">
        <v>295.0</v>
      </c>
      <c r="AC721" s="32">
        <v>1.0</v>
      </c>
      <c r="AD721" s="26"/>
      <c r="AE721" s="26"/>
      <c r="AF721" s="32">
        <v>5.0</v>
      </c>
      <c r="AG721" s="33">
        <v>3.501400386896E12</v>
      </c>
      <c r="AH721" s="46"/>
      <c r="AI721" s="34" t="s">
        <v>6104</v>
      </c>
    </row>
    <row r="722" ht="38.25" hidden="1" customHeight="1">
      <c r="A722" s="32">
        <v>716.0</v>
      </c>
      <c r="B722" s="26" t="s">
        <v>1037</v>
      </c>
      <c r="C722" s="26" t="s">
        <v>5013</v>
      </c>
      <c r="D722" s="26" t="s">
        <v>5452</v>
      </c>
      <c r="E722" s="218" t="s">
        <v>5683</v>
      </c>
      <c r="F722" s="218" t="s">
        <v>5683</v>
      </c>
      <c r="G722" s="77" t="s">
        <v>4249</v>
      </c>
      <c r="H722" s="226" t="s">
        <v>1110</v>
      </c>
      <c r="I722" s="29">
        <v>107142.0</v>
      </c>
      <c r="J722" s="29" t="s">
        <v>1125</v>
      </c>
      <c r="K722" s="222" t="s">
        <v>1137</v>
      </c>
      <c r="L722" s="222">
        <v>1.0</v>
      </c>
      <c r="M722" s="27" t="s">
        <v>1137</v>
      </c>
      <c r="N722" s="260" t="s">
        <v>3981</v>
      </c>
      <c r="O722" s="76" t="s">
        <v>5904</v>
      </c>
      <c r="P722" s="245" t="s">
        <v>4938</v>
      </c>
      <c r="Q722" s="76" t="s">
        <v>4939</v>
      </c>
      <c r="R722" s="237" t="s">
        <v>3991</v>
      </c>
      <c r="S722" s="26" t="s">
        <v>4517</v>
      </c>
      <c r="T722" s="26" t="s">
        <v>4063</v>
      </c>
      <c r="U722" s="26" t="s">
        <v>1302</v>
      </c>
      <c r="V722" s="25">
        <v>13.0</v>
      </c>
      <c r="W722" s="26" t="s">
        <v>4064</v>
      </c>
      <c r="X722" s="98" t="s">
        <v>1312</v>
      </c>
      <c r="Y722" s="31">
        <v>6.0</v>
      </c>
      <c r="Z722" s="31">
        <v>6.0</v>
      </c>
      <c r="AA722" s="31">
        <v>266.0</v>
      </c>
      <c r="AB722" s="31">
        <v>295.0</v>
      </c>
      <c r="AC722" s="32">
        <v>1.0</v>
      </c>
      <c r="AD722" s="30" t="s">
        <v>6105</v>
      </c>
      <c r="AE722" s="261"/>
      <c r="AF722" s="262">
        <v>5.0</v>
      </c>
      <c r="AG722" s="33">
        <v>1.505100013641E12</v>
      </c>
      <c r="AH722" s="33" t="s">
        <v>2581</v>
      </c>
      <c r="AI722" s="40">
        <v>233941.0</v>
      </c>
    </row>
    <row r="723" ht="38.25" hidden="1" customHeight="1">
      <c r="A723" s="32">
        <v>717.0</v>
      </c>
      <c r="B723" s="26" t="s">
        <v>1037</v>
      </c>
      <c r="C723" s="26" t="s">
        <v>5094</v>
      </c>
      <c r="D723" s="26" t="s">
        <v>6106</v>
      </c>
      <c r="E723" s="26" t="s">
        <v>5683</v>
      </c>
      <c r="F723" s="218" t="s">
        <v>5683</v>
      </c>
      <c r="G723" s="77" t="s">
        <v>4249</v>
      </c>
      <c r="H723" s="235" t="s">
        <v>1110</v>
      </c>
      <c r="I723" s="29">
        <v>107145.0</v>
      </c>
      <c r="J723" s="29" t="s">
        <v>1125</v>
      </c>
      <c r="K723" s="222" t="s">
        <v>1137</v>
      </c>
      <c r="L723" s="222">
        <v>1.0</v>
      </c>
      <c r="M723" s="27" t="s">
        <v>1137</v>
      </c>
      <c r="N723" s="260" t="s">
        <v>3981</v>
      </c>
      <c r="O723" s="76" t="s">
        <v>5986</v>
      </c>
      <c r="P723" s="245" t="s">
        <v>4868</v>
      </c>
      <c r="Q723" s="76" t="s">
        <v>4869</v>
      </c>
      <c r="R723" s="237" t="s">
        <v>3991</v>
      </c>
      <c r="S723" s="26" t="s">
        <v>5125</v>
      </c>
      <c r="T723" s="218" t="s">
        <v>4063</v>
      </c>
      <c r="U723" s="26" t="s">
        <v>1302</v>
      </c>
      <c r="V723" s="25">
        <v>12.0</v>
      </c>
      <c r="W723" s="26" t="s">
        <v>4064</v>
      </c>
      <c r="X723" s="98" t="s">
        <v>1312</v>
      </c>
      <c r="Y723" s="31">
        <v>14.0</v>
      </c>
      <c r="Z723" s="31">
        <v>14.0</v>
      </c>
      <c r="AA723" s="31">
        <v>266.0</v>
      </c>
      <c r="AB723" s="31">
        <v>295.0</v>
      </c>
      <c r="AC723" s="32">
        <v>1.0</v>
      </c>
      <c r="AD723" s="30" t="s">
        <v>6105</v>
      </c>
      <c r="AE723" s="261"/>
      <c r="AF723" s="262">
        <v>5.0</v>
      </c>
      <c r="AG723" s="33">
        <v>1.560100385161E12</v>
      </c>
      <c r="AH723" s="46"/>
      <c r="AI723" s="47"/>
    </row>
    <row r="724" ht="38.25" hidden="1" customHeight="1">
      <c r="A724" s="32">
        <v>718.0</v>
      </c>
      <c r="B724" s="26" t="s">
        <v>1037</v>
      </c>
      <c r="C724" s="26" t="s">
        <v>5211</v>
      </c>
      <c r="D724" s="26" t="s">
        <v>6107</v>
      </c>
      <c r="E724" s="218" t="s">
        <v>5683</v>
      </c>
      <c r="F724" s="218" t="s">
        <v>5683</v>
      </c>
      <c r="G724" s="77" t="s">
        <v>4249</v>
      </c>
      <c r="H724" s="226" t="s">
        <v>1110</v>
      </c>
      <c r="I724" s="29">
        <v>219179.0</v>
      </c>
      <c r="J724" s="29" t="s">
        <v>1125</v>
      </c>
      <c r="K724" s="222" t="s">
        <v>1137</v>
      </c>
      <c r="L724" s="222">
        <v>1.0</v>
      </c>
      <c r="M724" s="27" t="s">
        <v>1137</v>
      </c>
      <c r="N724" s="260" t="s">
        <v>3981</v>
      </c>
      <c r="O724" s="76" t="s">
        <v>5805</v>
      </c>
      <c r="P724" s="245" t="s">
        <v>4873</v>
      </c>
      <c r="Q724" s="76" t="s">
        <v>4874</v>
      </c>
      <c r="R724" s="237" t="s">
        <v>3991</v>
      </c>
      <c r="S724" s="26" t="s">
        <v>4517</v>
      </c>
      <c r="T724" s="26" t="s">
        <v>4063</v>
      </c>
      <c r="U724" s="26" t="s">
        <v>1302</v>
      </c>
      <c r="V724" s="25">
        <v>7.0</v>
      </c>
      <c r="W724" s="26" t="s">
        <v>4064</v>
      </c>
      <c r="X724" s="98" t="s">
        <v>1312</v>
      </c>
      <c r="Y724" s="31">
        <v>44.0</v>
      </c>
      <c r="Z724" s="31">
        <v>44.0</v>
      </c>
      <c r="AA724" s="31">
        <v>266.0</v>
      </c>
      <c r="AB724" s="31">
        <v>295.0</v>
      </c>
      <c r="AC724" s="32">
        <v>1.0</v>
      </c>
      <c r="AD724" s="30" t="s">
        <v>6105</v>
      </c>
      <c r="AE724" s="261"/>
      <c r="AF724" s="262">
        <v>5.0</v>
      </c>
      <c r="AG724" s="33">
        <v>1.500201202518E12</v>
      </c>
      <c r="AH724" s="33" t="s">
        <v>2197</v>
      </c>
      <c r="AI724" s="40">
        <v>234336.0</v>
      </c>
    </row>
    <row r="725" ht="38.25" hidden="1" customHeight="1">
      <c r="A725" s="32">
        <v>719.0</v>
      </c>
      <c r="B725" s="26" t="s">
        <v>1037</v>
      </c>
      <c r="C725" s="26" t="s">
        <v>6108</v>
      </c>
      <c r="D725" s="26" t="s">
        <v>6109</v>
      </c>
      <c r="E725" s="218" t="s">
        <v>5683</v>
      </c>
      <c r="F725" s="218" t="s">
        <v>5683</v>
      </c>
      <c r="G725" s="77" t="s">
        <v>4249</v>
      </c>
      <c r="H725" s="235" t="s">
        <v>1110</v>
      </c>
      <c r="I725" s="29">
        <v>106416.0</v>
      </c>
      <c r="J725" s="29" t="s">
        <v>1125</v>
      </c>
      <c r="K725" s="222" t="s">
        <v>1137</v>
      </c>
      <c r="L725" s="222">
        <v>1.0</v>
      </c>
      <c r="M725" s="27" t="s">
        <v>1137</v>
      </c>
      <c r="N725" s="260" t="s">
        <v>3981</v>
      </c>
      <c r="O725" s="76" t="s">
        <v>5766</v>
      </c>
      <c r="P725" s="245" t="s">
        <v>4027</v>
      </c>
      <c r="Q725" s="76" t="s">
        <v>4028</v>
      </c>
      <c r="R725" s="237" t="s">
        <v>3991</v>
      </c>
      <c r="S725" s="26" t="s">
        <v>5126</v>
      </c>
      <c r="T725" s="26" t="s">
        <v>4063</v>
      </c>
      <c r="U725" s="26" t="s">
        <v>1302</v>
      </c>
      <c r="V725" s="25">
        <v>15.0</v>
      </c>
      <c r="W725" s="26" t="s">
        <v>4064</v>
      </c>
      <c r="X725" s="98" t="s">
        <v>1312</v>
      </c>
      <c r="Y725" s="31">
        <v>24.0</v>
      </c>
      <c r="Z725" s="31">
        <v>24.0</v>
      </c>
      <c r="AA725" s="31">
        <v>266.0</v>
      </c>
      <c r="AB725" s="31">
        <v>295.0</v>
      </c>
      <c r="AC725" s="263">
        <v>1.0</v>
      </c>
      <c r="AD725" s="30" t="s">
        <v>6105</v>
      </c>
      <c r="AE725" s="261"/>
      <c r="AF725" s="262">
        <v>5.0</v>
      </c>
      <c r="AG725" s="33">
        <v>1.560100307926E12</v>
      </c>
      <c r="AH725" s="33" t="s">
        <v>2251</v>
      </c>
      <c r="AI725" s="40">
        <v>232549.0</v>
      </c>
    </row>
    <row r="726" ht="38.25" customHeight="1">
      <c r="A726" s="32">
        <v>720.0</v>
      </c>
      <c r="B726" s="26" t="s">
        <v>806</v>
      </c>
      <c r="C726" s="26" t="s">
        <v>6110</v>
      </c>
      <c r="D726" s="26" t="s">
        <v>6111</v>
      </c>
      <c r="E726" s="26" t="s">
        <v>5683</v>
      </c>
      <c r="F726" s="26" t="str">
        <f>+E726</f>
        <v>พยาบาลวิชาชีพ</v>
      </c>
      <c r="G726" s="77" t="s">
        <v>4249</v>
      </c>
      <c r="H726" s="77" t="s">
        <v>1110</v>
      </c>
      <c r="I726" s="29">
        <v>107146.0</v>
      </c>
      <c r="J726" s="29" t="s">
        <v>1125</v>
      </c>
      <c r="K726" s="27" t="s">
        <v>1137</v>
      </c>
      <c r="L726" s="25">
        <v>1.0</v>
      </c>
      <c r="M726" s="27" t="s">
        <v>1137</v>
      </c>
      <c r="N726" s="80" t="s">
        <v>1174</v>
      </c>
      <c r="O726" s="76"/>
      <c r="P726" s="245" t="s">
        <v>4522</v>
      </c>
      <c r="Q726" s="76" t="s">
        <v>4063</v>
      </c>
      <c r="R726" s="76" t="s">
        <v>4064</v>
      </c>
      <c r="S726" s="26" t="s">
        <v>4514</v>
      </c>
      <c r="T726" s="26" t="s">
        <v>4063</v>
      </c>
      <c r="U726" s="26" t="s">
        <v>1302</v>
      </c>
      <c r="V726" s="25" t="s">
        <v>4515</v>
      </c>
      <c r="W726" s="26" t="s">
        <v>4064</v>
      </c>
      <c r="X726" s="25" t="s">
        <v>3935</v>
      </c>
      <c r="Y726" s="31">
        <v>3.0</v>
      </c>
      <c r="Z726" s="31">
        <v>26.0</v>
      </c>
      <c r="AA726" s="63">
        <v>66.0</v>
      </c>
      <c r="AB726" s="31">
        <v>295.0</v>
      </c>
      <c r="AC726" s="32">
        <v>1.0</v>
      </c>
      <c r="AD726" s="26"/>
      <c r="AE726" s="26"/>
      <c r="AF726" s="32">
        <v>5.0</v>
      </c>
      <c r="AG726" s="37">
        <v>3.501100077111E12</v>
      </c>
      <c r="AH726" s="37" t="s">
        <v>153</v>
      </c>
      <c r="AI726" s="38" t="s">
        <v>6112</v>
      </c>
    </row>
    <row r="727" ht="38.25" hidden="1" customHeight="1">
      <c r="A727" s="32">
        <v>721.0</v>
      </c>
      <c r="B727" s="26"/>
      <c r="C727" s="26"/>
      <c r="D727" s="26"/>
      <c r="E727" s="26" t="s">
        <v>5683</v>
      </c>
      <c r="F727" s="26" t="s">
        <v>5683</v>
      </c>
      <c r="G727" s="77" t="s">
        <v>4226</v>
      </c>
      <c r="H727" s="27" t="s">
        <v>5692</v>
      </c>
      <c r="I727" s="29">
        <v>194231.0</v>
      </c>
      <c r="J727" s="29" t="s">
        <v>1125</v>
      </c>
      <c r="K727" s="27" t="s">
        <v>1137</v>
      </c>
      <c r="L727" s="25">
        <v>1.0</v>
      </c>
      <c r="M727" s="27" t="s">
        <v>1137</v>
      </c>
      <c r="N727" s="80" t="s">
        <v>1174</v>
      </c>
      <c r="O727" s="76" t="s">
        <v>5125</v>
      </c>
      <c r="P727" s="245" t="s">
        <v>5125</v>
      </c>
      <c r="Q727" s="76" t="str">
        <f t="shared" ref="Q727:Q730" si="118">+T727</f>
        <v>กลุ่มงานเวชกรรมสังคม</v>
      </c>
      <c r="R727" s="76" t="str">
        <f t="shared" ref="R727:R730" si="119">+W727</f>
        <v>ภารกิจด้านบริการปฐมภูมิ</v>
      </c>
      <c r="S727" s="26" t="s">
        <v>5126</v>
      </c>
      <c r="T727" s="26" t="s">
        <v>4063</v>
      </c>
      <c r="U727" s="26" t="s">
        <v>1302</v>
      </c>
      <c r="V727" s="25" t="s">
        <v>5127</v>
      </c>
      <c r="W727" s="26" t="s">
        <v>4064</v>
      </c>
      <c r="X727" s="25" t="s">
        <v>3935</v>
      </c>
      <c r="Y727" s="31">
        <v>5.0</v>
      </c>
      <c r="Z727" s="31">
        <v>26.0</v>
      </c>
      <c r="AA727" s="63">
        <v>66.0</v>
      </c>
      <c r="AB727" s="31">
        <v>295.0</v>
      </c>
      <c r="AC727" s="32">
        <v>1.0</v>
      </c>
      <c r="AD727" s="64" t="s">
        <v>6113</v>
      </c>
      <c r="AE727" s="26"/>
      <c r="AF727" s="32">
        <v>5.0</v>
      </c>
      <c r="AG727" s="37">
        <v>3.509900788184E12</v>
      </c>
      <c r="AH727" s="37" t="s">
        <v>3573</v>
      </c>
      <c r="AI727" s="44">
        <v>222682.0</v>
      </c>
    </row>
    <row r="728" ht="38.25" hidden="1" customHeight="1">
      <c r="A728" s="32">
        <v>722.0</v>
      </c>
      <c r="B728" s="26" t="s">
        <v>1037</v>
      </c>
      <c r="C728" s="26" t="s">
        <v>6007</v>
      </c>
      <c r="D728" s="26" t="s">
        <v>6114</v>
      </c>
      <c r="E728" s="26" t="s">
        <v>5683</v>
      </c>
      <c r="F728" s="26" t="s">
        <v>5683</v>
      </c>
      <c r="G728" s="77" t="s">
        <v>4249</v>
      </c>
      <c r="H728" s="77" t="s">
        <v>1110</v>
      </c>
      <c r="I728" s="29">
        <v>194173.0</v>
      </c>
      <c r="J728" s="29" t="s">
        <v>1125</v>
      </c>
      <c r="K728" s="27" t="s">
        <v>1137</v>
      </c>
      <c r="L728" s="25">
        <v>1.0</v>
      </c>
      <c r="M728" s="27" t="s">
        <v>1137</v>
      </c>
      <c r="N728" s="80" t="s">
        <v>1174</v>
      </c>
      <c r="O728" s="76" t="s">
        <v>5125</v>
      </c>
      <c r="P728" s="245" t="s">
        <v>5125</v>
      </c>
      <c r="Q728" s="26" t="str">
        <f t="shared" si="118"/>
        <v>กลุ่มงานเวชกรรมสังคม</v>
      </c>
      <c r="R728" s="76" t="str">
        <f t="shared" si="119"/>
        <v>ภารกิจด้านบริการปฐมภูมิ</v>
      </c>
      <c r="S728" s="26" t="s">
        <v>5126</v>
      </c>
      <c r="T728" s="26" t="s">
        <v>4063</v>
      </c>
      <c r="U728" s="26" t="s">
        <v>1302</v>
      </c>
      <c r="V728" s="25" t="s">
        <v>5127</v>
      </c>
      <c r="W728" s="26" t="s">
        <v>4064</v>
      </c>
      <c r="X728" s="25" t="s">
        <v>3935</v>
      </c>
      <c r="Y728" s="31">
        <v>5.0</v>
      </c>
      <c r="Z728" s="31">
        <v>26.0</v>
      </c>
      <c r="AA728" s="63">
        <v>66.0</v>
      </c>
      <c r="AB728" s="31">
        <v>295.0</v>
      </c>
      <c r="AC728" s="32">
        <v>1.0</v>
      </c>
      <c r="AD728" s="26"/>
      <c r="AE728" s="26"/>
      <c r="AF728" s="32">
        <v>5.0</v>
      </c>
      <c r="AG728" s="33">
        <v>1.510400083306E12</v>
      </c>
      <c r="AH728" s="33" t="s">
        <v>3691</v>
      </c>
      <c r="AI728" s="34" t="s">
        <v>6115</v>
      </c>
    </row>
    <row r="729" ht="38.25" hidden="1" customHeight="1">
      <c r="A729" s="32">
        <v>723.0</v>
      </c>
      <c r="B729" s="26" t="s">
        <v>1037</v>
      </c>
      <c r="C729" s="26" t="s">
        <v>5773</v>
      </c>
      <c r="D729" s="26" t="s">
        <v>6116</v>
      </c>
      <c r="E729" s="26" t="s">
        <v>5683</v>
      </c>
      <c r="F729" s="26" t="s">
        <v>5683</v>
      </c>
      <c r="G729" s="77" t="s">
        <v>4249</v>
      </c>
      <c r="H729" s="77" t="s">
        <v>1110</v>
      </c>
      <c r="I729" s="29">
        <v>106414.0</v>
      </c>
      <c r="J729" s="29" t="s">
        <v>1125</v>
      </c>
      <c r="K729" s="27" t="s">
        <v>1137</v>
      </c>
      <c r="L729" s="25">
        <v>1.0</v>
      </c>
      <c r="M729" s="27" t="s">
        <v>1137</v>
      </c>
      <c r="N729" s="80" t="s">
        <v>1174</v>
      </c>
      <c r="O729" s="76" t="s">
        <v>5125</v>
      </c>
      <c r="P729" s="245" t="s">
        <v>5125</v>
      </c>
      <c r="Q729" s="76" t="str">
        <f t="shared" si="118"/>
        <v>กลุ่มงานเวชกรรมสังคม</v>
      </c>
      <c r="R729" s="76" t="str">
        <f t="shared" si="119"/>
        <v>ภารกิจด้านบริการปฐมภูมิ</v>
      </c>
      <c r="S729" s="26" t="s">
        <v>5126</v>
      </c>
      <c r="T729" s="26" t="s">
        <v>4063</v>
      </c>
      <c r="U729" s="26" t="s">
        <v>1302</v>
      </c>
      <c r="V729" s="25" t="s">
        <v>5127</v>
      </c>
      <c r="W729" s="26" t="s">
        <v>4064</v>
      </c>
      <c r="X729" s="25" t="s">
        <v>3935</v>
      </c>
      <c r="Y729" s="31">
        <v>5.0</v>
      </c>
      <c r="Z729" s="31">
        <v>26.0</v>
      </c>
      <c r="AA729" s="63">
        <v>66.0</v>
      </c>
      <c r="AB729" s="31">
        <v>295.0</v>
      </c>
      <c r="AC729" s="32">
        <v>1.0</v>
      </c>
      <c r="AD729" s="26"/>
      <c r="AE729" s="26"/>
      <c r="AF729" s="32">
        <v>5.0</v>
      </c>
      <c r="AG729" s="37">
        <v>1.509966030917E12</v>
      </c>
      <c r="AH729" s="37" t="s">
        <v>1948</v>
      </c>
      <c r="AI729" s="38" t="s">
        <v>6117</v>
      </c>
    </row>
    <row r="730" ht="38.25" hidden="1" customHeight="1">
      <c r="A730" s="32">
        <v>724.0</v>
      </c>
      <c r="B730" s="26" t="s">
        <v>1037</v>
      </c>
      <c r="C730" s="26" t="s">
        <v>6118</v>
      </c>
      <c r="D730" s="26" t="s">
        <v>6119</v>
      </c>
      <c r="E730" s="26" t="s">
        <v>5683</v>
      </c>
      <c r="F730" s="26" t="s">
        <v>5683</v>
      </c>
      <c r="G730" s="77" t="s">
        <v>4249</v>
      </c>
      <c r="H730" s="77" t="s">
        <v>1110</v>
      </c>
      <c r="I730" s="29">
        <v>107152.0</v>
      </c>
      <c r="J730" s="29" t="s">
        <v>1125</v>
      </c>
      <c r="K730" s="27" t="s">
        <v>1137</v>
      </c>
      <c r="L730" s="25">
        <v>1.0</v>
      </c>
      <c r="M730" s="27" t="s">
        <v>1137</v>
      </c>
      <c r="N730" s="80" t="s">
        <v>1174</v>
      </c>
      <c r="O730" s="76" t="s">
        <v>5125</v>
      </c>
      <c r="P730" s="245" t="s">
        <v>5125</v>
      </c>
      <c r="Q730" s="76" t="str">
        <f t="shared" si="118"/>
        <v>กลุ่มงานเวชกรรมสังคม</v>
      </c>
      <c r="R730" s="76" t="str">
        <f t="shared" si="119"/>
        <v>ภารกิจด้านบริการปฐมภูมิ</v>
      </c>
      <c r="S730" s="26" t="s">
        <v>5126</v>
      </c>
      <c r="T730" s="26" t="s">
        <v>4063</v>
      </c>
      <c r="U730" s="26" t="s">
        <v>1302</v>
      </c>
      <c r="V730" s="25" t="s">
        <v>5127</v>
      </c>
      <c r="W730" s="26" t="s">
        <v>4064</v>
      </c>
      <c r="X730" s="25" t="s">
        <v>3935</v>
      </c>
      <c r="Y730" s="31">
        <v>5.0</v>
      </c>
      <c r="Z730" s="31">
        <v>26.0</v>
      </c>
      <c r="AA730" s="63">
        <v>66.0</v>
      </c>
      <c r="AB730" s="31">
        <v>295.0</v>
      </c>
      <c r="AC730" s="32">
        <v>1.0</v>
      </c>
      <c r="AD730" s="26"/>
      <c r="AE730" s="26"/>
      <c r="AF730" s="32">
        <v>5.0</v>
      </c>
      <c r="AG730" s="33">
        <v>1.509900048311E12</v>
      </c>
      <c r="AH730" s="33" t="s">
        <v>3735</v>
      </c>
      <c r="AI730" s="34" t="s">
        <v>6120</v>
      </c>
    </row>
    <row r="731" ht="38.25" hidden="1" customHeight="1">
      <c r="A731" s="32">
        <v>725.0</v>
      </c>
      <c r="B731" s="26" t="s">
        <v>806</v>
      </c>
      <c r="C731" s="26" t="s">
        <v>6121</v>
      </c>
      <c r="D731" s="26" t="s">
        <v>6122</v>
      </c>
      <c r="E731" s="26" t="s">
        <v>5683</v>
      </c>
      <c r="F731" s="26" t="s">
        <v>5683</v>
      </c>
      <c r="G731" s="77" t="s">
        <v>4220</v>
      </c>
      <c r="H731" s="77" t="s">
        <v>5692</v>
      </c>
      <c r="I731" s="29">
        <v>107220.0</v>
      </c>
      <c r="J731" s="29" t="s">
        <v>1125</v>
      </c>
      <c r="K731" s="27" t="s">
        <v>1137</v>
      </c>
      <c r="L731" s="25">
        <v>1.0</v>
      </c>
      <c r="M731" s="27" t="s">
        <v>1137</v>
      </c>
      <c r="N731" s="260" t="s">
        <v>3981</v>
      </c>
      <c r="O731" s="76" t="s">
        <v>6123</v>
      </c>
      <c r="P731" s="245" t="s">
        <v>6123</v>
      </c>
      <c r="Q731" s="76" t="s">
        <v>6123</v>
      </c>
      <c r="R731" s="76" t="s">
        <v>6123</v>
      </c>
      <c r="S731" s="26" t="s">
        <v>4517</v>
      </c>
      <c r="T731" s="26" t="s">
        <v>4063</v>
      </c>
      <c r="U731" s="26" t="s">
        <v>1302</v>
      </c>
      <c r="V731" s="25" t="s">
        <v>4518</v>
      </c>
      <c r="W731" s="26" t="s">
        <v>4064</v>
      </c>
      <c r="X731" s="25" t="s">
        <v>3935</v>
      </c>
      <c r="Y731" s="31">
        <v>5.0</v>
      </c>
      <c r="Z731" s="31">
        <v>26.0</v>
      </c>
      <c r="AA731" s="31">
        <v>66.0</v>
      </c>
      <c r="AB731" s="31">
        <v>295.0</v>
      </c>
      <c r="AC731" s="32">
        <v>4.0</v>
      </c>
      <c r="AD731" s="26" t="s">
        <v>6123</v>
      </c>
      <c r="AE731" s="26"/>
      <c r="AF731" s="32">
        <v>5.0</v>
      </c>
      <c r="AG731" s="61"/>
      <c r="AH731" s="61"/>
      <c r="AI731" s="62"/>
    </row>
    <row r="732" ht="38.25" hidden="1" customHeight="1">
      <c r="A732" s="32">
        <v>726.0</v>
      </c>
      <c r="B732" s="26"/>
      <c r="C732" s="26"/>
      <c r="D732" s="26"/>
      <c r="E732" s="218" t="s">
        <v>5683</v>
      </c>
      <c r="F732" s="218" t="s">
        <v>5683</v>
      </c>
      <c r="G732" s="77" t="s">
        <v>4249</v>
      </c>
      <c r="H732" s="235" t="s">
        <v>1110</v>
      </c>
      <c r="I732" s="29">
        <v>219175.0</v>
      </c>
      <c r="J732" s="29" t="s">
        <v>1125</v>
      </c>
      <c r="K732" s="222" t="s">
        <v>1137</v>
      </c>
      <c r="L732" s="222">
        <v>1.0</v>
      </c>
      <c r="M732" s="27" t="s">
        <v>1137</v>
      </c>
      <c r="N732" s="260" t="s">
        <v>3981</v>
      </c>
      <c r="O732" s="76" t="s">
        <v>4904</v>
      </c>
      <c r="P732" s="245" t="s">
        <v>4905</v>
      </c>
      <c r="Q732" s="76" t="s">
        <v>4874</v>
      </c>
      <c r="R732" s="237" t="s">
        <v>3991</v>
      </c>
      <c r="S732" s="26" t="s">
        <v>6124</v>
      </c>
      <c r="T732" s="26" t="s">
        <v>4534</v>
      </c>
      <c r="U732" s="26" t="s">
        <v>1302</v>
      </c>
      <c r="V732" s="25">
        <v>7.0</v>
      </c>
      <c r="W732" s="26" t="s">
        <v>4064</v>
      </c>
      <c r="X732" s="98" t="s">
        <v>1312</v>
      </c>
      <c r="Y732" s="31">
        <v>44.0</v>
      </c>
      <c r="Z732" s="31">
        <v>44.0</v>
      </c>
      <c r="AA732" s="31">
        <v>266.0</v>
      </c>
      <c r="AB732" s="31">
        <v>295.0</v>
      </c>
      <c r="AC732" s="264">
        <v>0.0</v>
      </c>
      <c r="AD732" s="263" t="s">
        <v>6125</v>
      </c>
      <c r="AE732" s="261"/>
      <c r="AF732" s="262">
        <v>5.0</v>
      </c>
      <c r="AG732" s="65"/>
      <c r="AH732" s="65"/>
      <c r="AI732" s="66"/>
    </row>
    <row r="733" ht="38.25" customHeight="1">
      <c r="A733" s="32">
        <v>727.0</v>
      </c>
      <c r="B733" s="26" t="s">
        <v>806</v>
      </c>
      <c r="C733" s="26" t="s">
        <v>6126</v>
      </c>
      <c r="D733" s="26" t="s">
        <v>6127</v>
      </c>
      <c r="E733" s="26" t="s">
        <v>5683</v>
      </c>
      <c r="F733" s="26" t="s">
        <v>5683</v>
      </c>
      <c r="G733" s="77" t="s">
        <v>4249</v>
      </c>
      <c r="H733" s="77" t="s">
        <v>1110</v>
      </c>
      <c r="I733" s="29">
        <v>107139.0</v>
      </c>
      <c r="J733" s="29" t="s">
        <v>1125</v>
      </c>
      <c r="K733" s="27" t="s">
        <v>1137</v>
      </c>
      <c r="L733" s="25">
        <v>1.0</v>
      </c>
      <c r="M733" s="27" t="s">
        <v>1137</v>
      </c>
      <c r="N733" s="80" t="s">
        <v>1174</v>
      </c>
      <c r="O733" s="76"/>
      <c r="P733" s="245" t="s">
        <v>4522</v>
      </c>
      <c r="Q733" s="76" t="str">
        <f t="shared" ref="Q733:Q734" si="120">+T733</f>
        <v>กลุ่มงานอาชีวเวชกรรม</v>
      </c>
      <c r="R733" s="76" t="s">
        <v>4064</v>
      </c>
      <c r="S733" s="26" t="s">
        <v>4533</v>
      </c>
      <c r="T733" s="26" t="s">
        <v>4534</v>
      </c>
      <c r="U733" s="26" t="s">
        <v>1302</v>
      </c>
      <c r="V733" s="25" t="s">
        <v>4535</v>
      </c>
      <c r="W733" s="26" t="s">
        <v>4064</v>
      </c>
      <c r="X733" s="25" t="s">
        <v>3935</v>
      </c>
      <c r="Y733" s="31">
        <v>5.0</v>
      </c>
      <c r="Z733" s="31">
        <v>17.0</v>
      </c>
      <c r="AA733" s="63">
        <v>66.0</v>
      </c>
      <c r="AB733" s="31">
        <v>295.0</v>
      </c>
      <c r="AC733" s="32">
        <v>1.0</v>
      </c>
      <c r="AD733" s="26"/>
      <c r="AE733" s="26"/>
      <c r="AF733" s="32">
        <v>5.0</v>
      </c>
      <c r="AG733" s="33">
        <v>3.500500128812E12</v>
      </c>
      <c r="AH733" s="33" t="s">
        <v>2361</v>
      </c>
      <c r="AI733" s="34" t="s">
        <v>6128</v>
      </c>
    </row>
    <row r="734" ht="38.25" customHeight="1">
      <c r="A734" s="32">
        <v>728.0</v>
      </c>
      <c r="B734" s="26" t="s">
        <v>806</v>
      </c>
      <c r="C734" s="26" t="s">
        <v>6129</v>
      </c>
      <c r="D734" s="26" t="s">
        <v>6130</v>
      </c>
      <c r="E734" s="26" t="s">
        <v>5683</v>
      </c>
      <c r="F734" s="26" t="s">
        <v>5683</v>
      </c>
      <c r="G734" s="27" t="s">
        <v>4220</v>
      </c>
      <c r="H734" s="77" t="s">
        <v>5692</v>
      </c>
      <c r="I734" s="29">
        <v>154937.0</v>
      </c>
      <c r="J734" s="29" t="s">
        <v>1125</v>
      </c>
      <c r="K734" s="27" t="s">
        <v>1137</v>
      </c>
      <c r="L734" s="25">
        <v>1.0</v>
      </c>
      <c r="M734" s="27" t="s">
        <v>1137</v>
      </c>
      <c r="N734" s="30" t="s">
        <v>1174</v>
      </c>
      <c r="O734" s="26"/>
      <c r="P734" s="245" t="s">
        <v>4522</v>
      </c>
      <c r="Q734" s="26" t="str">
        <f t="shared" si="120"/>
        <v>กลุ่มงานอาชีวเวชกรรม</v>
      </c>
      <c r="R734" s="76" t="s">
        <v>4064</v>
      </c>
      <c r="S734" s="26" t="s">
        <v>4533</v>
      </c>
      <c r="T734" s="26" t="s">
        <v>4534</v>
      </c>
      <c r="U734" s="26" t="s">
        <v>1302</v>
      </c>
      <c r="V734" s="25" t="s">
        <v>4535</v>
      </c>
      <c r="W734" s="26" t="s">
        <v>4064</v>
      </c>
      <c r="X734" s="25" t="s">
        <v>3935</v>
      </c>
      <c r="Y734" s="31">
        <v>5.0</v>
      </c>
      <c r="Z734" s="31">
        <v>17.0</v>
      </c>
      <c r="AA734" s="63">
        <v>66.0</v>
      </c>
      <c r="AB734" s="31">
        <v>295.0</v>
      </c>
      <c r="AC734" s="32">
        <v>1.0</v>
      </c>
      <c r="AD734" s="26"/>
      <c r="AE734" s="26"/>
      <c r="AF734" s="32">
        <v>5.0</v>
      </c>
      <c r="AG734" s="37">
        <v>3.350300532212E12</v>
      </c>
      <c r="AH734" s="37" t="s">
        <v>1980</v>
      </c>
      <c r="AI734" s="44">
        <v>227375.0</v>
      </c>
    </row>
    <row r="735" ht="38.25" hidden="1" customHeight="1">
      <c r="A735" s="32">
        <v>729.0</v>
      </c>
      <c r="B735" s="26" t="s">
        <v>806</v>
      </c>
      <c r="C735" s="26" t="s">
        <v>6131</v>
      </c>
      <c r="D735" s="26" t="s">
        <v>6132</v>
      </c>
      <c r="E735" s="26" t="s">
        <v>5683</v>
      </c>
      <c r="F735" s="26" t="s">
        <v>5683</v>
      </c>
      <c r="G735" s="77" t="s">
        <v>4220</v>
      </c>
      <c r="H735" s="27" t="s">
        <v>5692</v>
      </c>
      <c r="I735" s="29">
        <v>114005.0</v>
      </c>
      <c r="J735" s="29" t="s">
        <v>1125</v>
      </c>
      <c r="K735" s="27" t="s">
        <v>1137</v>
      </c>
      <c r="L735" s="25">
        <v>1.0</v>
      </c>
      <c r="M735" s="27" t="s">
        <v>1137</v>
      </c>
      <c r="N735" s="260" t="s">
        <v>3981</v>
      </c>
      <c r="O735" s="76" t="s">
        <v>6133</v>
      </c>
      <c r="P735" s="245" t="s">
        <v>6133</v>
      </c>
      <c r="Q735" s="76" t="s">
        <v>6133</v>
      </c>
      <c r="R735" s="76" t="s">
        <v>6133</v>
      </c>
      <c r="S735" s="26" t="s">
        <v>4533</v>
      </c>
      <c r="T735" s="26" t="s">
        <v>4534</v>
      </c>
      <c r="U735" s="26" t="s">
        <v>1302</v>
      </c>
      <c r="V735" s="25" t="s">
        <v>4535</v>
      </c>
      <c r="W735" s="26" t="s">
        <v>4064</v>
      </c>
      <c r="X735" s="25" t="s">
        <v>3935</v>
      </c>
      <c r="Y735" s="31">
        <v>5.0</v>
      </c>
      <c r="Z735" s="31">
        <v>17.0</v>
      </c>
      <c r="AA735" s="31">
        <v>66.0</v>
      </c>
      <c r="AB735" s="31">
        <v>295.0</v>
      </c>
      <c r="AC735" s="32">
        <v>4.0</v>
      </c>
      <c r="AD735" s="26" t="s">
        <v>6133</v>
      </c>
      <c r="AE735" s="26"/>
      <c r="AF735" s="32">
        <v>5.0</v>
      </c>
      <c r="AG735" s="33">
        <v>3.560100868967E12</v>
      </c>
      <c r="AH735" s="33" t="s">
        <v>35</v>
      </c>
      <c r="AI735" s="40">
        <v>226243.0</v>
      </c>
    </row>
    <row r="736" ht="38.25" hidden="1" customHeight="1">
      <c r="A736" s="32">
        <v>730.0</v>
      </c>
      <c r="B736" s="86" t="s">
        <v>1037</v>
      </c>
      <c r="C736" s="86" t="s">
        <v>4185</v>
      </c>
      <c r="D736" s="86" t="s">
        <v>6134</v>
      </c>
      <c r="E736" s="86" t="s">
        <v>5683</v>
      </c>
      <c r="F736" s="86" t="s">
        <v>5683</v>
      </c>
      <c r="G736" s="114" t="s">
        <v>4249</v>
      </c>
      <c r="H736" s="258" t="s">
        <v>1110</v>
      </c>
      <c r="I736" s="84">
        <v>203252.0</v>
      </c>
      <c r="J736" s="84" t="s">
        <v>1125</v>
      </c>
      <c r="K736" s="241" t="s">
        <v>1137</v>
      </c>
      <c r="L736" s="241">
        <v>1.0</v>
      </c>
      <c r="M736" s="27" t="s">
        <v>1137</v>
      </c>
      <c r="N736" s="116" t="s">
        <v>3981</v>
      </c>
      <c r="O736" s="113" t="s">
        <v>5805</v>
      </c>
      <c r="P736" s="242" t="s">
        <v>4873</v>
      </c>
      <c r="Q736" s="113" t="s">
        <v>4874</v>
      </c>
      <c r="R736" s="113" t="s">
        <v>3991</v>
      </c>
      <c r="S736" s="82" t="s">
        <v>4874</v>
      </c>
      <c r="T736" s="86" t="s">
        <v>6135</v>
      </c>
      <c r="U736" s="86" t="s">
        <v>6136</v>
      </c>
      <c r="V736" s="85">
        <v>7.0</v>
      </c>
      <c r="W736" s="86" t="s">
        <v>3991</v>
      </c>
      <c r="X736" s="243" t="s">
        <v>1312</v>
      </c>
      <c r="Y736" s="31">
        <v>44.0</v>
      </c>
      <c r="Z736" s="31">
        <v>44.0</v>
      </c>
      <c r="AA736" s="31">
        <v>266.0</v>
      </c>
      <c r="AB736" s="31">
        <v>295.0</v>
      </c>
      <c r="AC736" s="88">
        <v>1.0</v>
      </c>
      <c r="AD736" s="86"/>
      <c r="AE736" s="82"/>
      <c r="AF736" s="88">
        <v>5.0</v>
      </c>
      <c r="AG736" s="33">
        <v>1.509901555578E12</v>
      </c>
      <c r="AH736" s="33" t="s">
        <v>1217</v>
      </c>
      <c r="AI736" s="40">
        <v>233149.0</v>
      </c>
    </row>
    <row r="737" ht="38.25" hidden="1" customHeight="1">
      <c r="A737" s="32">
        <v>731.0</v>
      </c>
      <c r="B737" s="218" t="s">
        <v>1037</v>
      </c>
      <c r="C737" s="218" t="s">
        <v>6137</v>
      </c>
      <c r="D737" s="218" t="s">
        <v>6138</v>
      </c>
      <c r="E737" s="218" t="s">
        <v>5683</v>
      </c>
      <c r="F737" s="218" t="s">
        <v>5683</v>
      </c>
      <c r="G737" s="234" t="s">
        <v>1110</v>
      </c>
      <c r="H737" s="77" t="s">
        <v>1110</v>
      </c>
      <c r="I737" s="29">
        <v>4464.0</v>
      </c>
      <c r="J737" s="29" t="s">
        <v>1535</v>
      </c>
      <c r="K737" s="222" t="s">
        <v>1137</v>
      </c>
      <c r="L737" s="222">
        <v>1.0</v>
      </c>
      <c r="M737" s="27" t="s">
        <v>1137</v>
      </c>
      <c r="N737" s="239" t="s">
        <v>3981</v>
      </c>
      <c r="O737" s="237" t="s">
        <v>5805</v>
      </c>
      <c r="P737" s="238" t="s">
        <v>4873</v>
      </c>
      <c r="Q737" s="237" t="s">
        <v>4874</v>
      </c>
      <c r="R737" s="237" t="s">
        <v>3991</v>
      </c>
      <c r="S737" s="26" t="str">
        <f t="shared" ref="S737:S787" si="121">+T737</f>
        <v>กลุ่มงานการพยาบาลจิตเวช</v>
      </c>
      <c r="T737" s="218" t="s">
        <v>5691</v>
      </c>
      <c r="U737" s="26" t="s">
        <v>1302</v>
      </c>
      <c r="V737" s="25">
        <v>7.0</v>
      </c>
      <c r="W737" s="218" t="s">
        <v>3991</v>
      </c>
      <c r="X737" s="98" t="s">
        <v>1312</v>
      </c>
      <c r="Y737" s="31">
        <v>44.0</v>
      </c>
      <c r="Z737" s="31">
        <v>44.0</v>
      </c>
      <c r="AA737" s="31">
        <v>266.0</v>
      </c>
      <c r="AB737" s="31">
        <v>295.0</v>
      </c>
      <c r="AC737" s="32">
        <v>1.0</v>
      </c>
      <c r="AD737" s="26"/>
      <c r="AE737" s="26"/>
      <c r="AF737" s="32">
        <v>5.0</v>
      </c>
      <c r="AG737" s="37">
        <v>1.500701266507E12</v>
      </c>
      <c r="AH737" s="37" t="s">
        <v>1944</v>
      </c>
      <c r="AI737" s="38" t="s">
        <v>4287</v>
      </c>
    </row>
    <row r="738" ht="38.25" hidden="1" customHeight="1">
      <c r="A738" s="32">
        <v>732.0</v>
      </c>
      <c r="B738" s="218" t="s">
        <v>1037</v>
      </c>
      <c r="C738" s="218" t="s">
        <v>6139</v>
      </c>
      <c r="D738" s="218" t="s">
        <v>6140</v>
      </c>
      <c r="E738" s="218" t="s">
        <v>5683</v>
      </c>
      <c r="F738" s="218" t="s">
        <v>5683</v>
      </c>
      <c r="G738" s="234" t="s">
        <v>1110</v>
      </c>
      <c r="H738" s="27" t="s">
        <v>1110</v>
      </c>
      <c r="I738" s="29">
        <v>4465.0</v>
      </c>
      <c r="J738" s="29" t="s">
        <v>1535</v>
      </c>
      <c r="K738" s="222" t="s">
        <v>1137</v>
      </c>
      <c r="L738" s="222">
        <v>1.0</v>
      </c>
      <c r="M738" s="27" t="s">
        <v>1137</v>
      </c>
      <c r="N738" s="239" t="s">
        <v>3981</v>
      </c>
      <c r="O738" s="237" t="s">
        <v>4904</v>
      </c>
      <c r="P738" s="238" t="s">
        <v>4905</v>
      </c>
      <c r="Q738" s="237" t="s">
        <v>4874</v>
      </c>
      <c r="R738" s="237" t="s">
        <v>3991</v>
      </c>
      <c r="S738" s="26" t="str">
        <f t="shared" si="121"/>
        <v>กลุ่มงานการพยาบาลจิตเวช</v>
      </c>
      <c r="T738" s="218" t="s">
        <v>5691</v>
      </c>
      <c r="U738" s="26" t="s">
        <v>1302</v>
      </c>
      <c r="V738" s="25">
        <v>7.0</v>
      </c>
      <c r="W738" s="218" t="s">
        <v>3991</v>
      </c>
      <c r="X738" s="98" t="s">
        <v>1312</v>
      </c>
      <c r="Y738" s="31">
        <v>44.0</v>
      </c>
      <c r="Z738" s="31">
        <v>44.0</v>
      </c>
      <c r="AA738" s="31">
        <v>266.0</v>
      </c>
      <c r="AB738" s="31">
        <v>295.0</v>
      </c>
      <c r="AC738" s="32">
        <v>1.0</v>
      </c>
      <c r="AD738" s="26"/>
      <c r="AE738" s="26"/>
      <c r="AF738" s="32">
        <v>5.0</v>
      </c>
      <c r="AG738" s="33">
        <v>1.420900255603E12</v>
      </c>
      <c r="AH738" s="33" t="s">
        <v>911</v>
      </c>
      <c r="AI738" s="34" t="s">
        <v>6141</v>
      </c>
    </row>
    <row r="739" ht="38.25" hidden="1" customHeight="1">
      <c r="A739" s="32">
        <v>733.0</v>
      </c>
      <c r="B739" s="218" t="s">
        <v>1037</v>
      </c>
      <c r="C739" s="218" t="s">
        <v>4954</v>
      </c>
      <c r="D739" s="218" t="s">
        <v>6142</v>
      </c>
      <c r="E739" s="218" t="s">
        <v>5683</v>
      </c>
      <c r="F739" s="218" t="s">
        <v>5683</v>
      </c>
      <c r="G739" s="234" t="s">
        <v>1110</v>
      </c>
      <c r="H739" s="27" t="s">
        <v>1110</v>
      </c>
      <c r="I739" s="29">
        <v>4486.0</v>
      </c>
      <c r="J739" s="29" t="s">
        <v>1535</v>
      </c>
      <c r="K739" s="222" t="s">
        <v>1137</v>
      </c>
      <c r="L739" s="222">
        <v>1.0</v>
      </c>
      <c r="M739" s="27" t="s">
        <v>1137</v>
      </c>
      <c r="N739" s="236" t="s">
        <v>1174</v>
      </c>
      <c r="O739" s="237" t="s">
        <v>5766</v>
      </c>
      <c r="P739" s="238" t="s">
        <v>4027</v>
      </c>
      <c r="Q739" s="237" t="s">
        <v>4028</v>
      </c>
      <c r="R739" s="237" t="s">
        <v>3991</v>
      </c>
      <c r="S739" s="26" t="str">
        <f t="shared" si="121"/>
        <v>กลุ่มงานการพยาบาลตรวจรักษาพิเศษ</v>
      </c>
      <c r="T739" s="218" t="s">
        <v>4028</v>
      </c>
      <c r="U739" s="26" t="s">
        <v>1302</v>
      </c>
      <c r="V739" s="25">
        <v>15.0</v>
      </c>
      <c r="W739" s="218" t="s">
        <v>3991</v>
      </c>
      <c r="X739" s="98" t="s">
        <v>1312</v>
      </c>
      <c r="Y739" s="31">
        <v>24.0</v>
      </c>
      <c r="Z739" s="31">
        <v>24.0</v>
      </c>
      <c r="AA739" s="31">
        <v>266.0</v>
      </c>
      <c r="AB739" s="31">
        <v>295.0</v>
      </c>
      <c r="AC739" s="32">
        <v>1.0</v>
      </c>
      <c r="AD739" s="26"/>
      <c r="AE739" s="26"/>
      <c r="AF739" s="32">
        <v>5.0</v>
      </c>
      <c r="AG739" s="37">
        <v>1.560100451687E12</v>
      </c>
      <c r="AH739" s="37" t="s">
        <v>1645</v>
      </c>
      <c r="AI739" s="38" t="s">
        <v>6143</v>
      </c>
    </row>
    <row r="740" ht="38.25" hidden="1" customHeight="1">
      <c r="A740" s="32">
        <v>734.0</v>
      </c>
      <c r="B740" s="218" t="s">
        <v>1037</v>
      </c>
      <c r="C740" s="218" t="s">
        <v>6144</v>
      </c>
      <c r="D740" s="218" t="s">
        <v>6145</v>
      </c>
      <c r="E740" s="218" t="s">
        <v>5683</v>
      </c>
      <c r="F740" s="218" t="s">
        <v>5683</v>
      </c>
      <c r="G740" s="234" t="s">
        <v>1110</v>
      </c>
      <c r="H740" s="27" t="s">
        <v>1110</v>
      </c>
      <c r="I740" s="29">
        <v>4436.0</v>
      </c>
      <c r="J740" s="29" t="s">
        <v>1535</v>
      </c>
      <c r="K740" s="222" t="s">
        <v>1137</v>
      </c>
      <c r="L740" s="222">
        <v>1.0</v>
      </c>
      <c r="M740" s="27" t="s">
        <v>1137</v>
      </c>
      <c r="N740" s="239" t="s">
        <v>3981</v>
      </c>
      <c r="O740" s="237" t="s">
        <v>5766</v>
      </c>
      <c r="P740" s="238" t="s">
        <v>4027</v>
      </c>
      <c r="Q740" s="237" t="s">
        <v>4028</v>
      </c>
      <c r="R740" s="237" t="s">
        <v>3991</v>
      </c>
      <c r="S740" s="26" t="str">
        <f t="shared" si="121"/>
        <v>กลุ่มงานการพยาบาลผู้คลอด</v>
      </c>
      <c r="T740" s="218" t="s">
        <v>5115</v>
      </c>
      <c r="U740" s="26" t="s">
        <v>1302</v>
      </c>
      <c r="V740" s="25">
        <v>15.0</v>
      </c>
      <c r="W740" s="218" t="s">
        <v>3991</v>
      </c>
      <c r="X740" s="98" t="s">
        <v>1312</v>
      </c>
      <c r="Y740" s="31">
        <v>24.0</v>
      </c>
      <c r="Z740" s="31">
        <v>24.0</v>
      </c>
      <c r="AA740" s="31">
        <v>266.0</v>
      </c>
      <c r="AB740" s="31">
        <v>295.0</v>
      </c>
      <c r="AC740" s="32">
        <v>1.0</v>
      </c>
      <c r="AD740" s="26"/>
      <c r="AE740" s="26"/>
      <c r="AF740" s="32">
        <v>5.0</v>
      </c>
      <c r="AG740" s="33">
        <v>1.509963061854E12</v>
      </c>
      <c r="AH740" s="33" t="s">
        <v>1952</v>
      </c>
      <c r="AI740" s="34" t="s">
        <v>6146</v>
      </c>
    </row>
    <row r="741" ht="38.25" hidden="1" customHeight="1">
      <c r="A741" s="32">
        <v>735.0</v>
      </c>
      <c r="B741" s="218" t="s">
        <v>1037</v>
      </c>
      <c r="C741" s="218" t="s">
        <v>6126</v>
      </c>
      <c r="D741" s="218" t="s">
        <v>6147</v>
      </c>
      <c r="E741" s="218" t="s">
        <v>5683</v>
      </c>
      <c r="F741" s="218" t="s">
        <v>5683</v>
      </c>
      <c r="G741" s="234" t="s">
        <v>1110</v>
      </c>
      <c r="H741" s="27" t="s">
        <v>1110</v>
      </c>
      <c r="I741" s="29">
        <v>4435.0</v>
      </c>
      <c r="J741" s="29" t="s">
        <v>1535</v>
      </c>
      <c r="K741" s="222" t="s">
        <v>1137</v>
      </c>
      <c r="L741" s="222">
        <v>1.0</v>
      </c>
      <c r="M741" s="27" t="s">
        <v>1137</v>
      </c>
      <c r="N741" s="239" t="s">
        <v>3981</v>
      </c>
      <c r="O741" s="237" t="s">
        <v>5173</v>
      </c>
      <c r="P741" s="238" t="s">
        <v>4918</v>
      </c>
      <c r="Q741" s="237" t="s">
        <v>4919</v>
      </c>
      <c r="R741" s="237" t="s">
        <v>3991</v>
      </c>
      <c r="S741" s="26" t="str">
        <f t="shared" si="121"/>
        <v>กลุ่มงานการพยาบาลผู้คลอด</v>
      </c>
      <c r="T741" s="218" t="s">
        <v>5115</v>
      </c>
      <c r="U741" s="26" t="s">
        <v>1302</v>
      </c>
      <c r="V741" s="25">
        <v>9.0</v>
      </c>
      <c r="W741" s="218" t="s">
        <v>3991</v>
      </c>
      <c r="X741" s="98" t="s">
        <v>1312</v>
      </c>
      <c r="Y741" s="31">
        <v>9.0</v>
      </c>
      <c r="Z741" s="31">
        <v>12.0</v>
      </c>
      <c r="AA741" s="31">
        <v>266.0</v>
      </c>
      <c r="AB741" s="31">
        <v>295.0</v>
      </c>
      <c r="AC741" s="32">
        <v>1.0</v>
      </c>
      <c r="AD741" s="26"/>
      <c r="AE741" s="26"/>
      <c r="AF741" s="32">
        <v>5.0</v>
      </c>
      <c r="AG741" s="37">
        <v>1.509600001441E12</v>
      </c>
      <c r="AH741" s="37" t="s">
        <v>1401</v>
      </c>
      <c r="AI741" s="44">
        <v>235529.0</v>
      </c>
    </row>
    <row r="742" ht="38.25" hidden="1" customHeight="1">
      <c r="A742" s="32">
        <v>736.0</v>
      </c>
      <c r="B742" s="218" t="s">
        <v>1037</v>
      </c>
      <c r="C742" s="218" t="s">
        <v>6148</v>
      </c>
      <c r="D742" s="218" t="s">
        <v>6149</v>
      </c>
      <c r="E742" s="218" t="s">
        <v>5683</v>
      </c>
      <c r="F742" s="218" t="s">
        <v>5683</v>
      </c>
      <c r="G742" s="234" t="s">
        <v>1110</v>
      </c>
      <c r="H742" s="27" t="s">
        <v>1110</v>
      </c>
      <c r="I742" s="29">
        <v>4437.0</v>
      </c>
      <c r="J742" s="29" t="s">
        <v>1535</v>
      </c>
      <c r="K742" s="222" t="s">
        <v>1137</v>
      </c>
      <c r="L742" s="222">
        <v>1.0</v>
      </c>
      <c r="M742" s="27" t="s">
        <v>1137</v>
      </c>
      <c r="N742" s="239" t="s">
        <v>3981</v>
      </c>
      <c r="O742" s="237" t="s">
        <v>5173</v>
      </c>
      <c r="P742" s="238" t="s">
        <v>4918</v>
      </c>
      <c r="Q742" s="237" t="s">
        <v>4919</v>
      </c>
      <c r="R742" s="237" t="s">
        <v>3991</v>
      </c>
      <c r="S742" s="26" t="str">
        <f t="shared" si="121"/>
        <v>กลุ่มงานการพยาบาลผู้คลอด</v>
      </c>
      <c r="T742" s="218" t="s">
        <v>5115</v>
      </c>
      <c r="U742" s="26" t="s">
        <v>1302</v>
      </c>
      <c r="V742" s="25">
        <v>9.0</v>
      </c>
      <c r="W742" s="218" t="s">
        <v>3991</v>
      </c>
      <c r="X742" s="98" t="s">
        <v>1312</v>
      </c>
      <c r="Y742" s="31">
        <v>9.0</v>
      </c>
      <c r="Z742" s="31">
        <v>12.0</v>
      </c>
      <c r="AA742" s="31">
        <v>266.0</v>
      </c>
      <c r="AB742" s="31">
        <v>295.0</v>
      </c>
      <c r="AC742" s="32">
        <v>1.0</v>
      </c>
      <c r="AD742" s="26"/>
      <c r="AE742" s="26"/>
      <c r="AF742" s="32">
        <v>5.0</v>
      </c>
      <c r="AG742" s="33">
        <v>1.550701178292E12</v>
      </c>
      <c r="AH742" s="33" t="s">
        <v>1397</v>
      </c>
      <c r="AI742" s="34" t="s">
        <v>6150</v>
      </c>
    </row>
    <row r="743" ht="38.25" hidden="1" customHeight="1">
      <c r="A743" s="32">
        <v>737.0</v>
      </c>
      <c r="B743" s="218"/>
      <c r="C743" s="218"/>
      <c r="D743" s="218"/>
      <c r="E743" s="218" t="s">
        <v>5683</v>
      </c>
      <c r="F743" s="218" t="s">
        <v>5683</v>
      </c>
      <c r="G743" s="234" t="s">
        <v>1110</v>
      </c>
      <c r="H743" s="27" t="s">
        <v>1110</v>
      </c>
      <c r="I743" s="29">
        <v>4466.0</v>
      </c>
      <c r="J743" s="29" t="s">
        <v>1535</v>
      </c>
      <c r="K743" s="222" t="s">
        <v>1137</v>
      </c>
      <c r="L743" s="222">
        <v>1.0</v>
      </c>
      <c r="M743" s="27" t="s">
        <v>1137</v>
      </c>
      <c r="N743" s="239" t="s">
        <v>3981</v>
      </c>
      <c r="O743" s="237" t="s">
        <v>4789</v>
      </c>
      <c r="P743" s="238" t="s">
        <v>4886</v>
      </c>
      <c r="Q743" s="237" t="s">
        <v>4887</v>
      </c>
      <c r="R743" s="237" t="s">
        <v>3991</v>
      </c>
      <c r="S743" s="26" t="str">
        <f t="shared" si="121"/>
        <v>กลุ่มงานการพยาบาลผู้ป่วยกุมารเวชกรรม</v>
      </c>
      <c r="T743" s="218" t="s">
        <v>4879</v>
      </c>
      <c r="U743" s="26" t="s">
        <v>1302</v>
      </c>
      <c r="V743" s="25">
        <v>2.0</v>
      </c>
      <c r="W743" s="218" t="s">
        <v>3991</v>
      </c>
      <c r="X743" s="98" t="s">
        <v>1312</v>
      </c>
      <c r="Y743" s="31">
        <v>25.0</v>
      </c>
      <c r="Z743" s="31">
        <v>25.0</v>
      </c>
      <c r="AA743" s="31">
        <v>266.0</v>
      </c>
      <c r="AB743" s="31">
        <v>295.0</v>
      </c>
      <c r="AC743" s="89">
        <v>0.0</v>
      </c>
      <c r="AD743" s="26" t="s">
        <v>4155</v>
      </c>
      <c r="AE743" s="26"/>
      <c r="AF743" s="32">
        <v>5.0</v>
      </c>
      <c r="AG743" s="65"/>
      <c r="AH743" s="65"/>
      <c r="AI743" s="66"/>
    </row>
    <row r="744" ht="38.25" hidden="1" customHeight="1">
      <c r="A744" s="32">
        <v>738.0</v>
      </c>
      <c r="B744" s="218" t="s">
        <v>1037</v>
      </c>
      <c r="C744" s="218" t="s">
        <v>6151</v>
      </c>
      <c r="D744" s="218" t="s">
        <v>6152</v>
      </c>
      <c r="E744" s="218" t="s">
        <v>5683</v>
      </c>
      <c r="F744" s="218" t="s">
        <v>5683</v>
      </c>
      <c r="G744" s="234" t="s">
        <v>1110</v>
      </c>
      <c r="H744" s="77" t="s">
        <v>1110</v>
      </c>
      <c r="I744" s="29">
        <v>4407.0</v>
      </c>
      <c r="J744" s="29" t="s">
        <v>1535</v>
      </c>
      <c r="K744" s="222" t="s">
        <v>1137</v>
      </c>
      <c r="L744" s="222">
        <v>1.0</v>
      </c>
      <c r="M744" s="27" t="s">
        <v>1137</v>
      </c>
      <c r="N744" s="236" t="s">
        <v>1174</v>
      </c>
      <c r="O744" s="237" t="s">
        <v>4789</v>
      </c>
      <c r="P744" s="238" t="s">
        <v>4886</v>
      </c>
      <c r="Q744" s="224" t="s">
        <v>4887</v>
      </c>
      <c r="R744" s="237" t="s">
        <v>3991</v>
      </c>
      <c r="S744" s="26" t="str">
        <f t="shared" si="121"/>
        <v>กลุ่มงานการพยาบาลผู้ป่วยนอก</v>
      </c>
      <c r="T744" s="218" t="s">
        <v>4887</v>
      </c>
      <c r="U744" s="26" t="s">
        <v>1302</v>
      </c>
      <c r="V744" s="25">
        <v>2.0</v>
      </c>
      <c r="W744" s="218" t="s">
        <v>3991</v>
      </c>
      <c r="X744" s="98" t="s">
        <v>1312</v>
      </c>
      <c r="Y744" s="31">
        <v>25.0</v>
      </c>
      <c r="Z744" s="31">
        <v>25.0</v>
      </c>
      <c r="AA744" s="31">
        <v>266.0</v>
      </c>
      <c r="AB744" s="31">
        <v>295.0</v>
      </c>
      <c r="AC744" s="32">
        <v>1.0</v>
      </c>
      <c r="AD744" s="26"/>
      <c r="AE744" s="26"/>
      <c r="AF744" s="32">
        <v>5.0</v>
      </c>
      <c r="AG744" s="33">
        <v>1.104300338555E12</v>
      </c>
      <c r="AH744" s="33" t="s">
        <v>1747</v>
      </c>
      <c r="AI744" s="40">
        <v>235044.0</v>
      </c>
    </row>
    <row r="745" ht="38.25" hidden="1" customHeight="1">
      <c r="A745" s="32">
        <v>739.0</v>
      </c>
      <c r="B745" s="218" t="s">
        <v>1037</v>
      </c>
      <c r="C745" s="218" t="s">
        <v>6153</v>
      </c>
      <c r="D745" s="218" t="s">
        <v>6154</v>
      </c>
      <c r="E745" s="218" t="s">
        <v>5683</v>
      </c>
      <c r="F745" s="218" t="s">
        <v>5683</v>
      </c>
      <c r="G745" s="234" t="s">
        <v>1110</v>
      </c>
      <c r="H745" s="27" t="s">
        <v>1110</v>
      </c>
      <c r="I745" s="29">
        <v>4405.0</v>
      </c>
      <c r="J745" s="29" t="s">
        <v>1535</v>
      </c>
      <c r="K745" s="222" t="s">
        <v>1137</v>
      </c>
      <c r="L745" s="222">
        <v>1.0</v>
      </c>
      <c r="M745" s="27" t="s">
        <v>1137</v>
      </c>
      <c r="N745" s="236" t="s">
        <v>1174</v>
      </c>
      <c r="O745" s="237" t="s">
        <v>4789</v>
      </c>
      <c r="P745" s="238" t="s">
        <v>4886</v>
      </c>
      <c r="Q745" s="224" t="s">
        <v>4887</v>
      </c>
      <c r="R745" s="237" t="s">
        <v>3991</v>
      </c>
      <c r="S745" s="26" t="str">
        <f t="shared" si="121"/>
        <v>กลุ่มงานการพยาบาลผู้ป่วยนอก</v>
      </c>
      <c r="T745" s="218" t="s">
        <v>4887</v>
      </c>
      <c r="U745" s="26" t="s">
        <v>1302</v>
      </c>
      <c r="V745" s="25">
        <v>2.0</v>
      </c>
      <c r="W745" s="218" t="s">
        <v>3991</v>
      </c>
      <c r="X745" s="98" t="s">
        <v>1312</v>
      </c>
      <c r="Y745" s="31">
        <v>25.0</v>
      </c>
      <c r="Z745" s="31">
        <v>25.0</v>
      </c>
      <c r="AA745" s="31">
        <v>266.0</v>
      </c>
      <c r="AB745" s="31">
        <v>295.0</v>
      </c>
      <c r="AC745" s="32">
        <v>1.0</v>
      </c>
      <c r="AD745" s="26"/>
      <c r="AE745" s="26"/>
      <c r="AF745" s="32">
        <v>5.0</v>
      </c>
      <c r="AG745" s="37">
        <v>1.500601130751E12</v>
      </c>
      <c r="AH745" s="37" t="s">
        <v>1742</v>
      </c>
      <c r="AI745" s="38" t="s">
        <v>6155</v>
      </c>
    </row>
    <row r="746" ht="38.25" hidden="1" customHeight="1">
      <c r="A746" s="32">
        <v>740.0</v>
      </c>
      <c r="B746" s="218"/>
      <c r="C746" s="218"/>
      <c r="D746" s="218"/>
      <c r="E746" s="218" t="s">
        <v>5683</v>
      </c>
      <c r="F746" s="218" t="s">
        <v>5683</v>
      </c>
      <c r="G746" s="234" t="s">
        <v>1110</v>
      </c>
      <c r="H746" s="27" t="s">
        <v>1110</v>
      </c>
      <c r="I746" s="29">
        <v>4404.0</v>
      </c>
      <c r="J746" s="29" t="s">
        <v>1535</v>
      </c>
      <c r="K746" s="222" t="s">
        <v>1137</v>
      </c>
      <c r="L746" s="222">
        <v>1.0</v>
      </c>
      <c r="M746" s="27" t="s">
        <v>1137</v>
      </c>
      <c r="N746" s="236" t="s">
        <v>1174</v>
      </c>
      <c r="O746" s="237" t="s">
        <v>4789</v>
      </c>
      <c r="P746" s="238" t="s">
        <v>4886</v>
      </c>
      <c r="Q746" s="237" t="s">
        <v>4887</v>
      </c>
      <c r="R746" s="237" t="s">
        <v>3991</v>
      </c>
      <c r="S746" s="26" t="str">
        <f t="shared" si="121"/>
        <v>กลุ่มงานการพยาบาลผู้ป่วยนอก</v>
      </c>
      <c r="T746" s="218" t="s">
        <v>4887</v>
      </c>
      <c r="U746" s="26" t="s">
        <v>1302</v>
      </c>
      <c r="V746" s="25">
        <v>2.0</v>
      </c>
      <c r="W746" s="218" t="s">
        <v>3991</v>
      </c>
      <c r="X746" s="98" t="s">
        <v>1312</v>
      </c>
      <c r="Y746" s="31">
        <v>25.0</v>
      </c>
      <c r="Z746" s="31">
        <v>25.0</v>
      </c>
      <c r="AA746" s="31">
        <v>266.0</v>
      </c>
      <c r="AB746" s="31">
        <v>295.0</v>
      </c>
      <c r="AC746" s="32">
        <v>1.0</v>
      </c>
      <c r="AD746" s="26"/>
      <c r="AE746" s="26"/>
      <c r="AF746" s="32">
        <v>5.0</v>
      </c>
      <c r="AG746" s="46"/>
      <c r="AH746" s="46"/>
      <c r="AI746" s="47"/>
    </row>
    <row r="747" ht="38.25" hidden="1" customHeight="1">
      <c r="A747" s="32">
        <v>741.0</v>
      </c>
      <c r="B747" s="218" t="s">
        <v>1037</v>
      </c>
      <c r="C747" s="218" t="s">
        <v>6156</v>
      </c>
      <c r="D747" s="218" t="s">
        <v>4261</v>
      </c>
      <c r="E747" s="218" t="s">
        <v>5683</v>
      </c>
      <c r="F747" s="218" t="s">
        <v>5683</v>
      </c>
      <c r="G747" s="234" t="s">
        <v>1110</v>
      </c>
      <c r="H747" s="77" t="s">
        <v>1110</v>
      </c>
      <c r="I747" s="29">
        <v>4419.0</v>
      </c>
      <c r="J747" s="29" t="s">
        <v>1535</v>
      </c>
      <c r="K747" s="222" t="s">
        <v>1137</v>
      </c>
      <c r="L747" s="222">
        <v>1.0</v>
      </c>
      <c r="M747" s="27" t="s">
        <v>1137</v>
      </c>
      <c r="N747" s="239" t="s">
        <v>3981</v>
      </c>
      <c r="O747" s="237" t="s">
        <v>4789</v>
      </c>
      <c r="P747" s="238" t="s">
        <v>4886</v>
      </c>
      <c r="Q747" s="237" t="s">
        <v>4887</v>
      </c>
      <c r="R747" s="237" t="s">
        <v>3991</v>
      </c>
      <c r="S747" s="26" t="str">
        <f t="shared" si="121"/>
        <v>กลุ่มงานการพยาบาลผู้ป่วยหนัก</v>
      </c>
      <c r="T747" s="218" t="s">
        <v>4959</v>
      </c>
      <c r="U747" s="26" t="s">
        <v>1302</v>
      </c>
      <c r="V747" s="25">
        <v>2.0</v>
      </c>
      <c r="W747" s="218" t="s">
        <v>3991</v>
      </c>
      <c r="X747" s="98" t="s">
        <v>1312</v>
      </c>
      <c r="Y747" s="31">
        <v>25.0</v>
      </c>
      <c r="Z747" s="31">
        <v>25.0</v>
      </c>
      <c r="AA747" s="31">
        <v>266.0</v>
      </c>
      <c r="AB747" s="31">
        <v>295.0</v>
      </c>
      <c r="AC747" s="32">
        <v>1.0</v>
      </c>
      <c r="AD747" s="26"/>
      <c r="AE747" s="26"/>
      <c r="AF747" s="32">
        <v>5.0</v>
      </c>
      <c r="AG747" s="37">
        <v>1.500701297011E12</v>
      </c>
      <c r="AH747" s="37" t="s">
        <v>1412</v>
      </c>
      <c r="AI747" s="38" t="s">
        <v>6157</v>
      </c>
    </row>
    <row r="748" ht="38.25" hidden="1" customHeight="1">
      <c r="A748" s="32">
        <v>742.0</v>
      </c>
      <c r="B748" s="218" t="s">
        <v>1037</v>
      </c>
      <c r="C748" s="218" t="s">
        <v>6158</v>
      </c>
      <c r="D748" s="218" t="s">
        <v>6159</v>
      </c>
      <c r="E748" s="218" t="s">
        <v>5683</v>
      </c>
      <c r="F748" s="218" t="s">
        <v>5683</v>
      </c>
      <c r="G748" s="234" t="s">
        <v>1110</v>
      </c>
      <c r="H748" s="77" t="s">
        <v>1110</v>
      </c>
      <c r="I748" s="29">
        <v>4447.0</v>
      </c>
      <c r="J748" s="29" t="s">
        <v>1535</v>
      </c>
      <c r="K748" s="222" t="s">
        <v>1137</v>
      </c>
      <c r="L748" s="222">
        <v>1.0</v>
      </c>
      <c r="M748" s="27" t="s">
        <v>1137</v>
      </c>
      <c r="N748" s="239" t="s">
        <v>3981</v>
      </c>
      <c r="O748" s="237" t="s">
        <v>4789</v>
      </c>
      <c r="P748" s="238" t="s">
        <v>4886</v>
      </c>
      <c r="Q748" s="237" t="s">
        <v>4887</v>
      </c>
      <c r="R748" s="237" t="s">
        <v>3991</v>
      </c>
      <c r="S748" s="26" t="str">
        <f t="shared" si="121"/>
        <v>กลุ่มงานการพยาบาลผู้ป่วยอายุรกรรม</v>
      </c>
      <c r="T748" s="218" t="s">
        <v>4874</v>
      </c>
      <c r="U748" s="26" t="s">
        <v>1302</v>
      </c>
      <c r="V748" s="25">
        <v>2.0</v>
      </c>
      <c r="W748" s="218" t="s">
        <v>3991</v>
      </c>
      <c r="X748" s="98" t="s">
        <v>1312</v>
      </c>
      <c r="Y748" s="31">
        <v>25.0</v>
      </c>
      <c r="Z748" s="31">
        <v>25.0</v>
      </c>
      <c r="AA748" s="31">
        <v>266.0</v>
      </c>
      <c r="AB748" s="31">
        <v>295.0</v>
      </c>
      <c r="AC748" s="32">
        <v>1.0</v>
      </c>
      <c r="AD748" s="26"/>
      <c r="AE748" s="26"/>
      <c r="AF748" s="32">
        <v>5.0</v>
      </c>
      <c r="AG748" s="33">
        <v>1.669900399555E12</v>
      </c>
      <c r="AH748" s="33" t="s">
        <v>1964</v>
      </c>
      <c r="AI748" s="34" t="s">
        <v>6160</v>
      </c>
    </row>
    <row r="749" ht="38.25" hidden="1" customHeight="1">
      <c r="A749" s="32">
        <v>743.0</v>
      </c>
      <c r="B749" s="218" t="s">
        <v>2692</v>
      </c>
      <c r="C749" s="218" t="s">
        <v>6161</v>
      </c>
      <c r="D749" s="218" t="s">
        <v>5494</v>
      </c>
      <c r="E749" s="218" t="s">
        <v>5683</v>
      </c>
      <c r="F749" s="218" t="s">
        <v>5683</v>
      </c>
      <c r="G749" s="234" t="s">
        <v>1110</v>
      </c>
      <c r="H749" s="77" t="s">
        <v>1110</v>
      </c>
      <c r="I749" s="29">
        <v>4449.0</v>
      </c>
      <c r="J749" s="29" t="s">
        <v>1535</v>
      </c>
      <c r="K749" s="222" t="s">
        <v>1137</v>
      </c>
      <c r="L749" s="222">
        <v>1.0</v>
      </c>
      <c r="M749" s="27" t="s">
        <v>1137</v>
      </c>
      <c r="N749" s="239" t="s">
        <v>3981</v>
      </c>
      <c r="O749" s="237" t="s">
        <v>4789</v>
      </c>
      <c r="P749" s="238" t="s">
        <v>4886</v>
      </c>
      <c r="Q749" s="237" t="s">
        <v>4887</v>
      </c>
      <c r="R749" s="237" t="s">
        <v>3991</v>
      </c>
      <c r="S749" s="26" t="str">
        <f t="shared" si="121"/>
        <v>กลุ่มงานการพยาบาลผู้ป่วยอายุรกรรม</v>
      </c>
      <c r="T749" s="218" t="s">
        <v>4874</v>
      </c>
      <c r="U749" s="26" t="s">
        <v>1302</v>
      </c>
      <c r="V749" s="25">
        <v>2.0</v>
      </c>
      <c r="W749" s="218" t="s">
        <v>3991</v>
      </c>
      <c r="X749" s="98" t="s">
        <v>1312</v>
      </c>
      <c r="Y749" s="31">
        <v>25.0</v>
      </c>
      <c r="Z749" s="31">
        <v>25.0</v>
      </c>
      <c r="AA749" s="31">
        <v>266.0</v>
      </c>
      <c r="AB749" s="31">
        <v>295.0</v>
      </c>
      <c r="AC749" s="32">
        <v>1.0</v>
      </c>
      <c r="AD749" s="26"/>
      <c r="AE749" s="26"/>
      <c r="AF749" s="32">
        <v>5.0</v>
      </c>
      <c r="AG749" s="33">
        <v>1.509900408733E12</v>
      </c>
      <c r="AH749" s="33" t="s">
        <v>982</v>
      </c>
      <c r="AI749" s="34" t="s">
        <v>6162</v>
      </c>
    </row>
    <row r="750" ht="38.25" hidden="1" customHeight="1">
      <c r="A750" s="32">
        <v>744.0</v>
      </c>
      <c r="B750" s="218" t="s">
        <v>1037</v>
      </c>
      <c r="C750" s="218" t="s">
        <v>6163</v>
      </c>
      <c r="D750" s="218" t="s">
        <v>6164</v>
      </c>
      <c r="E750" s="218" t="s">
        <v>5683</v>
      </c>
      <c r="F750" s="218" t="s">
        <v>5683</v>
      </c>
      <c r="G750" s="234" t="s">
        <v>1110</v>
      </c>
      <c r="H750" s="27" t="s">
        <v>1110</v>
      </c>
      <c r="I750" s="29">
        <v>4397.0</v>
      </c>
      <c r="J750" s="29" t="s">
        <v>1535</v>
      </c>
      <c r="K750" s="222" t="s">
        <v>1137</v>
      </c>
      <c r="L750" s="222">
        <v>1.0</v>
      </c>
      <c r="M750" s="27" t="s">
        <v>1137</v>
      </c>
      <c r="N750" s="239" t="s">
        <v>3981</v>
      </c>
      <c r="O750" s="237" t="s">
        <v>4789</v>
      </c>
      <c r="P750" s="238" t="s">
        <v>4886</v>
      </c>
      <c r="Q750" s="237" t="s">
        <v>4887</v>
      </c>
      <c r="R750" s="237" t="s">
        <v>3991</v>
      </c>
      <c r="S750" s="26" t="str">
        <f t="shared" si="121"/>
        <v>กลุ่มงานการพยาบาลผู้ป่วยอุบัติเหตุและฉุกเฉิน</v>
      </c>
      <c r="T750" s="218" t="s">
        <v>4398</v>
      </c>
      <c r="U750" s="26" t="s">
        <v>1302</v>
      </c>
      <c r="V750" s="25">
        <v>2.0</v>
      </c>
      <c r="W750" s="218" t="s">
        <v>3991</v>
      </c>
      <c r="X750" s="98" t="s">
        <v>1312</v>
      </c>
      <c r="Y750" s="31">
        <v>25.0</v>
      </c>
      <c r="Z750" s="31">
        <v>25.0</v>
      </c>
      <c r="AA750" s="31">
        <v>266.0</v>
      </c>
      <c r="AB750" s="31">
        <v>295.0</v>
      </c>
      <c r="AC750" s="32">
        <v>1.0</v>
      </c>
      <c r="AD750" s="26"/>
      <c r="AE750" s="26"/>
      <c r="AF750" s="32">
        <v>5.0</v>
      </c>
      <c r="AG750" s="37">
        <v>1.560100414501E12</v>
      </c>
      <c r="AH750" s="37" t="s">
        <v>885</v>
      </c>
      <c r="AI750" s="38" t="s">
        <v>6165</v>
      </c>
    </row>
    <row r="751" ht="38.25" hidden="1" customHeight="1">
      <c r="A751" s="32">
        <v>745.0</v>
      </c>
      <c r="B751" s="218" t="s">
        <v>1037</v>
      </c>
      <c r="C751" s="218" t="s">
        <v>6166</v>
      </c>
      <c r="D751" s="218" t="s">
        <v>6167</v>
      </c>
      <c r="E751" s="218" t="s">
        <v>5683</v>
      </c>
      <c r="F751" s="218" t="s">
        <v>5683</v>
      </c>
      <c r="G751" s="234" t="s">
        <v>1110</v>
      </c>
      <c r="H751" s="27" t="s">
        <v>1110</v>
      </c>
      <c r="I751" s="29">
        <v>4406.0</v>
      </c>
      <c r="J751" s="29" t="s">
        <v>1535</v>
      </c>
      <c r="K751" s="222" t="s">
        <v>1137</v>
      </c>
      <c r="L751" s="222">
        <v>1.0</v>
      </c>
      <c r="M751" s="27" t="s">
        <v>1137</v>
      </c>
      <c r="N751" s="239" t="s">
        <v>3981</v>
      </c>
      <c r="O751" s="237" t="s">
        <v>5858</v>
      </c>
      <c r="P751" s="238" t="s">
        <v>4863</v>
      </c>
      <c r="Q751" s="224" t="s">
        <v>4858</v>
      </c>
      <c r="R751" s="237" t="s">
        <v>3991</v>
      </c>
      <c r="S751" s="26" t="str">
        <f t="shared" si="121"/>
        <v>กลุ่มงานการพยาบาลผู้ป่วยนอก</v>
      </c>
      <c r="T751" s="218" t="s">
        <v>4887</v>
      </c>
      <c r="U751" s="26" t="s">
        <v>1302</v>
      </c>
      <c r="V751" s="25">
        <v>8.0</v>
      </c>
      <c r="W751" s="218" t="s">
        <v>3991</v>
      </c>
      <c r="X751" s="98" t="s">
        <v>1312</v>
      </c>
      <c r="Y751" s="31">
        <v>14.0</v>
      </c>
      <c r="Z751" s="31">
        <v>14.0</v>
      </c>
      <c r="AA751" s="31">
        <v>266.0</v>
      </c>
      <c r="AB751" s="31">
        <v>295.0</v>
      </c>
      <c r="AC751" s="32">
        <v>1.0</v>
      </c>
      <c r="AD751" s="26"/>
      <c r="AE751" s="26"/>
      <c r="AF751" s="32">
        <v>5.0</v>
      </c>
      <c r="AG751" s="37">
        <v>1.500701256897E12</v>
      </c>
      <c r="AH751" s="37" t="s">
        <v>1956</v>
      </c>
      <c r="AI751" s="38" t="s">
        <v>6168</v>
      </c>
    </row>
    <row r="752" ht="38.25" hidden="1" customHeight="1">
      <c r="A752" s="32">
        <v>746.0</v>
      </c>
      <c r="B752" s="218" t="s">
        <v>1037</v>
      </c>
      <c r="C752" s="218" t="s">
        <v>4733</v>
      </c>
      <c r="D752" s="218" t="s">
        <v>6169</v>
      </c>
      <c r="E752" s="218" t="s">
        <v>5683</v>
      </c>
      <c r="F752" s="218" t="s">
        <v>5683</v>
      </c>
      <c r="G752" s="234" t="s">
        <v>1110</v>
      </c>
      <c r="H752" s="77" t="s">
        <v>1110</v>
      </c>
      <c r="I752" s="29">
        <v>4455.0</v>
      </c>
      <c r="J752" s="29" t="s">
        <v>1535</v>
      </c>
      <c r="K752" s="222" t="s">
        <v>1137</v>
      </c>
      <c r="L752" s="222">
        <v>1.0</v>
      </c>
      <c r="M752" s="27" t="s">
        <v>1137</v>
      </c>
      <c r="N752" s="236" t="s">
        <v>1174</v>
      </c>
      <c r="O752" s="237" t="s">
        <v>5858</v>
      </c>
      <c r="P752" s="238" t="s">
        <v>4863</v>
      </c>
      <c r="Q752" s="237" t="s">
        <v>4858</v>
      </c>
      <c r="R752" s="237" t="s">
        <v>3991</v>
      </c>
      <c r="S752" s="26" t="str">
        <f t="shared" si="121"/>
        <v>กลุ่มงานการพยาบาลผู้ป่วยศัลยกรรม</v>
      </c>
      <c r="T752" s="218" t="s">
        <v>4858</v>
      </c>
      <c r="U752" s="26" t="s">
        <v>1302</v>
      </c>
      <c r="V752" s="25">
        <v>8.0</v>
      </c>
      <c r="W752" s="218" t="s">
        <v>3991</v>
      </c>
      <c r="X752" s="98" t="s">
        <v>1312</v>
      </c>
      <c r="Y752" s="31">
        <v>14.0</v>
      </c>
      <c r="Z752" s="31">
        <v>14.0</v>
      </c>
      <c r="AA752" s="31">
        <v>266.0</v>
      </c>
      <c r="AB752" s="31">
        <v>295.0</v>
      </c>
      <c r="AC752" s="32">
        <v>1.0</v>
      </c>
      <c r="AD752" s="26"/>
      <c r="AE752" s="26"/>
      <c r="AF752" s="32">
        <v>5.0</v>
      </c>
      <c r="AG752" s="33">
        <v>1.501001106231E12</v>
      </c>
      <c r="AH752" s="33" t="s">
        <v>1726</v>
      </c>
      <c r="AI752" s="34" t="s">
        <v>6170</v>
      </c>
    </row>
    <row r="753" ht="38.25" hidden="1" customHeight="1">
      <c r="A753" s="32">
        <v>747.0</v>
      </c>
      <c r="B753" s="245" t="s">
        <v>1037</v>
      </c>
      <c r="C753" s="245" t="s">
        <v>6171</v>
      </c>
      <c r="D753" s="245" t="s">
        <v>6172</v>
      </c>
      <c r="E753" s="245" t="s">
        <v>5683</v>
      </c>
      <c r="F753" s="245" t="s">
        <v>5683</v>
      </c>
      <c r="G753" s="234" t="s">
        <v>1110</v>
      </c>
      <c r="H753" s="77" t="s">
        <v>1110</v>
      </c>
      <c r="I753" s="78">
        <v>4453.0</v>
      </c>
      <c r="J753" s="78" t="s">
        <v>1535</v>
      </c>
      <c r="K753" s="257" t="s">
        <v>1137</v>
      </c>
      <c r="L753" s="257">
        <v>1.0</v>
      </c>
      <c r="M753" s="27" t="s">
        <v>1137</v>
      </c>
      <c r="N753" s="236" t="s">
        <v>1174</v>
      </c>
      <c r="O753" s="237" t="s">
        <v>5685</v>
      </c>
      <c r="P753" s="238" t="s">
        <v>5183</v>
      </c>
      <c r="Q753" s="237" t="s">
        <v>5184</v>
      </c>
      <c r="R753" s="237" t="s">
        <v>3991</v>
      </c>
      <c r="S753" s="76" t="str">
        <f t="shared" si="121"/>
        <v>กลุ่มงานการพยาบาลผู้ป่วยศัลยกรรม</v>
      </c>
      <c r="T753" s="245" t="s">
        <v>4858</v>
      </c>
      <c r="U753" s="76" t="s">
        <v>1302</v>
      </c>
      <c r="V753" s="79">
        <v>5.0</v>
      </c>
      <c r="W753" s="245" t="s">
        <v>3991</v>
      </c>
      <c r="X753" s="157" t="s">
        <v>1312</v>
      </c>
      <c r="Y753" s="31">
        <v>25.0</v>
      </c>
      <c r="Z753" s="31">
        <v>25.0</v>
      </c>
      <c r="AA753" s="31">
        <v>266.0</v>
      </c>
      <c r="AB753" s="31">
        <v>295.0</v>
      </c>
      <c r="AC753" s="32">
        <v>1.0</v>
      </c>
      <c r="AD753" s="76"/>
      <c r="AE753" s="76"/>
      <c r="AF753" s="32">
        <v>5.0</v>
      </c>
      <c r="AG753" s="37">
        <v>1.102500035589E12</v>
      </c>
      <c r="AH753" s="37" t="s">
        <v>986</v>
      </c>
      <c r="AI753" s="44">
        <v>235799.0</v>
      </c>
    </row>
    <row r="754" ht="38.25" hidden="1" customHeight="1">
      <c r="A754" s="32">
        <v>748.0</v>
      </c>
      <c r="B754" s="218" t="s">
        <v>2692</v>
      </c>
      <c r="C754" s="218" t="s">
        <v>6173</v>
      </c>
      <c r="D754" s="218" t="s">
        <v>6174</v>
      </c>
      <c r="E754" s="218" t="s">
        <v>5683</v>
      </c>
      <c r="F754" s="218" t="s">
        <v>5683</v>
      </c>
      <c r="G754" s="234" t="s">
        <v>1110</v>
      </c>
      <c r="H754" s="77" t="s">
        <v>1110</v>
      </c>
      <c r="I754" s="29">
        <v>4454.0</v>
      </c>
      <c r="J754" s="29" t="s">
        <v>1535</v>
      </c>
      <c r="K754" s="222" t="s">
        <v>1137</v>
      </c>
      <c r="L754" s="222">
        <v>1.0</v>
      </c>
      <c r="M754" s="27" t="s">
        <v>1137</v>
      </c>
      <c r="N754" s="239" t="s">
        <v>3981</v>
      </c>
      <c r="O754" s="237" t="s">
        <v>4396</v>
      </c>
      <c r="P754" s="238" t="s">
        <v>4397</v>
      </c>
      <c r="Q754" s="237" t="s">
        <v>4398</v>
      </c>
      <c r="R754" s="237" t="s">
        <v>3991</v>
      </c>
      <c r="S754" s="26" t="str">
        <f t="shared" si="121"/>
        <v>กลุ่มงานการพยาบาลผู้ป่วยศัลยกรรม</v>
      </c>
      <c r="T754" s="218" t="s">
        <v>4858</v>
      </c>
      <c r="U754" s="26" t="s">
        <v>1302</v>
      </c>
      <c r="V754" s="25">
        <v>1.0</v>
      </c>
      <c r="W754" s="218" t="s">
        <v>3991</v>
      </c>
      <c r="X754" s="98" t="s">
        <v>1312</v>
      </c>
      <c r="Y754" s="31">
        <v>20.0</v>
      </c>
      <c r="Z754" s="31">
        <v>20.0</v>
      </c>
      <c r="AA754" s="31">
        <v>266.0</v>
      </c>
      <c r="AB754" s="31">
        <v>295.0</v>
      </c>
      <c r="AC754" s="32">
        <v>1.0</v>
      </c>
      <c r="AD754" s="26"/>
      <c r="AE754" s="26"/>
      <c r="AF754" s="32">
        <v>5.0</v>
      </c>
      <c r="AG754" s="37">
        <v>1.500701304883E12</v>
      </c>
      <c r="AH754" s="37" t="s">
        <v>893</v>
      </c>
      <c r="AI754" s="38" t="s">
        <v>6175</v>
      </c>
    </row>
    <row r="755" ht="38.25" hidden="1" customHeight="1">
      <c r="A755" s="32">
        <v>749.0</v>
      </c>
      <c r="B755" s="218" t="s">
        <v>1037</v>
      </c>
      <c r="C755" s="218" t="s">
        <v>5135</v>
      </c>
      <c r="D755" s="218" t="s">
        <v>6176</v>
      </c>
      <c r="E755" s="218" t="s">
        <v>5683</v>
      </c>
      <c r="F755" s="218" t="s">
        <v>5683</v>
      </c>
      <c r="G755" s="220" t="s">
        <v>1110</v>
      </c>
      <c r="H755" s="77" t="s">
        <v>1110</v>
      </c>
      <c r="I755" s="29">
        <v>4481.0</v>
      </c>
      <c r="J755" s="29" t="s">
        <v>1535</v>
      </c>
      <c r="K755" s="222" t="s">
        <v>1137</v>
      </c>
      <c r="L755" s="222">
        <v>1.0</v>
      </c>
      <c r="M755" s="27" t="s">
        <v>1137</v>
      </c>
      <c r="N755" s="223" t="s">
        <v>1174</v>
      </c>
      <c r="O755" s="224" t="s">
        <v>5904</v>
      </c>
      <c r="P755" s="225" t="s">
        <v>4938</v>
      </c>
      <c r="Q755" s="26" t="s">
        <v>4939</v>
      </c>
      <c r="R755" s="237" t="s">
        <v>3991</v>
      </c>
      <c r="S755" s="26" t="str">
        <f t="shared" si="121"/>
        <v>กลุ่มงานการพยาบาลผู้ป่วยโสต ศอ นาสิก จักษุ</v>
      </c>
      <c r="T755" s="218" t="s">
        <v>4939</v>
      </c>
      <c r="U755" s="26" t="s">
        <v>1302</v>
      </c>
      <c r="V755" s="25">
        <v>13.0</v>
      </c>
      <c r="W755" s="218" t="s">
        <v>3991</v>
      </c>
      <c r="X755" s="98" t="s">
        <v>1312</v>
      </c>
      <c r="Y755" s="31">
        <v>6.0</v>
      </c>
      <c r="Z755" s="31">
        <v>6.0</v>
      </c>
      <c r="AA755" s="31">
        <v>266.0</v>
      </c>
      <c r="AB755" s="31">
        <v>295.0</v>
      </c>
      <c r="AC755" s="32">
        <v>1.0</v>
      </c>
      <c r="AD755" s="26"/>
      <c r="AE755" s="26"/>
      <c r="AF755" s="32">
        <v>5.0</v>
      </c>
      <c r="AG755" s="37">
        <v>1.509966184086E12</v>
      </c>
      <c r="AH755" s="37" t="s">
        <v>1421</v>
      </c>
      <c r="AI755" s="38" t="s">
        <v>6177</v>
      </c>
    </row>
    <row r="756" ht="38.25" hidden="1" customHeight="1">
      <c r="A756" s="32">
        <v>750.0</v>
      </c>
      <c r="B756" s="218" t="s">
        <v>1037</v>
      </c>
      <c r="C756" s="218" t="s">
        <v>6178</v>
      </c>
      <c r="D756" s="218" t="s">
        <v>6179</v>
      </c>
      <c r="E756" s="218" t="s">
        <v>5683</v>
      </c>
      <c r="F756" s="218" t="s">
        <v>5683</v>
      </c>
      <c r="G756" s="234" t="s">
        <v>1110</v>
      </c>
      <c r="H756" s="27" t="s">
        <v>1110</v>
      </c>
      <c r="I756" s="29">
        <v>4480.0</v>
      </c>
      <c r="J756" s="29" t="s">
        <v>1535</v>
      </c>
      <c r="K756" s="222" t="s">
        <v>1137</v>
      </c>
      <c r="L756" s="222">
        <v>1.0</v>
      </c>
      <c r="M756" s="27" t="s">
        <v>1137</v>
      </c>
      <c r="N756" s="239" t="s">
        <v>3981</v>
      </c>
      <c r="O756" s="237" t="s">
        <v>5685</v>
      </c>
      <c r="P756" s="238" t="s">
        <v>5183</v>
      </c>
      <c r="Q756" s="237" t="s">
        <v>5184</v>
      </c>
      <c r="R756" s="237" t="s">
        <v>3991</v>
      </c>
      <c r="S756" s="26" t="str">
        <f t="shared" si="121"/>
        <v>กลุ่มงานการพยาบาลผู้ป่วยโสต ศอ นาสิก จักษุ</v>
      </c>
      <c r="T756" s="218" t="s">
        <v>4939</v>
      </c>
      <c r="U756" s="26" t="s">
        <v>1302</v>
      </c>
      <c r="V756" s="25">
        <v>5.0</v>
      </c>
      <c r="W756" s="218" t="s">
        <v>3991</v>
      </c>
      <c r="X756" s="98" t="s">
        <v>1312</v>
      </c>
      <c r="Y756" s="31">
        <v>25.0</v>
      </c>
      <c r="Z756" s="31">
        <v>25.0</v>
      </c>
      <c r="AA756" s="31">
        <v>266.0</v>
      </c>
      <c r="AB756" s="31">
        <v>295.0</v>
      </c>
      <c r="AC756" s="32">
        <v>1.0</v>
      </c>
      <c r="AD756" s="26"/>
      <c r="AE756" s="26"/>
      <c r="AF756" s="32">
        <v>5.0</v>
      </c>
      <c r="AG756" s="33">
        <v>1.509900254604E12</v>
      </c>
      <c r="AH756" s="33" t="s">
        <v>1293</v>
      </c>
      <c r="AI756" s="34" t="s">
        <v>6180</v>
      </c>
    </row>
    <row r="757" ht="38.25" hidden="1" customHeight="1">
      <c r="A757" s="32">
        <v>751.0</v>
      </c>
      <c r="B757" s="218" t="s">
        <v>1037</v>
      </c>
      <c r="C757" s="218" t="s">
        <v>6181</v>
      </c>
      <c r="D757" s="218" t="s">
        <v>6182</v>
      </c>
      <c r="E757" s="218" t="s">
        <v>5683</v>
      </c>
      <c r="F757" s="218" t="s">
        <v>5683</v>
      </c>
      <c r="G757" s="234" t="s">
        <v>1110</v>
      </c>
      <c r="H757" s="27" t="s">
        <v>1110</v>
      </c>
      <c r="I757" s="29">
        <v>4482.0</v>
      </c>
      <c r="J757" s="29" t="s">
        <v>1535</v>
      </c>
      <c r="K757" s="222" t="s">
        <v>1137</v>
      </c>
      <c r="L757" s="222">
        <v>1.0</v>
      </c>
      <c r="M757" s="27" t="s">
        <v>1137</v>
      </c>
      <c r="N757" s="236" t="s">
        <v>1174</v>
      </c>
      <c r="O757" s="237" t="s">
        <v>5904</v>
      </c>
      <c r="P757" s="238" t="s">
        <v>4938</v>
      </c>
      <c r="Q757" s="76" t="s">
        <v>4939</v>
      </c>
      <c r="R757" s="237" t="s">
        <v>3991</v>
      </c>
      <c r="S757" s="26" t="str">
        <f t="shared" si="121"/>
        <v>กลุ่มงานการพยาบาลผู้ป่วยโสต ศอ นาสิก จักษุ</v>
      </c>
      <c r="T757" s="218" t="s">
        <v>4939</v>
      </c>
      <c r="U757" s="26" t="s">
        <v>1302</v>
      </c>
      <c r="V757" s="25">
        <v>13.0</v>
      </c>
      <c r="W757" s="218" t="s">
        <v>3991</v>
      </c>
      <c r="X757" s="98" t="s">
        <v>1312</v>
      </c>
      <c r="Y757" s="31">
        <v>6.0</v>
      </c>
      <c r="Z757" s="31">
        <v>6.0</v>
      </c>
      <c r="AA757" s="31">
        <v>266.0</v>
      </c>
      <c r="AB757" s="31">
        <v>295.0</v>
      </c>
      <c r="AC757" s="32">
        <v>1.0</v>
      </c>
      <c r="AD757" s="26"/>
      <c r="AE757" s="26"/>
      <c r="AF757" s="32">
        <v>5.0</v>
      </c>
      <c r="AG757" s="37">
        <v>1.50997005633E12</v>
      </c>
      <c r="AH757" s="61"/>
      <c r="AI757" s="38" t="s">
        <v>6183</v>
      </c>
    </row>
    <row r="758" ht="38.25" hidden="1" customHeight="1">
      <c r="A758" s="32">
        <v>752.0</v>
      </c>
      <c r="B758" s="218" t="s">
        <v>1037</v>
      </c>
      <c r="C758" s="218" t="s">
        <v>6184</v>
      </c>
      <c r="D758" s="218" t="s">
        <v>6185</v>
      </c>
      <c r="E758" s="218" t="s">
        <v>5683</v>
      </c>
      <c r="F758" s="218" t="s">
        <v>5683</v>
      </c>
      <c r="G758" s="234" t="s">
        <v>1110</v>
      </c>
      <c r="H758" s="27" t="s">
        <v>1110</v>
      </c>
      <c r="I758" s="29">
        <v>4438.0</v>
      </c>
      <c r="J758" s="29" t="s">
        <v>1535</v>
      </c>
      <c r="K758" s="222" t="s">
        <v>1137</v>
      </c>
      <c r="L758" s="222">
        <v>1.0</v>
      </c>
      <c r="M758" s="27" t="s">
        <v>1137</v>
      </c>
      <c r="N758" s="239" t="s">
        <v>3981</v>
      </c>
      <c r="O758" s="237" t="s">
        <v>5118</v>
      </c>
      <c r="P758" s="238" t="s">
        <v>5118</v>
      </c>
      <c r="Q758" s="237" t="s">
        <v>4879</v>
      </c>
      <c r="R758" s="237" t="s">
        <v>3991</v>
      </c>
      <c r="S758" s="26" t="str">
        <f t="shared" si="121"/>
        <v>กลุ่มงานการพยาบาลผู้คลอด</v>
      </c>
      <c r="T758" s="218" t="s">
        <v>5115</v>
      </c>
      <c r="U758" s="26" t="s">
        <v>1302</v>
      </c>
      <c r="V758" s="25">
        <v>11.0</v>
      </c>
      <c r="W758" s="218" t="s">
        <v>3991</v>
      </c>
      <c r="X758" s="98" t="s">
        <v>1312</v>
      </c>
      <c r="Y758" s="31">
        <v>10.0</v>
      </c>
      <c r="Z758" s="31">
        <v>10.0</v>
      </c>
      <c r="AA758" s="31">
        <v>266.0</v>
      </c>
      <c r="AB758" s="31">
        <v>295.0</v>
      </c>
      <c r="AC758" s="32">
        <v>1.0</v>
      </c>
      <c r="AD758" s="26"/>
      <c r="AE758" s="26"/>
      <c r="AF758" s="32">
        <v>5.0</v>
      </c>
      <c r="AG758" s="33">
        <v>1.500301241931E12</v>
      </c>
      <c r="AH758" s="33" t="s">
        <v>1392</v>
      </c>
      <c r="AI758" s="34" t="s">
        <v>6186</v>
      </c>
    </row>
    <row r="759" ht="38.25" hidden="1" customHeight="1">
      <c r="A759" s="32">
        <v>753.0</v>
      </c>
      <c r="B759" s="218" t="s">
        <v>1037</v>
      </c>
      <c r="C759" s="218" t="s">
        <v>6187</v>
      </c>
      <c r="D759" s="218" t="s">
        <v>6188</v>
      </c>
      <c r="E759" s="218" t="s">
        <v>5683</v>
      </c>
      <c r="F759" s="218" t="s">
        <v>5683</v>
      </c>
      <c r="G759" s="234" t="s">
        <v>1110</v>
      </c>
      <c r="H759" s="27" t="s">
        <v>1110</v>
      </c>
      <c r="I759" s="29">
        <v>4479.0</v>
      </c>
      <c r="J759" s="29" t="s">
        <v>1535</v>
      </c>
      <c r="K759" s="222" t="s">
        <v>1137</v>
      </c>
      <c r="L759" s="222">
        <v>1.0</v>
      </c>
      <c r="M759" s="27" t="s">
        <v>1137</v>
      </c>
      <c r="N759" s="239" t="s">
        <v>3981</v>
      </c>
      <c r="O759" s="237" t="s">
        <v>5809</v>
      </c>
      <c r="P759" s="238" t="s">
        <v>4958</v>
      </c>
      <c r="Q759" s="237" t="s">
        <v>4959</v>
      </c>
      <c r="R759" s="237" t="s">
        <v>3991</v>
      </c>
      <c r="S759" s="26" t="str">
        <f t="shared" si="121"/>
        <v>กลุ่มงานการพยาบาลผู้ป่วยโสต ศอ นาสิก จักษุ</v>
      </c>
      <c r="T759" s="218" t="s">
        <v>4939</v>
      </c>
      <c r="U759" s="26" t="s">
        <v>1302</v>
      </c>
      <c r="V759" s="25">
        <v>3.0</v>
      </c>
      <c r="W759" s="218" t="s">
        <v>3991</v>
      </c>
      <c r="X759" s="98" t="s">
        <v>1312</v>
      </c>
      <c r="Y759" s="31">
        <v>32.0</v>
      </c>
      <c r="Z759" s="31">
        <v>32.0</v>
      </c>
      <c r="AA759" s="31">
        <v>266.0</v>
      </c>
      <c r="AB759" s="31">
        <v>295.0</v>
      </c>
      <c r="AC759" s="32">
        <v>1.0</v>
      </c>
      <c r="AD759" s="26"/>
      <c r="AE759" s="26"/>
      <c r="AF759" s="32">
        <v>5.0</v>
      </c>
      <c r="AG759" s="33">
        <v>1.500701291609E12</v>
      </c>
      <c r="AH759" s="33" t="s">
        <v>1386</v>
      </c>
      <c r="AI759" s="34" t="s">
        <v>5460</v>
      </c>
    </row>
    <row r="760" ht="38.25" hidden="1" customHeight="1">
      <c r="A760" s="32">
        <v>754.0</v>
      </c>
      <c r="B760" s="218" t="s">
        <v>1037</v>
      </c>
      <c r="C760" s="218" t="s">
        <v>6189</v>
      </c>
      <c r="D760" s="218" t="s">
        <v>6190</v>
      </c>
      <c r="E760" s="218" t="s">
        <v>5683</v>
      </c>
      <c r="F760" s="218" t="s">
        <v>5683</v>
      </c>
      <c r="G760" s="234" t="s">
        <v>1110</v>
      </c>
      <c r="H760" s="27" t="s">
        <v>1110</v>
      </c>
      <c r="I760" s="29">
        <v>4426.0</v>
      </c>
      <c r="J760" s="29" t="s">
        <v>1535</v>
      </c>
      <c r="K760" s="222" t="s">
        <v>1137</v>
      </c>
      <c r="L760" s="222">
        <v>1.0</v>
      </c>
      <c r="M760" s="27" t="s">
        <v>1137</v>
      </c>
      <c r="N760" s="236" t="s">
        <v>1174</v>
      </c>
      <c r="O760" s="237" t="s">
        <v>5809</v>
      </c>
      <c r="P760" s="238" t="s">
        <v>4958</v>
      </c>
      <c r="Q760" s="224" t="s">
        <v>4959</v>
      </c>
      <c r="R760" s="237" t="s">
        <v>3991</v>
      </c>
      <c r="S760" s="26" t="str">
        <f t="shared" si="121"/>
        <v>กลุ่มงานการพยาบาลผู้ป่วยหนัก</v>
      </c>
      <c r="T760" s="218" t="s">
        <v>4959</v>
      </c>
      <c r="U760" s="26" t="s">
        <v>1302</v>
      </c>
      <c r="V760" s="25">
        <v>3.0</v>
      </c>
      <c r="W760" s="218" t="s">
        <v>3991</v>
      </c>
      <c r="X760" s="98" t="s">
        <v>1312</v>
      </c>
      <c r="Y760" s="31">
        <v>32.0</v>
      </c>
      <c r="Z760" s="31">
        <v>32.0</v>
      </c>
      <c r="AA760" s="31">
        <v>266.0</v>
      </c>
      <c r="AB760" s="31">
        <v>295.0</v>
      </c>
      <c r="AC760" s="32">
        <v>1.0</v>
      </c>
      <c r="AD760" s="26"/>
      <c r="AE760" s="26"/>
      <c r="AF760" s="32">
        <v>5.0</v>
      </c>
      <c r="AG760" s="37">
        <v>1.509966175851E12</v>
      </c>
      <c r="AH760" s="37" t="s">
        <v>1276</v>
      </c>
      <c r="AI760" s="38" t="s">
        <v>6191</v>
      </c>
    </row>
    <row r="761" ht="38.25" hidden="1" customHeight="1">
      <c r="A761" s="32">
        <v>755.0</v>
      </c>
      <c r="B761" s="218" t="s">
        <v>1037</v>
      </c>
      <c r="C761" s="218" t="s">
        <v>4307</v>
      </c>
      <c r="D761" s="218" t="s">
        <v>6192</v>
      </c>
      <c r="E761" s="218" t="s">
        <v>5683</v>
      </c>
      <c r="F761" s="218" t="s">
        <v>5683</v>
      </c>
      <c r="G761" s="234" t="s">
        <v>1110</v>
      </c>
      <c r="H761" s="27" t="s">
        <v>1110</v>
      </c>
      <c r="I761" s="29">
        <v>4428.0</v>
      </c>
      <c r="J761" s="29" t="s">
        <v>1535</v>
      </c>
      <c r="K761" s="222" t="s">
        <v>1137</v>
      </c>
      <c r="L761" s="222">
        <v>1.0</v>
      </c>
      <c r="M761" s="27" t="s">
        <v>1137</v>
      </c>
      <c r="N761" s="236" t="s">
        <v>1174</v>
      </c>
      <c r="O761" s="237" t="s">
        <v>5153</v>
      </c>
      <c r="P761" s="238" t="s">
        <v>5154</v>
      </c>
      <c r="Q761" s="224" t="s">
        <v>4959</v>
      </c>
      <c r="R761" s="237" t="s">
        <v>3991</v>
      </c>
      <c r="S761" s="26" t="str">
        <f t="shared" si="121"/>
        <v>กลุ่มงานการพยาบาลผู้ป่วยหนัก</v>
      </c>
      <c r="T761" s="218" t="s">
        <v>4959</v>
      </c>
      <c r="U761" s="26" t="s">
        <v>1302</v>
      </c>
      <c r="V761" s="25">
        <v>3.0</v>
      </c>
      <c r="W761" s="218" t="s">
        <v>3991</v>
      </c>
      <c r="X761" s="98" t="s">
        <v>1312</v>
      </c>
      <c r="Y761" s="31">
        <v>32.0</v>
      </c>
      <c r="Z761" s="31">
        <v>32.0</v>
      </c>
      <c r="AA761" s="31">
        <v>266.0</v>
      </c>
      <c r="AB761" s="31">
        <v>295.0</v>
      </c>
      <c r="AC761" s="32">
        <v>1.0</v>
      </c>
      <c r="AD761" s="26"/>
      <c r="AE761" s="26"/>
      <c r="AF761" s="32">
        <v>5.0</v>
      </c>
      <c r="AG761" s="33">
        <v>1.509970069237E12</v>
      </c>
      <c r="AH761" s="33" t="s">
        <v>2225</v>
      </c>
      <c r="AI761" s="34" t="s">
        <v>6193</v>
      </c>
    </row>
    <row r="762" ht="38.25" hidden="1" customHeight="1">
      <c r="A762" s="32">
        <v>756.0</v>
      </c>
      <c r="B762" s="218" t="s">
        <v>1037</v>
      </c>
      <c r="C762" s="218" t="s">
        <v>6194</v>
      </c>
      <c r="D762" s="218" t="s">
        <v>6195</v>
      </c>
      <c r="E762" s="218" t="s">
        <v>5683</v>
      </c>
      <c r="F762" s="218" t="s">
        <v>5683</v>
      </c>
      <c r="G762" s="234" t="s">
        <v>1110</v>
      </c>
      <c r="H762" s="77" t="s">
        <v>1110</v>
      </c>
      <c r="I762" s="29">
        <v>4427.0</v>
      </c>
      <c r="J762" s="29" t="s">
        <v>1535</v>
      </c>
      <c r="K762" s="222" t="s">
        <v>1137</v>
      </c>
      <c r="L762" s="222">
        <v>1.0</v>
      </c>
      <c r="M762" s="27" t="s">
        <v>1137</v>
      </c>
      <c r="N762" s="236" t="s">
        <v>1174</v>
      </c>
      <c r="O762" s="237" t="s">
        <v>5153</v>
      </c>
      <c r="P762" s="238" t="s">
        <v>5154</v>
      </c>
      <c r="Q762" s="237" t="s">
        <v>4959</v>
      </c>
      <c r="R762" s="237" t="s">
        <v>3991</v>
      </c>
      <c r="S762" s="26" t="str">
        <f t="shared" si="121"/>
        <v>กลุ่มงานการพยาบาลผู้ป่วยหนัก</v>
      </c>
      <c r="T762" s="218" t="s">
        <v>4959</v>
      </c>
      <c r="U762" s="26" t="s">
        <v>1302</v>
      </c>
      <c r="V762" s="25">
        <v>3.0</v>
      </c>
      <c r="W762" s="218" t="s">
        <v>3991</v>
      </c>
      <c r="X762" s="98" t="s">
        <v>1312</v>
      </c>
      <c r="Y762" s="31">
        <v>32.0</v>
      </c>
      <c r="Z762" s="31">
        <v>32.0</v>
      </c>
      <c r="AA762" s="31">
        <v>266.0</v>
      </c>
      <c r="AB762" s="31">
        <v>295.0</v>
      </c>
      <c r="AC762" s="32">
        <v>1.0</v>
      </c>
      <c r="AD762" s="26"/>
      <c r="AE762" s="26"/>
      <c r="AF762" s="32">
        <v>5.0</v>
      </c>
      <c r="AG762" s="37">
        <v>1.5052000294E12</v>
      </c>
      <c r="AH762" s="37" t="s">
        <v>2229</v>
      </c>
      <c r="AI762" s="38" t="s">
        <v>6196</v>
      </c>
    </row>
    <row r="763" ht="38.25" hidden="1" customHeight="1">
      <c r="A763" s="32">
        <v>757.0</v>
      </c>
      <c r="B763" s="218" t="s">
        <v>1037</v>
      </c>
      <c r="C763" s="218" t="s">
        <v>6197</v>
      </c>
      <c r="D763" s="218" t="s">
        <v>6198</v>
      </c>
      <c r="E763" s="218" t="s">
        <v>5683</v>
      </c>
      <c r="F763" s="218" t="s">
        <v>5683</v>
      </c>
      <c r="G763" s="234" t="s">
        <v>1110</v>
      </c>
      <c r="H763" s="77" t="s">
        <v>1110</v>
      </c>
      <c r="I763" s="29">
        <v>4420.0</v>
      </c>
      <c r="J763" s="29" t="s">
        <v>1535</v>
      </c>
      <c r="K763" s="222" t="s">
        <v>1137</v>
      </c>
      <c r="L763" s="222">
        <v>1.0</v>
      </c>
      <c r="M763" s="27" t="s">
        <v>1137</v>
      </c>
      <c r="N763" s="236" t="s">
        <v>1174</v>
      </c>
      <c r="O763" s="237" t="s">
        <v>5153</v>
      </c>
      <c r="P763" s="238" t="s">
        <v>5154</v>
      </c>
      <c r="Q763" s="237" t="s">
        <v>4959</v>
      </c>
      <c r="R763" s="237" t="s">
        <v>3991</v>
      </c>
      <c r="S763" s="26" t="str">
        <f t="shared" si="121"/>
        <v>กลุ่มงานการพยาบาลผู้ป่วยหนัก</v>
      </c>
      <c r="T763" s="218" t="s">
        <v>4959</v>
      </c>
      <c r="U763" s="26" t="s">
        <v>1302</v>
      </c>
      <c r="V763" s="25">
        <v>3.0</v>
      </c>
      <c r="W763" s="218" t="s">
        <v>3991</v>
      </c>
      <c r="X763" s="98" t="s">
        <v>1312</v>
      </c>
      <c r="Y763" s="31">
        <v>32.0</v>
      </c>
      <c r="Z763" s="31">
        <v>32.0</v>
      </c>
      <c r="AA763" s="31">
        <v>266.0</v>
      </c>
      <c r="AB763" s="31">
        <v>295.0</v>
      </c>
      <c r="AC763" s="32">
        <v>1.0</v>
      </c>
      <c r="AD763" s="26"/>
      <c r="AE763" s="26"/>
      <c r="AF763" s="32">
        <v>5.0</v>
      </c>
      <c r="AG763" s="33">
        <v>1.50997014929E12</v>
      </c>
      <c r="AH763" s="33" t="s">
        <v>2193</v>
      </c>
      <c r="AI763" s="34" t="s">
        <v>6199</v>
      </c>
    </row>
    <row r="764" ht="38.25" hidden="1" customHeight="1">
      <c r="A764" s="32">
        <v>758.0</v>
      </c>
      <c r="B764" s="218"/>
      <c r="C764" s="218"/>
      <c r="D764" s="218"/>
      <c r="E764" s="218" t="s">
        <v>5683</v>
      </c>
      <c r="F764" s="218" t="s">
        <v>5683</v>
      </c>
      <c r="G764" s="234" t="s">
        <v>1110</v>
      </c>
      <c r="H764" s="77" t="s">
        <v>1110</v>
      </c>
      <c r="I764" s="29">
        <v>4429.0</v>
      </c>
      <c r="J764" s="29" t="s">
        <v>1535</v>
      </c>
      <c r="K764" s="222" t="s">
        <v>1137</v>
      </c>
      <c r="L764" s="222">
        <v>1.0</v>
      </c>
      <c r="M764" s="27" t="s">
        <v>1137</v>
      </c>
      <c r="N764" s="236" t="s">
        <v>1174</v>
      </c>
      <c r="O764" s="237" t="s">
        <v>5153</v>
      </c>
      <c r="P764" s="238" t="s">
        <v>5154</v>
      </c>
      <c r="Q764" s="237" t="s">
        <v>4959</v>
      </c>
      <c r="R764" s="237" t="s">
        <v>3991</v>
      </c>
      <c r="S764" s="26" t="str">
        <f t="shared" si="121"/>
        <v>กลุ่มงานการพยาบาลผู้ป่วยหนัก</v>
      </c>
      <c r="T764" s="218" t="s">
        <v>4959</v>
      </c>
      <c r="U764" s="26" t="s">
        <v>1302</v>
      </c>
      <c r="V764" s="25">
        <v>3.0</v>
      </c>
      <c r="W764" s="218" t="s">
        <v>3991</v>
      </c>
      <c r="X764" s="98" t="s">
        <v>1312</v>
      </c>
      <c r="Y764" s="31">
        <v>32.0</v>
      </c>
      <c r="Z764" s="31">
        <v>32.0</v>
      </c>
      <c r="AA764" s="31">
        <v>266.0</v>
      </c>
      <c r="AB764" s="31">
        <v>295.0</v>
      </c>
      <c r="AC764" s="32">
        <v>1.0</v>
      </c>
      <c r="AD764" s="26"/>
      <c r="AE764" s="26"/>
      <c r="AF764" s="32">
        <v>5.0</v>
      </c>
      <c r="AG764" s="33">
        <v>1.509970086107E12</v>
      </c>
      <c r="AH764" s="46"/>
      <c r="AI764" s="34" t="s">
        <v>6200</v>
      </c>
    </row>
    <row r="765" ht="38.25" hidden="1" customHeight="1">
      <c r="A765" s="32">
        <v>759.0</v>
      </c>
      <c r="B765" s="245" t="s">
        <v>1037</v>
      </c>
      <c r="C765" s="245" t="s">
        <v>6201</v>
      </c>
      <c r="D765" s="245" t="s">
        <v>6202</v>
      </c>
      <c r="E765" s="245" t="s">
        <v>5683</v>
      </c>
      <c r="F765" s="245" t="s">
        <v>5683</v>
      </c>
      <c r="G765" s="234" t="s">
        <v>1110</v>
      </c>
      <c r="H765" s="77" t="s">
        <v>1110</v>
      </c>
      <c r="I765" s="78">
        <v>4430.0</v>
      </c>
      <c r="J765" s="78" t="s">
        <v>1535</v>
      </c>
      <c r="K765" s="257" t="s">
        <v>1137</v>
      </c>
      <c r="L765" s="257">
        <v>1.0</v>
      </c>
      <c r="M765" s="27" t="s">
        <v>1137</v>
      </c>
      <c r="N765" s="236" t="s">
        <v>1174</v>
      </c>
      <c r="O765" s="237" t="s">
        <v>5153</v>
      </c>
      <c r="P765" s="238" t="s">
        <v>5154</v>
      </c>
      <c r="Q765" s="237" t="s">
        <v>4959</v>
      </c>
      <c r="R765" s="237" t="s">
        <v>3991</v>
      </c>
      <c r="S765" s="76" t="str">
        <f t="shared" si="121"/>
        <v>กลุ่มงานการพยาบาลผู้ป่วยหนัก</v>
      </c>
      <c r="T765" s="245" t="s">
        <v>4959</v>
      </c>
      <c r="U765" s="76" t="s">
        <v>1302</v>
      </c>
      <c r="V765" s="79">
        <v>3.0</v>
      </c>
      <c r="W765" s="245" t="s">
        <v>3991</v>
      </c>
      <c r="X765" s="157" t="s">
        <v>1312</v>
      </c>
      <c r="Y765" s="31">
        <v>32.0</v>
      </c>
      <c r="Z765" s="31">
        <v>32.0</v>
      </c>
      <c r="AA765" s="31">
        <v>266.0</v>
      </c>
      <c r="AB765" s="31">
        <v>295.0</v>
      </c>
      <c r="AC765" s="32">
        <v>1.0</v>
      </c>
      <c r="AD765" s="76"/>
      <c r="AE765" s="76"/>
      <c r="AF765" s="32">
        <v>5.0</v>
      </c>
      <c r="AG765" s="37">
        <v>1.509970107635E12</v>
      </c>
      <c r="AH765" s="37" t="s">
        <v>2217</v>
      </c>
      <c r="AI765" s="38" t="s">
        <v>5202</v>
      </c>
    </row>
    <row r="766" ht="38.25" hidden="1" customHeight="1">
      <c r="A766" s="32">
        <v>760.0</v>
      </c>
      <c r="B766" s="218" t="s">
        <v>1037</v>
      </c>
      <c r="C766" s="218" t="s">
        <v>4340</v>
      </c>
      <c r="D766" s="218" t="s">
        <v>6203</v>
      </c>
      <c r="E766" s="218" t="s">
        <v>5683</v>
      </c>
      <c r="F766" s="218" t="s">
        <v>5683</v>
      </c>
      <c r="G766" s="234" t="s">
        <v>1110</v>
      </c>
      <c r="H766" s="77" t="s">
        <v>1110</v>
      </c>
      <c r="I766" s="29">
        <v>4422.0</v>
      </c>
      <c r="J766" s="29" t="s">
        <v>1535</v>
      </c>
      <c r="K766" s="222" t="s">
        <v>1137</v>
      </c>
      <c r="L766" s="222">
        <v>1.0</v>
      </c>
      <c r="M766" s="27" t="s">
        <v>1137</v>
      </c>
      <c r="N766" s="236" t="s">
        <v>1174</v>
      </c>
      <c r="O766" s="237" t="s">
        <v>5809</v>
      </c>
      <c r="P766" s="238" t="s">
        <v>4958</v>
      </c>
      <c r="Q766" s="237" t="s">
        <v>4959</v>
      </c>
      <c r="R766" s="237" t="s">
        <v>3991</v>
      </c>
      <c r="S766" s="26" t="str">
        <f t="shared" si="121"/>
        <v>กลุ่มงานการพยาบาลผู้ป่วยหนัก</v>
      </c>
      <c r="T766" s="218" t="s">
        <v>4959</v>
      </c>
      <c r="U766" s="26" t="s">
        <v>1302</v>
      </c>
      <c r="V766" s="25">
        <v>3.0</v>
      </c>
      <c r="W766" s="218" t="s">
        <v>3991</v>
      </c>
      <c r="X766" s="98" t="s">
        <v>1312</v>
      </c>
      <c r="Y766" s="31">
        <v>32.0</v>
      </c>
      <c r="Z766" s="31">
        <v>32.0</v>
      </c>
      <c r="AA766" s="31">
        <v>266.0</v>
      </c>
      <c r="AB766" s="31">
        <v>295.0</v>
      </c>
      <c r="AC766" s="32">
        <v>1.0</v>
      </c>
      <c r="AD766" s="26"/>
      <c r="AE766" s="26"/>
      <c r="AF766" s="32">
        <v>5.0</v>
      </c>
      <c r="AG766" s="33">
        <v>1.509966251557E12</v>
      </c>
      <c r="AH766" s="33" t="s">
        <v>880</v>
      </c>
      <c r="AI766" s="34" t="s">
        <v>6204</v>
      </c>
    </row>
    <row r="767" ht="38.25" hidden="1" customHeight="1">
      <c r="A767" s="32">
        <v>761.0</v>
      </c>
      <c r="B767" s="218" t="s">
        <v>1037</v>
      </c>
      <c r="C767" s="218" t="s">
        <v>6205</v>
      </c>
      <c r="D767" s="218" t="s">
        <v>6206</v>
      </c>
      <c r="E767" s="218" t="s">
        <v>5683</v>
      </c>
      <c r="F767" s="218" t="s">
        <v>5683</v>
      </c>
      <c r="G767" s="234" t="s">
        <v>1110</v>
      </c>
      <c r="H767" s="77" t="s">
        <v>1110</v>
      </c>
      <c r="I767" s="29">
        <v>4423.0</v>
      </c>
      <c r="J767" s="29" t="s">
        <v>1535</v>
      </c>
      <c r="K767" s="222" t="s">
        <v>1137</v>
      </c>
      <c r="L767" s="222">
        <v>1.0</v>
      </c>
      <c r="M767" s="27" t="s">
        <v>1137</v>
      </c>
      <c r="N767" s="239" t="s">
        <v>3981</v>
      </c>
      <c r="O767" s="237" t="s">
        <v>5118</v>
      </c>
      <c r="P767" s="238" t="s">
        <v>5118</v>
      </c>
      <c r="Q767" s="237" t="s">
        <v>4879</v>
      </c>
      <c r="R767" s="237" t="s">
        <v>3991</v>
      </c>
      <c r="S767" s="26" t="str">
        <f t="shared" si="121"/>
        <v>กลุ่มงานการพยาบาลผู้ป่วยหนัก</v>
      </c>
      <c r="T767" s="218" t="s">
        <v>4959</v>
      </c>
      <c r="U767" s="26" t="s">
        <v>1302</v>
      </c>
      <c r="V767" s="25">
        <v>11.0</v>
      </c>
      <c r="W767" s="218" t="s">
        <v>3991</v>
      </c>
      <c r="X767" s="98" t="s">
        <v>1312</v>
      </c>
      <c r="Y767" s="31">
        <v>10.0</v>
      </c>
      <c r="Z767" s="31">
        <v>10.0</v>
      </c>
      <c r="AA767" s="31">
        <v>266.0</v>
      </c>
      <c r="AB767" s="31">
        <v>295.0</v>
      </c>
      <c r="AC767" s="32">
        <v>1.0</v>
      </c>
      <c r="AD767" s="26"/>
      <c r="AE767" s="26"/>
      <c r="AF767" s="32">
        <v>5.0</v>
      </c>
      <c r="AG767" s="37">
        <v>1.507600002314E12</v>
      </c>
      <c r="AH767" s="37" t="s">
        <v>1417</v>
      </c>
      <c r="AI767" s="38" t="s">
        <v>6207</v>
      </c>
    </row>
    <row r="768" ht="38.25" hidden="1" customHeight="1">
      <c r="A768" s="32">
        <v>762.0</v>
      </c>
      <c r="B768" s="218" t="s">
        <v>2692</v>
      </c>
      <c r="C768" s="218" t="s">
        <v>6208</v>
      </c>
      <c r="D768" s="218" t="s">
        <v>6209</v>
      </c>
      <c r="E768" s="218" t="s">
        <v>5683</v>
      </c>
      <c r="F768" s="218" t="s">
        <v>5683</v>
      </c>
      <c r="G768" s="220" t="s">
        <v>1110</v>
      </c>
      <c r="H768" s="77" t="s">
        <v>1110</v>
      </c>
      <c r="I768" s="29">
        <v>4421.0</v>
      </c>
      <c r="J768" s="29" t="s">
        <v>1535</v>
      </c>
      <c r="K768" s="222" t="s">
        <v>1137</v>
      </c>
      <c r="L768" s="222">
        <v>1.0</v>
      </c>
      <c r="M768" s="27" t="s">
        <v>1137</v>
      </c>
      <c r="N768" s="227" t="s">
        <v>3981</v>
      </c>
      <c r="O768" s="224" t="s">
        <v>4894</v>
      </c>
      <c r="P768" s="225" t="s">
        <v>5761</v>
      </c>
      <c r="Q768" s="224" t="s">
        <v>4028</v>
      </c>
      <c r="R768" s="237" t="s">
        <v>3991</v>
      </c>
      <c r="S768" s="26" t="str">
        <f t="shared" si="121"/>
        <v>กลุ่มงานการพยาบาลผู้ป่วยหนัก</v>
      </c>
      <c r="T768" s="218" t="s">
        <v>4959</v>
      </c>
      <c r="U768" s="26" t="s">
        <v>1302</v>
      </c>
      <c r="V768" s="25">
        <v>15.0</v>
      </c>
      <c r="W768" s="218" t="s">
        <v>3991</v>
      </c>
      <c r="X768" s="98" t="s">
        <v>1312</v>
      </c>
      <c r="Y768" s="31">
        <v>24.0</v>
      </c>
      <c r="Z768" s="31">
        <v>24.0</v>
      </c>
      <c r="AA768" s="31">
        <v>266.0</v>
      </c>
      <c r="AB768" s="31">
        <v>295.0</v>
      </c>
      <c r="AC768" s="32">
        <v>1.0</v>
      </c>
      <c r="AD768" s="26"/>
      <c r="AE768" s="26"/>
      <c r="AF768" s="32">
        <v>5.0</v>
      </c>
      <c r="AG768" s="37">
        <v>1.505300024914E12</v>
      </c>
      <c r="AH768" s="61"/>
      <c r="AI768" s="44">
        <v>233972.0</v>
      </c>
    </row>
    <row r="769" ht="38.25" hidden="1" customHeight="1">
      <c r="A769" s="32">
        <v>763.0</v>
      </c>
      <c r="B769" s="218" t="s">
        <v>1037</v>
      </c>
      <c r="C769" s="218" t="s">
        <v>6210</v>
      </c>
      <c r="D769" s="218" t="s">
        <v>6211</v>
      </c>
      <c r="E769" s="218" t="s">
        <v>5683</v>
      </c>
      <c r="F769" s="218" t="s">
        <v>5683</v>
      </c>
      <c r="G769" s="234" t="s">
        <v>1110</v>
      </c>
      <c r="H769" s="77" t="s">
        <v>1110</v>
      </c>
      <c r="I769" s="29">
        <v>4424.0</v>
      </c>
      <c r="J769" s="29" t="s">
        <v>1535</v>
      </c>
      <c r="K769" s="222" t="s">
        <v>1137</v>
      </c>
      <c r="L769" s="222">
        <v>1.0</v>
      </c>
      <c r="M769" s="27" t="s">
        <v>1137</v>
      </c>
      <c r="N769" s="239" t="s">
        <v>3981</v>
      </c>
      <c r="O769" s="237" t="s">
        <v>5118</v>
      </c>
      <c r="P769" s="238" t="s">
        <v>5118</v>
      </c>
      <c r="Q769" s="237" t="s">
        <v>4879</v>
      </c>
      <c r="R769" s="237" t="s">
        <v>3991</v>
      </c>
      <c r="S769" s="26" t="str">
        <f t="shared" si="121"/>
        <v>กลุ่มงานการพยาบาลผู้ป่วยหนัก</v>
      </c>
      <c r="T769" s="218" t="s">
        <v>4959</v>
      </c>
      <c r="U769" s="26" t="s">
        <v>1302</v>
      </c>
      <c r="V769" s="25">
        <v>11.0</v>
      </c>
      <c r="W769" s="218" t="s">
        <v>3991</v>
      </c>
      <c r="X769" s="98" t="s">
        <v>1312</v>
      </c>
      <c r="Y769" s="31">
        <v>10.0</v>
      </c>
      <c r="Z769" s="31">
        <v>10.0</v>
      </c>
      <c r="AA769" s="31">
        <v>266.0</v>
      </c>
      <c r="AB769" s="31">
        <v>295.0</v>
      </c>
      <c r="AC769" s="32">
        <v>1.0</v>
      </c>
      <c r="AD769" s="26"/>
      <c r="AE769" s="26"/>
      <c r="AF769" s="32">
        <v>5.0</v>
      </c>
      <c r="AG769" s="33">
        <v>1.509966200294E12</v>
      </c>
      <c r="AH769" s="33" t="s">
        <v>1425</v>
      </c>
      <c r="AI769" s="34" t="s">
        <v>6212</v>
      </c>
    </row>
    <row r="770" ht="38.25" hidden="1" customHeight="1">
      <c r="A770" s="32">
        <v>764.0</v>
      </c>
      <c r="B770" s="218" t="s">
        <v>1037</v>
      </c>
      <c r="C770" s="218" t="s">
        <v>6213</v>
      </c>
      <c r="D770" s="218" t="s">
        <v>6214</v>
      </c>
      <c r="E770" s="218" t="s">
        <v>5683</v>
      </c>
      <c r="F770" s="218" t="s">
        <v>5683</v>
      </c>
      <c r="G770" s="234" t="s">
        <v>1110</v>
      </c>
      <c r="H770" s="77" t="s">
        <v>1110</v>
      </c>
      <c r="I770" s="29">
        <v>4445.0</v>
      </c>
      <c r="J770" s="29" t="s">
        <v>1535</v>
      </c>
      <c r="K770" s="222" t="s">
        <v>1137</v>
      </c>
      <c r="L770" s="222">
        <v>1.0</v>
      </c>
      <c r="M770" s="27" t="s">
        <v>1137</v>
      </c>
      <c r="N770" s="239" t="s">
        <v>3981</v>
      </c>
      <c r="O770" s="237" t="s">
        <v>5118</v>
      </c>
      <c r="P770" s="238" t="s">
        <v>5118</v>
      </c>
      <c r="Q770" s="237" t="s">
        <v>4879</v>
      </c>
      <c r="R770" s="237" t="s">
        <v>3991</v>
      </c>
      <c r="S770" s="26" t="str">
        <f t="shared" si="121"/>
        <v>กลุ่มงานการพยาบาลผู้ป่วยอายุรกรรม</v>
      </c>
      <c r="T770" s="218" t="s">
        <v>4874</v>
      </c>
      <c r="U770" s="26" t="s">
        <v>1302</v>
      </c>
      <c r="V770" s="25">
        <v>11.0</v>
      </c>
      <c r="W770" s="218" t="s">
        <v>3991</v>
      </c>
      <c r="X770" s="98" t="s">
        <v>1312</v>
      </c>
      <c r="Y770" s="31">
        <v>10.0</v>
      </c>
      <c r="Z770" s="31">
        <v>10.0</v>
      </c>
      <c r="AA770" s="31">
        <v>266.0</v>
      </c>
      <c r="AB770" s="31">
        <v>295.0</v>
      </c>
      <c r="AC770" s="32">
        <v>1.0</v>
      </c>
      <c r="AD770" s="26"/>
      <c r="AE770" s="26"/>
      <c r="AF770" s="32">
        <v>5.0</v>
      </c>
      <c r="AG770" s="37">
        <v>5.58070001048E12</v>
      </c>
      <c r="AH770" s="37" t="s">
        <v>1738</v>
      </c>
      <c r="AI770" s="44">
        <v>234374.0</v>
      </c>
    </row>
    <row r="771" ht="38.25" hidden="1" customHeight="1">
      <c r="A771" s="32">
        <v>765.0</v>
      </c>
      <c r="B771" s="218" t="s">
        <v>806</v>
      </c>
      <c r="C771" s="218" t="s">
        <v>5700</v>
      </c>
      <c r="D771" s="218" t="s">
        <v>6215</v>
      </c>
      <c r="E771" s="218" t="s">
        <v>5683</v>
      </c>
      <c r="F771" s="218" t="s">
        <v>5683</v>
      </c>
      <c r="G771" s="234" t="s">
        <v>1110</v>
      </c>
      <c r="H771" s="77" t="s">
        <v>1110</v>
      </c>
      <c r="I771" s="29">
        <v>4425.0</v>
      </c>
      <c r="J771" s="29" t="s">
        <v>1535</v>
      </c>
      <c r="K771" s="222" t="s">
        <v>1137</v>
      </c>
      <c r="L771" s="222">
        <v>1.0</v>
      </c>
      <c r="M771" s="27" t="s">
        <v>1137</v>
      </c>
      <c r="N771" s="239" t="s">
        <v>3981</v>
      </c>
      <c r="O771" s="237" t="s">
        <v>5766</v>
      </c>
      <c r="P771" s="238" t="s">
        <v>4027</v>
      </c>
      <c r="Q771" s="237" t="s">
        <v>4028</v>
      </c>
      <c r="R771" s="237" t="s">
        <v>3991</v>
      </c>
      <c r="S771" s="26" t="str">
        <f t="shared" si="121"/>
        <v>กลุ่มงานการพยาบาลผู้ป่วยหนัก</v>
      </c>
      <c r="T771" s="218" t="s">
        <v>4959</v>
      </c>
      <c r="U771" s="26" t="s">
        <v>1302</v>
      </c>
      <c r="V771" s="25">
        <v>15.0</v>
      </c>
      <c r="W771" s="218" t="s">
        <v>3991</v>
      </c>
      <c r="X771" s="98" t="s">
        <v>1312</v>
      </c>
      <c r="Y771" s="31">
        <v>24.0</v>
      </c>
      <c r="Z771" s="31">
        <v>24.0</v>
      </c>
      <c r="AA771" s="31">
        <v>266.0</v>
      </c>
      <c r="AB771" s="31">
        <v>295.0</v>
      </c>
      <c r="AC771" s="32">
        <v>1.0</v>
      </c>
      <c r="AD771" s="26"/>
      <c r="AE771" s="26"/>
      <c r="AF771" s="32">
        <v>5.0</v>
      </c>
      <c r="AG771" s="33">
        <v>1.56030020098E12</v>
      </c>
      <c r="AH771" s="33" t="s">
        <v>764</v>
      </c>
      <c r="AI771" s="34" t="s">
        <v>6216</v>
      </c>
    </row>
    <row r="772" ht="38.25" hidden="1" customHeight="1">
      <c r="A772" s="32">
        <v>766.0</v>
      </c>
      <c r="B772" s="218"/>
      <c r="C772" s="218"/>
      <c r="D772" s="218"/>
      <c r="E772" s="218" t="s">
        <v>5683</v>
      </c>
      <c r="F772" s="218" t="s">
        <v>5683</v>
      </c>
      <c r="G772" s="234" t="s">
        <v>1110</v>
      </c>
      <c r="H772" s="77" t="s">
        <v>1110</v>
      </c>
      <c r="I772" s="29">
        <v>4398.0</v>
      </c>
      <c r="J772" s="29" t="s">
        <v>1535</v>
      </c>
      <c r="K772" s="222" t="s">
        <v>1137</v>
      </c>
      <c r="L772" s="222">
        <v>1.0</v>
      </c>
      <c r="M772" s="27" t="s">
        <v>1137</v>
      </c>
      <c r="N772" s="239" t="s">
        <v>3981</v>
      </c>
      <c r="O772" s="237" t="s">
        <v>5809</v>
      </c>
      <c r="P772" s="238" t="s">
        <v>4958</v>
      </c>
      <c r="Q772" s="237" t="s">
        <v>4959</v>
      </c>
      <c r="R772" s="237" t="s">
        <v>3991</v>
      </c>
      <c r="S772" s="26" t="str">
        <f t="shared" si="121"/>
        <v>กลุ่มงานการพยาบาลผู้ป่วยอุบัติเหตุและฉุกเฉิน</v>
      </c>
      <c r="T772" s="218" t="s">
        <v>4398</v>
      </c>
      <c r="U772" s="26" t="s">
        <v>1302</v>
      </c>
      <c r="V772" s="25">
        <v>3.0</v>
      </c>
      <c r="W772" s="218" t="s">
        <v>3991</v>
      </c>
      <c r="X772" s="98" t="s">
        <v>1312</v>
      </c>
      <c r="Y772" s="31">
        <v>32.0</v>
      </c>
      <c r="Z772" s="31">
        <v>32.0</v>
      </c>
      <c r="AA772" s="31">
        <v>266.0</v>
      </c>
      <c r="AB772" s="31">
        <v>295.0</v>
      </c>
      <c r="AC772" s="89">
        <v>0.0</v>
      </c>
      <c r="AD772" s="26" t="s">
        <v>4155</v>
      </c>
      <c r="AE772" s="26"/>
      <c r="AF772" s="32">
        <v>5.0</v>
      </c>
      <c r="AG772" s="65"/>
      <c r="AH772" s="65"/>
      <c r="AI772" s="66"/>
    </row>
    <row r="773" ht="38.25" hidden="1" customHeight="1">
      <c r="A773" s="32">
        <v>767.0</v>
      </c>
      <c r="B773" s="218"/>
      <c r="C773" s="218"/>
      <c r="D773" s="218"/>
      <c r="E773" s="218" t="s">
        <v>5683</v>
      </c>
      <c r="F773" s="218" t="s">
        <v>5683</v>
      </c>
      <c r="G773" s="234" t="s">
        <v>1110</v>
      </c>
      <c r="H773" s="27" t="s">
        <v>1110</v>
      </c>
      <c r="I773" s="29">
        <v>4442.0</v>
      </c>
      <c r="J773" s="29" t="s">
        <v>1535</v>
      </c>
      <c r="K773" s="222" t="s">
        <v>1137</v>
      </c>
      <c r="L773" s="222">
        <v>1.0</v>
      </c>
      <c r="M773" s="27" t="s">
        <v>1137</v>
      </c>
      <c r="N773" s="239" t="s">
        <v>3981</v>
      </c>
      <c r="O773" s="237" t="s">
        <v>4396</v>
      </c>
      <c r="P773" s="238" t="s">
        <v>4397</v>
      </c>
      <c r="Q773" s="237" t="s">
        <v>4398</v>
      </c>
      <c r="R773" s="237" t="s">
        <v>3991</v>
      </c>
      <c r="S773" s="26" t="str">
        <f t="shared" si="121"/>
        <v>กลุ่มงานการพยาบาลผู้ป่วยห้องผ่าตัด</v>
      </c>
      <c r="T773" s="218" t="s">
        <v>5184</v>
      </c>
      <c r="U773" s="26" t="s">
        <v>1302</v>
      </c>
      <c r="V773" s="25">
        <v>1.0</v>
      </c>
      <c r="W773" s="218" t="s">
        <v>3991</v>
      </c>
      <c r="X773" s="98" t="s">
        <v>1312</v>
      </c>
      <c r="Y773" s="31">
        <v>20.0</v>
      </c>
      <c r="Z773" s="31">
        <v>20.0</v>
      </c>
      <c r="AA773" s="31">
        <v>266.0</v>
      </c>
      <c r="AB773" s="31">
        <v>295.0</v>
      </c>
      <c r="AC773" s="32">
        <v>1.0</v>
      </c>
      <c r="AD773" s="26"/>
      <c r="AE773" s="26"/>
      <c r="AF773" s="32">
        <v>5.0</v>
      </c>
      <c r="AG773" s="61"/>
      <c r="AH773" s="61"/>
      <c r="AI773" s="62"/>
    </row>
    <row r="774" ht="38.25" hidden="1" customHeight="1">
      <c r="A774" s="32">
        <v>768.0</v>
      </c>
      <c r="B774" s="218" t="s">
        <v>1037</v>
      </c>
      <c r="C774" s="218" t="s">
        <v>5669</v>
      </c>
      <c r="D774" s="218" t="s">
        <v>6217</v>
      </c>
      <c r="E774" s="218" t="s">
        <v>5683</v>
      </c>
      <c r="F774" s="218" t="s">
        <v>5683</v>
      </c>
      <c r="G774" s="234" t="s">
        <v>1110</v>
      </c>
      <c r="H774" s="27" t="s">
        <v>1110</v>
      </c>
      <c r="I774" s="29">
        <v>4470.0</v>
      </c>
      <c r="J774" s="29" t="s">
        <v>1535</v>
      </c>
      <c r="K774" s="222" t="s">
        <v>1137</v>
      </c>
      <c r="L774" s="222">
        <v>1.0</v>
      </c>
      <c r="M774" s="27" t="s">
        <v>1137</v>
      </c>
      <c r="N774" s="239" t="s">
        <v>3981</v>
      </c>
      <c r="O774" s="237" t="s">
        <v>4882</v>
      </c>
      <c r="P774" s="238" t="s">
        <v>4883</v>
      </c>
      <c r="Q774" s="237" t="s">
        <v>4874</v>
      </c>
      <c r="R774" s="237" t="s">
        <v>3991</v>
      </c>
      <c r="S774" s="26" t="str">
        <f t="shared" si="121"/>
        <v>กลุ่มงานการพยาบาลผู้ป่วยออร์โธปิดิกส์</v>
      </c>
      <c r="T774" s="218" t="s">
        <v>4869</v>
      </c>
      <c r="U774" s="26" t="s">
        <v>1302</v>
      </c>
      <c r="V774" s="25">
        <v>7.0</v>
      </c>
      <c r="W774" s="218" t="s">
        <v>3991</v>
      </c>
      <c r="X774" s="98" t="s">
        <v>1312</v>
      </c>
      <c r="Y774" s="31">
        <v>44.0</v>
      </c>
      <c r="Z774" s="31">
        <v>44.0</v>
      </c>
      <c r="AA774" s="31">
        <v>266.0</v>
      </c>
      <c r="AB774" s="31">
        <v>295.0</v>
      </c>
      <c r="AC774" s="32">
        <v>1.0</v>
      </c>
      <c r="AD774" s="26"/>
      <c r="AE774" s="26"/>
      <c r="AF774" s="32">
        <v>5.0</v>
      </c>
      <c r="AG774" s="37">
        <v>1.509963061935E12</v>
      </c>
      <c r="AH774" s="37" t="s">
        <v>1722</v>
      </c>
      <c r="AI774" s="44">
        <v>235035.0</v>
      </c>
    </row>
    <row r="775" ht="38.25" hidden="1" customHeight="1">
      <c r="A775" s="32">
        <v>769.0</v>
      </c>
      <c r="B775" s="218" t="s">
        <v>1037</v>
      </c>
      <c r="C775" s="218" t="s">
        <v>6218</v>
      </c>
      <c r="D775" s="218" t="s">
        <v>6219</v>
      </c>
      <c r="E775" s="218" t="s">
        <v>5683</v>
      </c>
      <c r="F775" s="218" t="s">
        <v>5683</v>
      </c>
      <c r="G775" s="234" t="s">
        <v>1110</v>
      </c>
      <c r="H775" s="27" t="s">
        <v>1110</v>
      </c>
      <c r="I775" s="29">
        <v>4469.0</v>
      </c>
      <c r="J775" s="29" t="s">
        <v>1535</v>
      </c>
      <c r="K775" s="222" t="s">
        <v>1137</v>
      </c>
      <c r="L775" s="222">
        <v>1.0</v>
      </c>
      <c r="M775" s="27" t="s">
        <v>1137</v>
      </c>
      <c r="N775" s="236" t="s">
        <v>1174</v>
      </c>
      <c r="O775" s="237" t="s">
        <v>5986</v>
      </c>
      <c r="P775" s="238" t="s">
        <v>4868</v>
      </c>
      <c r="Q775" s="237" t="s">
        <v>4869</v>
      </c>
      <c r="R775" s="237" t="s">
        <v>3991</v>
      </c>
      <c r="S775" s="26" t="str">
        <f t="shared" si="121"/>
        <v>กลุ่มงานการพยาบาลผู้ป่วยออร์โธปิดิกส์</v>
      </c>
      <c r="T775" s="218" t="s">
        <v>4869</v>
      </c>
      <c r="U775" s="26" t="s">
        <v>1302</v>
      </c>
      <c r="V775" s="25">
        <v>12.0</v>
      </c>
      <c r="W775" s="218" t="s">
        <v>3991</v>
      </c>
      <c r="X775" s="98" t="s">
        <v>1312</v>
      </c>
      <c r="Y775" s="31">
        <v>14.0</v>
      </c>
      <c r="Z775" s="31">
        <v>14.0</v>
      </c>
      <c r="AA775" s="31">
        <v>266.0</v>
      </c>
      <c r="AB775" s="31">
        <v>295.0</v>
      </c>
      <c r="AC775" s="32">
        <v>1.0</v>
      </c>
      <c r="AD775" s="26"/>
      <c r="AE775" s="26"/>
      <c r="AF775" s="32">
        <v>5.0</v>
      </c>
      <c r="AG775" s="37">
        <v>1.500401128567E12</v>
      </c>
      <c r="AH775" s="37" t="s">
        <v>2201</v>
      </c>
      <c r="AI775" s="44">
        <v>233827.0</v>
      </c>
    </row>
    <row r="776" ht="38.25" hidden="1" customHeight="1">
      <c r="A776" s="32">
        <v>770.0</v>
      </c>
      <c r="B776" s="218" t="s">
        <v>1037</v>
      </c>
      <c r="C776" s="218" t="s">
        <v>6220</v>
      </c>
      <c r="D776" s="218" t="s">
        <v>6221</v>
      </c>
      <c r="E776" s="218" t="s">
        <v>5683</v>
      </c>
      <c r="F776" s="218" t="s">
        <v>5683</v>
      </c>
      <c r="G776" s="234" t="s">
        <v>1110</v>
      </c>
      <c r="H776" s="27" t="s">
        <v>1110</v>
      </c>
      <c r="I776" s="29">
        <v>4472.0</v>
      </c>
      <c r="J776" s="29" t="s">
        <v>1535</v>
      </c>
      <c r="K776" s="222" t="s">
        <v>1137</v>
      </c>
      <c r="L776" s="222">
        <v>1.0</v>
      </c>
      <c r="M776" s="27" t="s">
        <v>1137</v>
      </c>
      <c r="N776" s="236" t="s">
        <v>1174</v>
      </c>
      <c r="O776" s="237" t="s">
        <v>5986</v>
      </c>
      <c r="P776" s="238" t="s">
        <v>4868</v>
      </c>
      <c r="Q776" s="237" t="s">
        <v>4869</v>
      </c>
      <c r="R776" s="237" t="s">
        <v>3991</v>
      </c>
      <c r="S776" s="26" t="str">
        <f t="shared" si="121"/>
        <v>กลุ่มงานการพยาบาลผู้ป่วยออร์โธปิดิกส์</v>
      </c>
      <c r="T776" s="218" t="s">
        <v>4869</v>
      </c>
      <c r="U776" s="26" t="s">
        <v>1302</v>
      </c>
      <c r="V776" s="25">
        <v>12.0</v>
      </c>
      <c r="W776" s="218" t="s">
        <v>3991</v>
      </c>
      <c r="X776" s="98" t="s">
        <v>1312</v>
      </c>
      <c r="Y776" s="31">
        <v>14.0</v>
      </c>
      <c r="Z776" s="31">
        <v>14.0</v>
      </c>
      <c r="AA776" s="31">
        <v>266.0</v>
      </c>
      <c r="AB776" s="31">
        <v>295.0</v>
      </c>
      <c r="AC776" s="32">
        <v>1.0</v>
      </c>
      <c r="AD776" s="26"/>
      <c r="AE776" s="26"/>
      <c r="AF776" s="32">
        <v>5.0</v>
      </c>
      <c r="AG776" s="33">
        <v>1.500701285552E12</v>
      </c>
      <c r="AH776" s="33" t="s">
        <v>1730</v>
      </c>
      <c r="AI776" s="34" t="s">
        <v>6222</v>
      </c>
    </row>
    <row r="777" ht="38.25" hidden="1" customHeight="1">
      <c r="A777" s="32">
        <v>771.0</v>
      </c>
      <c r="B777" s="218"/>
      <c r="C777" s="218"/>
      <c r="D777" s="218"/>
      <c r="E777" s="218" t="s">
        <v>5683</v>
      </c>
      <c r="F777" s="218" t="s">
        <v>5683</v>
      </c>
      <c r="G777" s="234" t="s">
        <v>1110</v>
      </c>
      <c r="H777" s="27" t="s">
        <v>1110</v>
      </c>
      <c r="I777" s="29">
        <v>4475.0</v>
      </c>
      <c r="J777" s="29" t="s">
        <v>1535</v>
      </c>
      <c r="K777" s="222" t="s">
        <v>1137</v>
      </c>
      <c r="L777" s="222">
        <v>1.0</v>
      </c>
      <c r="M777" s="27" t="s">
        <v>1137</v>
      </c>
      <c r="N777" s="236" t="s">
        <v>1174</v>
      </c>
      <c r="O777" s="237" t="s">
        <v>5986</v>
      </c>
      <c r="P777" s="238" t="s">
        <v>4868</v>
      </c>
      <c r="Q777" s="237" t="s">
        <v>4869</v>
      </c>
      <c r="R777" s="237" t="s">
        <v>3991</v>
      </c>
      <c r="S777" s="26" t="str">
        <f t="shared" si="121"/>
        <v>กลุ่มงานการพยาบาลผู้ป่วยออร์โธปิดิกส์</v>
      </c>
      <c r="T777" s="218" t="s">
        <v>4869</v>
      </c>
      <c r="U777" s="26" t="s">
        <v>1302</v>
      </c>
      <c r="V777" s="25">
        <v>12.0</v>
      </c>
      <c r="W777" s="218" t="s">
        <v>3991</v>
      </c>
      <c r="X777" s="98" t="s">
        <v>1312</v>
      </c>
      <c r="Y777" s="31">
        <v>14.0</v>
      </c>
      <c r="Z777" s="31">
        <v>14.0</v>
      </c>
      <c r="AA777" s="31">
        <v>266.0</v>
      </c>
      <c r="AB777" s="31">
        <v>295.0</v>
      </c>
      <c r="AC777" s="32">
        <v>1.0</v>
      </c>
      <c r="AD777" s="26"/>
      <c r="AE777" s="26"/>
      <c r="AF777" s="32">
        <v>5.0</v>
      </c>
      <c r="AG777" s="46"/>
      <c r="AH777" s="46"/>
      <c r="AI777" s="47"/>
    </row>
    <row r="778" ht="38.25" hidden="1" customHeight="1">
      <c r="A778" s="32">
        <v>772.0</v>
      </c>
      <c r="B778" s="218" t="s">
        <v>1037</v>
      </c>
      <c r="C778" s="218" t="s">
        <v>6223</v>
      </c>
      <c r="D778" s="218" t="s">
        <v>6224</v>
      </c>
      <c r="E778" s="218" t="s">
        <v>5683</v>
      </c>
      <c r="F778" s="218" t="s">
        <v>5683</v>
      </c>
      <c r="G778" s="234" t="s">
        <v>1110</v>
      </c>
      <c r="H778" s="27" t="s">
        <v>1110</v>
      </c>
      <c r="I778" s="29">
        <v>4473.0</v>
      </c>
      <c r="J778" s="29" t="s">
        <v>1535</v>
      </c>
      <c r="K778" s="222" t="s">
        <v>1137</v>
      </c>
      <c r="L778" s="222">
        <v>1.0</v>
      </c>
      <c r="M778" s="27" t="s">
        <v>1137</v>
      </c>
      <c r="N778" s="239" t="s">
        <v>3981</v>
      </c>
      <c r="O778" s="237" t="s">
        <v>4396</v>
      </c>
      <c r="P778" s="238" t="s">
        <v>4397</v>
      </c>
      <c r="Q778" s="237" t="s">
        <v>4398</v>
      </c>
      <c r="R778" s="237" t="s">
        <v>3991</v>
      </c>
      <c r="S778" s="26" t="str">
        <f t="shared" si="121"/>
        <v>กลุ่มงานการพยาบาลผู้ป่วยออร์โธปิดิกส์</v>
      </c>
      <c r="T778" s="218" t="s">
        <v>4869</v>
      </c>
      <c r="U778" s="26" t="s">
        <v>1302</v>
      </c>
      <c r="V778" s="25">
        <v>1.0</v>
      </c>
      <c r="W778" s="218" t="s">
        <v>3991</v>
      </c>
      <c r="X778" s="98" t="s">
        <v>1312</v>
      </c>
      <c r="Y778" s="31">
        <v>20.0</v>
      </c>
      <c r="Z778" s="31">
        <v>20.0</v>
      </c>
      <c r="AA778" s="31">
        <v>266.0</v>
      </c>
      <c r="AB778" s="31">
        <v>295.0</v>
      </c>
      <c r="AC778" s="32">
        <v>1.0</v>
      </c>
      <c r="AD778" s="26"/>
      <c r="AE778" s="26"/>
      <c r="AF778" s="32">
        <v>5.0</v>
      </c>
      <c r="AG778" s="33">
        <v>1.521000069765E12</v>
      </c>
      <c r="AH778" s="33" t="s">
        <v>889</v>
      </c>
      <c r="AI778" s="40">
        <v>235376.0</v>
      </c>
    </row>
    <row r="779" ht="38.25" hidden="1" customHeight="1">
      <c r="A779" s="32">
        <v>773.0</v>
      </c>
      <c r="B779" s="218" t="s">
        <v>1037</v>
      </c>
      <c r="C779" s="218" t="s">
        <v>6225</v>
      </c>
      <c r="D779" s="218" t="s">
        <v>6226</v>
      </c>
      <c r="E779" s="218" t="s">
        <v>5683</v>
      </c>
      <c r="F779" s="218" t="s">
        <v>5683</v>
      </c>
      <c r="G779" s="234" t="s">
        <v>1110</v>
      </c>
      <c r="H779" s="27" t="s">
        <v>1110</v>
      </c>
      <c r="I779" s="29">
        <v>4471.0</v>
      </c>
      <c r="J779" s="29" t="s">
        <v>1535</v>
      </c>
      <c r="K779" s="222" t="s">
        <v>1137</v>
      </c>
      <c r="L779" s="222">
        <v>1.0</v>
      </c>
      <c r="M779" s="27" t="s">
        <v>1137</v>
      </c>
      <c r="N779" s="239" t="s">
        <v>3981</v>
      </c>
      <c r="O779" s="237" t="s">
        <v>4644</v>
      </c>
      <c r="P779" s="238" t="s">
        <v>5348</v>
      </c>
      <c r="Q779" s="237" t="s">
        <v>5349</v>
      </c>
      <c r="R779" s="237" t="s">
        <v>3991</v>
      </c>
      <c r="S779" s="26" t="str">
        <f t="shared" si="121"/>
        <v>กลุ่มงานการพยาบาลผู้ป่วยออร์โธปิดิกส์</v>
      </c>
      <c r="T779" s="218" t="s">
        <v>4869</v>
      </c>
      <c r="U779" s="26" t="s">
        <v>1302</v>
      </c>
      <c r="V779" s="25">
        <v>6.0</v>
      </c>
      <c r="W779" s="218" t="s">
        <v>3991</v>
      </c>
      <c r="X779" s="98" t="s">
        <v>1312</v>
      </c>
      <c r="Y779" s="31">
        <v>18.0</v>
      </c>
      <c r="Z779" s="31">
        <v>18.0</v>
      </c>
      <c r="AA779" s="31">
        <v>266.0</v>
      </c>
      <c r="AB779" s="31">
        <v>295.0</v>
      </c>
      <c r="AC779" s="89">
        <v>1.0</v>
      </c>
      <c r="AD779" s="218" t="s">
        <v>5840</v>
      </c>
      <c r="AE779" s="26"/>
      <c r="AF779" s="32">
        <v>5.0</v>
      </c>
      <c r="AG779" s="37">
        <v>1.509970083761E12</v>
      </c>
      <c r="AH779" s="37" t="s">
        <v>2213</v>
      </c>
      <c r="AI779" s="44">
        <v>234155.0</v>
      </c>
    </row>
    <row r="780" ht="38.25" hidden="1" customHeight="1">
      <c r="A780" s="32">
        <v>774.0</v>
      </c>
      <c r="B780" s="218"/>
      <c r="C780" s="218"/>
      <c r="D780" s="218"/>
      <c r="E780" s="218" t="s">
        <v>5683</v>
      </c>
      <c r="F780" s="218" t="s">
        <v>5683</v>
      </c>
      <c r="G780" s="234" t="s">
        <v>1110</v>
      </c>
      <c r="H780" s="27" t="s">
        <v>1110</v>
      </c>
      <c r="I780" s="29">
        <v>4474.0</v>
      </c>
      <c r="J780" s="29" t="s">
        <v>1535</v>
      </c>
      <c r="K780" s="222" t="s">
        <v>1137</v>
      </c>
      <c r="L780" s="222">
        <v>1.0</v>
      </c>
      <c r="M780" s="27" t="s">
        <v>1137</v>
      </c>
      <c r="N780" s="239" t="s">
        <v>3981</v>
      </c>
      <c r="O780" s="237" t="s">
        <v>4644</v>
      </c>
      <c r="P780" s="238" t="s">
        <v>5348</v>
      </c>
      <c r="Q780" s="237" t="s">
        <v>5349</v>
      </c>
      <c r="R780" s="237" t="s">
        <v>3991</v>
      </c>
      <c r="S780" s="26" t="str">
        <f t="shared" si="121"/>
        <v>กลุ่มงานการพยาบาลผู้ป่วยออร์โธปิดิกส์</v>
      </c>
      <c r="T780" s="218" t="s">
        <v>4869</v>
      </c>
      <c r="U780" s="26" t="s">
        <v>1302</v>
      </c>
      <c r="V780" s="25">
        <v>6.0</v>
      </c>
      <c r="W780" s="218" t="s">
        <v>3991</v>
      </c>
      <c r="X780" s="98" t="s">
        <v>1312</v>
      </c>
      <c r="Y780" s="31">
        <v>18.0</v>
      </c>
      <c r="Z780" s="31">
        <v>18.0</v>
      </c>
      <c r="AA780" s="31">
        <v>266.0</v>
      </c>
      <c r="AB780" s="31">
        <v>295.0</v>
      </c>
      <c r="AC780" s="89">
        <v>0.0</v>
      </c>
      <c r="AD780" s="26" t="s">
        <v>4155</v>
      </c>
      <c r="AE780" s="26"/>
      <c r="AF780" s="32">
        <v>5.0</v>
      </c>
      <c r="AG780" s="65"/>
      <c r="AH780" s="65"/>
      <c r="AI780" s="66"/>
    </row>
    <row r="781" ht="38.25" hidden="1" customHeight="1">
      <c r="A781" s="32">
        <v>775.0</v>
      </c>
      <c r="B781" s="218" t="s">
        <v>2692</v>
      </c>
      <c r="C781" s="218" t="s">
        <v>6227</v>
      </c>
      <c r="D781" s="218" t="s">
        <v>6228</v>
      </c>
      <c r="E781" s="218" t="s">
        <v>5683</v>
      </c>
      <c r="F781" s="218" t="s">
        <v>5683</v>
      </c>
      <c r="G781" s="234" t="s">
        <v>1110</v>
      </c>
      <c r="H781" s="27" t="s">
        <v>1110</v>
      </c>
      <c r="I781" s="29">
        <v>4446.0</v>
      </c>
      <c r="J781" s="29" t="s">
        <v>1535</v>
      </c>
      <c r="K781" s="222" t="s">
        <v>1137</v>
      </c>
      <c r="L781" s="222">
        <v>1.0</v>
      </c>
      <c r="M781" s="27" t="s">
        <v>1137</v>
      </c>
      <c r="N781" s="236" t="s">
        <v>1174</v>
      </c>
      <c r="O781" s="237" t="s">
        <v>5805</v>
      </c>
      <c r="P781" s="238" t="s">
        <v>4873</v>
      </c>
      <c r="Q781" s="237" t="s">
        <v>4874</v>
      </c>
      <c r="R781" s="237" t="s">
        <v>3991</v>
      </c>
      <c r="S781" s="26" t="str">
        <f t="shared" si="121"/>
        <v>กลุ่มงานการพยาบาลผู้ป่วยอายุรกรรม</v>
      </c>
      <c r="T781" s="218" t="s">
        <v>4874</v>
      </c>
      <c r="U781" s="26" t="s">
        <v>1302</v>
      </c>
      <c r="V781" s="25">
        <v>7.0</v>
      </c>
      <c r="W781" s="218" t="s">
        <v>3991</v>
      </c>
      <c r="X781" s="98" t="s">
        <v>1312</v>
      </c>
      <c r="Y781" s="31">
        <v>44.0</v>
      </c>
      <c r="Z781" s="31">
        <v>44.0</v>
      </c>
      <c r="AA781" s="31">
        <v>266.0</v>
      </c>
      <c r="AB781" s="31">
        <v>295.0</v>
      </c>
      <c r="AC781" s="32">
        <v>1.0</v>
      </c>
      <c r="AD781" s="26"/>
      <c r="AE781" s="26"/>
      <c r="AF781" s="32">
        <v>5.0</v>
      </c>
      <c r="AG781" s="33">
        <v>1.579900834091E12</v>
      </c>
      <c r="AH781" s="33" t="s">
        <v>1752</v>
      </c>
      <c r="AI781" s="40">
        <v>234766.0</v>
      </c>
    </row>
    <row r="782" ht="38.25" hidden="1" customHeight="1">
      <c r="A782" s="32">
        <v>776.0</v>
      </c>
      <c r="B782" s="218" t="s">
        <v>1037</v>
      </c>
      <c r="C782" s="218" t="s">
        <v>5934</v>
      </c>
      <c r="D782" s="218" t="s">
        <v>6229</v>
      </c>
      <c r="E782" s="218" t="s">
        <v>5683</v>
      </c>
      <c r="F782" s="218" t="s">
        <v>5683</v>
      </c>
      <c r="G782" s="234" t="s">
        <v>1110</v>
      </c>
      <c r="H782" s="77" t="s">
        <v>1110</v>
      </c>
      <c r="I782" s="29">
        <v>4444.0</v>
      </c>
      <c r="J782" s="29" t="s">
        <v>1535</v>
      </c>
      <c r="K782" s="222" t="s">
        <v>1137</v>
      </c>
      <c r="L782" s="222">
        <v>1.0</v>
      </c>
      <c r="M782" s="27" t="s">
        <v>1137</v>
      </c>
      <c r="N782" s="236" t="s">
        <v>1174</v>
      </c>
      <c r="O782" s="237" t="s">
        <v>5805</v>
      </c>
      <c r="P782" s="238" t="s">
        <v>4873</v>
      </c>
      <c r="Q782" s="237" t="s">
        <v>4874</v>
      </c>
      <c r="R782" s="237" t="s">
        <v>3991</v>
      </c>
      <c r="S782" s="26" t="str">
        <f t="shared" si="121"/>
        <v>กลุ่มงานการพยาบาลผู้ป่วยอายุรกรรม</v>
      </c>
      <c r="T782" s="218" t="s">
        <v>4874</v>
      </c>
      <c r="U782" s="26" t="s">
        <v>1302</v>
      </c>
      <c r="V782" s="25">
        <v>7.0</v>
      </c>
      <c r="W782" s="218" t="s">
        <v>3991</v>
      </c>
      <c r="X782" s="98" t="s">
        <v>1312</v>
      </c>
      <c r="Y782" s="31">
        <v>44.0</v>
      </c>
      <c r="Z782" s="31">
        <v>44.0</v>
      </c>
      <c r="AA782" s="31">
        <v>266.0</v>
      </c>
      <c r="AB782" s="31">
        <v>295.0</v>
      </c>
      <c r="AC782" s="32">
        <v>1.0</v>
      </c>
      <c r="AD782" s="26"/>
      <c r="AE782" s="26"/>
      <c r="AF782" s="32">
        <v>5.0</v>
      </c>
      <c r="AG782" s="37">
        <v>1.500701277479E12</v>
      </c>
      <c r="AH782" s="37" t="s">
        <v>1713</v>
      </c>
      <c r="AI782" s="38" t="s">
        <v>6230</v>
      </c>
    </row>
    <row r="783" ht="38.25" hidden="1" customHeight="1">
      <c r="A783" s="32">
        <v>777.0</v>
      </c>
      <c r="B783" s="218" t="s">
        <v>1037</v>
      </c>
      <c r="C783" s="218" t="s">
        <v>6231</v>
      </c>
      <c r="D783" s="218" t="s">
        <v>6232</v>
      </c>
      <c r="E783" s="218" t="s">
        <v>5683</v>
      </c>
      <c r="F783" s="218" t="s">
        <v>5683</v>
      </c>
      <c r="G783" s="234" t="s">
        <v>1110</v>
      </c>
      <c r="H783" s="27" t="s">
        <v>1110</v>
      </c>
      <c r="I783" s="29">
        <v>4448.0</v>
      </c>
      <c r="J783" s="29" t="s">
        <v>1535</v>
      </c>
      <c r="K783" s="222" t="s">
        <v>1137</v>
      </c>
      <c r="L783" s="222">
        <v>1.0</v>
      </c>
      <c r="M783" s="27" t="s">
        <v>1137</v>
      </c>
      <c r="N783" s="236" t="s">
        <v>1174</v>
      </c>
      <c r="O783" s="237" t="s">
        <v>4904</v>
      </c>
      <c r="P783" s="238" t="s">
        <v>4905</v>
      </c>
      <c r="Q783" s="237" t="s">
        <v>4874</v>
      </c>
      <c r="R783" s="237" t="s">
        <v>3991</v>
      </c>
      <c r="S783" s="26" t="str">
        <f t="shared" si="121"/>
        <v>กลุ่มงานการพยาบาลผู้ป่วยอายุรกรรม</v>
      </c>
      <c r="T783" s="218" t="s">
        <v>4874</v>
      </c>
      <c r="U783" s="26" t="s">
        <v>1302</v>
      </c>
      <c r="V783" s="25">
        <v>7.0</v>
      </c>
      <c r="W783" s="218" t="s">
        <v>3991</v>
      </c>
      <c r="X783" s="98" t="s">
        <v>1312</v>
      </c>
      <c r="Y783" s="31">
        <v>44.0</v>
      </c>
      <c r="Z783" s="31">
        <v>44.0</v>
      </c>
      <c r="AA783" s="31">
        <v>266.0</v>
      </c>
      <c r="AB783" s="31">
        <v>295.0</v>
      </c>
      <c r="AC783" s="32">
        <v>1.0</v>
      </c>
      <c r="AD783" s="26"/>
      <c r="AE783" s="26"/>
      <c r="AF783" s="32">
        <v>5.0</v>
      </c>
      <c r="AG783" s="37">
        <v>1.509963048041E12</v>
      </c>
      <c r="AH783" s="37" t="s">
        <v>1960</v>
      </c>
      <c r="AI783" s="38" t="s">
        <v>6233</v>
      </c>
    </row>
    <row r="784" ht="38.25" hidden="1" customHeight="1">
      <c r="A784" s="32">
        <v>778.0</v>
      </c>
      <c r="B784" s="218" t="s">
        <v>2692</v>
      </c>
      <c r="C784" s="218" t="s">
        <v>6234</v>
      </c>
      <c r="D784" s="218" t="s">
        <v>6235</v>
      </c>
      <c r="E784" s="218" t="s">
        <v>5683</v>
      </c>
      <c r="F784" s="218" t="s">
        <v>5683</v>
      </c>
      <c r="G784" s="234" t="s">
        <v>1110</v>
      </c>
      <c r="H784" s="27" t="s">
        <v>1110</v>
      </c>
      <c r="I784" s="29">
        <v>4443.0</v>
      </c>
      <c r="J784" s="29" t="s">
        <v>1535</v>
      </c>
      <c r="K784" s="222" t="s">
        <v>1137</v>
      </c>
      <c r="L784" s="222">
        <v>1.0</v>
      </c>
      <c r="M784" s="27" t="s">
        <v>1137</v>
      </c>
      <c r="N784" s="239" t="s">
        <v>3981</v>
      </c>
      <c r="O784" s="237" t="s">
        <v>4396</v>
      </c>
      <c r="P784" s="238" t="s">
        <v>4397</v>
      </c>
      <c r="Q784" s="237" t="s">
        <v>4398</v>
      </c>
      <c r="R784" s="237" t="s">
        <v>3991</v>
      </c>
      <c r="S784" s="26" t="str">
        <f t="shared" si="121"/>
        <v>กลุ่มงานการพยาบาลผู้ป่วยอายุรกรรม</v>
      </c>
      <c r="T784" s="218" t="s">
        <v>4874</v>
      </c>
      <c r="U784" s="26" t="s">
        <v>1302</v>
      </c>
      <c r="V784" s="25">
        <v>1.0</v>
      </c>
      <c r="W784" s="218" t="s">
        <v>3991</v>
      </c>
      <c r="X784" s="98" t="s">
        <v>1312</v>
      </c>
      <c r="Y784" s="31">
        <v>20.0</v>
      </c>
      <c r="Z784" s="31">
        <v>20.0</v>
      </c>
      <c r="AA784" s="31">
        <v>266.0</v>
      </c>
      <c r="AB784" s="31">
        <v>295.0</v>
      </c>
      <c r="AC784" s="32">
        <v>1.0</v>
      </c>
      <c r="AD784" s="26"/>
      <c r="AE784" s="26"/>
      <c r="AF784" s="32">
        <v>5.0</v>
      </c>
      <c r="AG784" s="33">
        <v>1.508500002208E12</v>
      </c>
      <c r="AH784" s="33" t="s">
        <v>1407</v>
      </c>
      <c r="AI784" s="40">
        <v>235441.0</v>
      </c>
    </row>
    <row r="785" ht="38.25" hidden="1" customHeight="1">
      <c r="A785" s="32">
        <v>779.0</v>
      </c>
      <c r="B785" s="218" t="s">
        <v>1037</v>
      </c>
      <c r="C785" s="218" t="s">
        <v>6236</v>
      </c>
      <c r="D785" s="218" t="s">
        <v>6237</v>
      </c>
      <c r="E785" s="218" t="s">
        <v>5683</v>
      </c>
      <c r="F785" s="218" t="s">
        <v>5683</v>
      </c>
      <c r="G785" s="234" t="s">
        <v>1110</v>
      </c>
      <c r="H785" s="27" t="s">
        <v>1110</v>
      </c>
      <c r="I785" s="29">
        <v>4401.0</v>
      </c>
      <c r="J785" s="29" t="s">
        <v>1535</v>
      </c>
      <c r="K785" s="222" t="s">
        <v>1137</v>
      </c>
      <c r="L785" s="222">
        <v>1.0</v>
      </c>
      <c r="M785" s="27" t="s">
        <v>1137</v>
      </c>
      <c r="N785" s="239" t="s">
        <v>3981</v>
      </c>
      <c r="O785" s="237" t="s">
        <v>5904</v>
      </c>
      <c r="P785" s="238" t="s">
        <v>4938</v>
      </c>
      <c r="Q785" s="76" t="s">
        <v>4939</v>
      </c>
      <c r="R785" s="237" t="s">
        <v>3991</v>
      </c>
      <c r="S785" s="26" t="str">
        <f t="shared" si="121"/>
        <v>กลุ่มงานการพยาบาลผู้ป่วยอุบัติเหตุและฉุกเฉิน</v>
      </c>
      <c r="T785" s="218" t="s">
        <v>4398</v>
      </c>
      <c r="U785" s="26" t="s">
        <v>1302</v>
      </c>
      <c r="V785" s="25">
        <v>13.0</v>
      </c>
      <c r="W785" s="218" t="s">
        <v>3991</v>
      </c>
      <c r="X785" s="98" t="s">
        <v>1312</v>
      </c>
      <c r="Y785" s="31">
        <v>6.0</v>
      </c>
      <c r="Z785" s="31">
        <v>6.0</v>
      </c>
      <c r="AA785" s="31">
        <v>266.0</v>
      </c>
      <c r="AB785" s="31">
        <v>295.0</v>
      </c>
      <c r="AC785" s="32">
        <v>1.0</v>
      </c>
      <c r="AD785" s="26"/>
      <c r="AE785" s="26"/>
      <c r="AF785" s="32">
        <v>5.0</v>
      </c>
      <c r="AG785" s="33">
        <v>1.520101161682E12</v>
      </c>
      <c r="AH785" s="33" t="s">
        <v>1734</v>
      </c>
      <c r="AI785" s="34" t="s">
        <v>6238</v>
      </c>
    </row>
    <row r="786" ht="38.25" hidden="1" customHeight="1">
      <c r="A786" s="32">
        <v>780.0</v>
      </c>
      <c r="B786" s="218"/>
      <c r="C786" s="218"/>
      <c r="D786" s="218"/>
      <c r="E786" s="218" t="s">
        <v>5683</v>
      </c>
      <c r="F786" s="218" t="s">
        <v>5683</v>
      </c>
      <c r="G786" s="234" t="s">
        <v>1110</v>
      </c>
      <c r="H786" s="27" t="s">
        <v>1110</v>
      </c>
      <c r="I786" s="29">
        <v>4399.0</v>
      </c>
      <c r="J786" s="29" t="s">
        <v>1535</v>
      </c>
      <c r="K786" s="222" t="s">
        <v>1137</v>
      </c>
      <c r="L786" s="222">
        <v>1.0</v>
      </c>
      <c r="M786" s="27" t="s">
        <v>1137</v>
      </c>
      <c r="N786" s="236" t="s">
        <v>1174</v>
      </c>
      <c r="O786" s="237" t="s">
        <v>4396</v>
      </c>
      <c r="P786" s="238" t="s">
        <v>4397</v>
      </c>
      <c r="Q786" s="237" t="s">
        <v>4398</v>
      </c>
      <c r="R786" s="237" t="s">
        <v>3991</v>
      </c>
      <c r="S786" s="26" t="str">
        <f t="shared" si="121"/>
        <v>กลุ่มงานการพยาบาลผู้ป่วยอุบัติเหตุและฉุกเฉิน</v>
      </c>
      <c r="T786" s="218" t="s">
        <v>4398</v>
      </c>
      <c r="U786" s="26" t="s">
        <v>1302</v>
      </c>
      <c r="V786" s="25">
        <v>1.0</v>
      </c>
      <c r="W786" s="218" t="s">
        <v>3991</v>
      </c>
      <c r="X786" s="98" t="s">
        <v>1312</v>
      </c>
      <c r="Y786" s="31">
        <v>20.0</v>
      </c>
      <c r="Z786" s="31">
        <v>20.0</v>
      </c>
      <c r="AA786" s="31">
        <v>266.0</v>
      </c>
      <c r="AB786" s="31">
        <v>295.0</v>
      </c>
      <c r="AC786" s="32">
        <v>1.0</v>
      </c>
      <c r="AD786" s="26"/>
      <c r="AE786" s="26"/>
      <c r="AF786" s="32">
        <v>5.0</v>
      </c>
      <c r="AG786" s="61"/>
      <c r="AH786" s="61"/>
      <c r="AI786" s="62"/>
    </row>
    <row r="787" ht="38.25" hidden="1" customHeight="1">
      <c r="A787" s="32">
        <v>781.0</v>
      </c>
      <c r="B787" s="218" t="s">
        <v>1037</v>
      </c>
      <c r="C787" s="218" t="s">
        <v>4961</v>
      </c>
      <c r="D787" s="218" t="s">
        <v>6239</v>
      </c>
      <c r="E787" s="218" t="s">
        <v>5683</v>
      </c>
      <c r="F787" s="218" t="s">
        <v>5683</v>
      </c>
      <c r="G787" s="234" t="s">
        <v>1110</v>
      </c>
      <c r="H787" s="27" t="s">
        <v>1110</v>
      </c>
      <c r="I787" s="29">
        <v>4400.0</v>
      </c>
      <c r="J787" s="29" t="s">
        <v>1535</v>
      </c>
      <c r="K787" s="222" t="s">
        <v>1137</v>
      </c>
      <c r="L787" s="222">
        <v>1.0</v>
      </c>
      <c r="M787" s="27" t="s">
        <v>1137</v>
      </c>
      <c r="N787" s="239" t="s">
        <v>3981</v>
      </c>
      <c r="O787" s="237" t="s">
        <v>5904</v>
      </c>
      <c r="P787" s="238" t="s">
        <v>4938</v>
      </c>
      <c r="Q787" s="76" t="s">
        <v>4939</v>
      </c>
      <c r="R787" s="237" t="s">
        <v>3991</v>
      </c>
      <c r="S787" s="26" t="str">
        <f t="shared" si="121"/>
        <v>กลุ่มงานการพยาบาลผู้ป่วยอุบัติเหตุและฉุกเฉิน</v>
      </c>
      <c r="T787" s="218" t="s">
        <v>4398</v>
      </c>
      <c r="U787" s="26" t="s">
        <v>1302</v>
      </c>
      <c r="V787" s="25">
        <v>13.0</v>
      </c>
      <c r="W787" s="218" t="s">
        <v>3991</v>
      </c>
      <c r="X787" s="98" t="s">
        <v>1312</v>
      </c>
      <c r="Y787" s="31">
        <v>6.0</v>
      </c>
      <c r="Z787" s="31">
        <v>6.0</v>
      </c>
      <c r="AA787" s="31">
        <v>266.0</v>
      </c>
      <c r="AB787" s="31">
        <v>295.0</v>
      </c>
      <c r="AC787" s="32">
        <v>1.0</v>
      </c>
      <c r="AD787" s="26"/>
      <c r="AE787" s="26"/>
      <c r="AF787" s="32">
        <v>5.0</v>
      </c>
      <c r="AG787" s="33">
        <v>1.509966062631E12</v>
      </c>
      <c r="AH787" s="33" t="s">
        <v>1718</v>
      </c>
      <c r="AI787" s="40">
        <v>235192.0</v>
      </c>
    </row>
    <row r="788" ht="38.25" hidden="1" customHeight="1">
      <c r="A788" s="32">
        <v>782.0</v>
      </c>
      <c r="B788" s="26" t="s">
        <v>1037</v>
      </c>
      <c r="C788" s="26" t="s">
        <v>6240</v>
      </c>
      <c r="D788" s="26" t="s">
        <v>6241</v>
      </c>
      <c r="E788" s="26" t="s">
        <v>5683</v>
      </c>
      <c r="F788" s="218" t="s">
        <v>5683</v>
      </c>
      <c r="G788" s="27" t="s">
        <v>1110</v>
      </c>
      <c r="H788" s="27" t="s">
        <v>1110</v>
      </c>
      <c r="I788" s="29">
        <v>4367.0</v>
      </c>
      <c r="J788" s="29" t="s">
        <v>1535</v>
      </c>
      <c r="K788" s="222" t="s">
        <v>1137</v>
      </c>
      <c r="L788" s="222">
        <v>1.0</v>
      </c>
      <c r="M788" s="27" t="s">
        <v>1137</v>
      </c>
      <c r="N788" s="59" t="s">
        <v>3981</v>
      </c>
      <c r="O788" s="26" t="s">
        <v>4644</v>
      </c>
      <c r="P788" s="218" t="s">
        <v>5348</v>
      </c>
      <c r="Q788" s="26" t="s">
        <v>5349</v>
      </c>
      <c r="R788" s="224" t="s">
        <v>3991</v>
      </c>
      <c r="S788" s="26" t="s">
        <v>4533</v>
      </c>
      <c r="T788" s="218" t="s">
        <v>4534</v>
      </c>
      <c r="U788" s="26" t="s">
        <v>1302</v>
      </c>
      <c r="V788" s="25">
        <v>6.0</v>
      </c>
      <c r="W788" s="26" t="s">
        <v>4064</v>
      </c>
      <c r="X788" s="98" t="s">
        <v>1312</v>
      </c>
      <c r="Y788" s="31">
        <v>18.0</v>
      </c>
      <c r="Z788" s="31">
        <v>18.0</v>
      </c>
      <c r="AA788" s="31">
        <v>266.0</v>
      </c>
      <c r="AB788" s="31">
        <v>295.0</v>
      </c>
      <c r="AC788" s="264">
        <v>1.0</v>
      </c>
      <c r="AD788" s="30" t="s">
        <v>6105</v>
      </c>
      <c r="AE788" s="261"/>
      <c r="AF788" s="262">
        <v>5.0</v>
      </c>
      <c r="AG788" s="37">
        <v>1.509970104571E12</v>
      </c>
      <c r="AH788" s="37" t="s">
        <v>2182</v>
      </c>
      <c r="AI788" s="44">
        <v>233828.0</v>
      </c>
    </row>
    <row r="789" ht="38.25" hidden="1" customHeight="1">
      <c r="A789" s="32">
        <v>783.0</v>
      </c>
      <c r="B789" s="218" t="s">
        <v>1037</v>
      </c>
      <c r="C789" s="218" t="s">
        <v>6242</v>
      </c>
      <c r="D789" s="218" t="s">
        <v>6243</v>
      </c>
      <c r="E789" s="218" t="s">
        <v>5683</v>
      </c>
      <c r="F789" s="218" t="s">
        <v>5683</v>
      </c>
      <c r="G789" s="234" t="s">
        <v>1110</v>
      </c>
      <c r="H789" s="27" t="s">
        <v>1110</v>
      </c>
      <c r="I789" s="28" t="s">
        <v>6244</v>
      </c>
      <c r="J789" s="29" t="s">
        <v>3949</v>
      </c>
      <c r="K789" s="222" t="s">
        <v>1137</v>
      </c>
      <c r="L789" s="222">
        <v>1.0</v>
      </c>
      <c r="M789" s="27" t="s">
        <v>1137</v>
      </c>
      <c r="N789" s="236" t="s">
        <v>1174</v>
      </c>
      <c r="O789" s="237" t="s">
        <v>5685</v>
      </c>
      <c r="P789" s="238" t="s">
        <v>5183</v>
      </c>
      <c r="Q789" s="237" t="s">
        <v>5184</v>
      </c>
      <c r="R789" s="237" t="s">
        <v>3991</v>
      </c>
      <c r="S789" s="26" t="str">
        <f t="shared" ref="S789:S828" si="122">+T789</f>
        <v>กลุ่มงานการพยาบาลผู้ป่วยห้องผ่าตัด</v>
      </c>
      <c r="T789" s="218" t="s">
        <v>5184</v>
      </c>
      <c r="U789" s="26" t="s">
        <v>1302</v>
      </c>
      <c r="V789" s="25">
        <v>5.0</v>
      </c>
      <c r="W789" s="218" t="s">
        <v>3991</v>
      </c>
      <c r="X789" s="98" t="s">
        <v>1312</v>
      </c>
      <c r="Y789" s="31">
        <v>25.0</v>
      </c>
      <c r="Z789" s="31">
        <v>25.0</v>
      </c>
      <c r="AA789" s="31">
        <v>266.0</v>
      </c>
      <c r="AB789" s="31">
        <v>295.0</v>
      </c>
      <c r="AC789" s="32">
        <v>1.0</v>
      </c>
      <c r="AD789" s="26"/>
      <c r="AE789" s="26"/>
      <c r="AF789" s="32">
        <v>5.0</v>
      </c>
      <c r="AG789" s="33">
        <v>1.508500003336E12</v>
      </c>
      <c r="AH789" s="33" t="s">
        <v>840</v>
      </c>
      <c r="AI789" s="40">
        <v>235890.0</v>
      </c>
    </row>
    <row r="790" ht="38.25" hidden="1" customHeight="1">
      <c r="A790" s="32">
        <v>784.0</v>
      </c>
      <c r="B790" s="218" t="s">
        <v>1037</v>
      </c>
      <c r="C790" s="218" t="s">
        <v>6245</v>
      </c>
      <c r="D790" s="218" t="s">
        <v>6246</v>
      </c>
      <c r="E790" s="219" t="s">
        <v>5683</v>
      </c>
      <c r="F790" s="218" t="s">
        <v>5683</v>
      </c>
      <c r="G790" s="234" t="s">
        <v>1110</v>
      </c>
      <c r="H790" s="27" t="s">
        <v>1110</v>
      </c>
      <c r="I790" s="221" t="s">
        <v>6247</v>
      </c>
      <c r="J790" s="90" t="s">
        <v>3949</v>
      </c>
      <c r="K790" s="222" t="s">
        <v>1137</v>
      </c>
      <c r="L790" s="222">
        <v>1.0</v>
      </c>
      <c r="M790" s="27" t="s">
        <v>1137</v>
      </c>
      <c r="N790" s="236" t="s">
        <v>1174</v>
      </c>
      <c r="O790" s="237" t="s">
        <v>4396</v>
      </c>
      <c r="P790" s="238" t="s">
        <v>4397</v>
      </c>
      <c r="Q790" s="224" t="s">
        <v>4398</v>
      </c>
      <c r="R790" s="237" t="s">
        <v>3991</v>
      </c>
      <c r="S790" s="26" t="str">
        <f t="shared" si="122"/>
        <v>กลุ่มงานการพยาบาลผู้ป่วยอุบัติเหตุและฉุกเฉิน</v>
      </c>
      <c r="T790" s="218" t="s">
        <v>4398</v>
      </c>
      <c r="U790" s="26" t="s">
        <v>1302</v>
      </c>
      <c r="V790" s="25">
        <v>1.0</v>
      </c>
      <c r="W790" s="218" t="s">
        <v>3991</v>
      </c>
      <c r="X790" s="98" t="s">
        <v>1312</v>
      </c>
      <c r="Y790" s="31">
        <v>20.0</v>
      </c>
      <c r="Z790" s="31">
        <v>20.0</v>
      </c>
      <c r="AA790" s="31">
        <v>266.0</v>
      </c>
      <c r="AB790" s="31">
        <v>295.0</v>
      </c>
      <c r="AC790" s="32">
        <v>1.0</v>
      </c>
      <c r="AD790" s="219" t="s">
        <v>5686</v>
      </c>
      <c r="AE790" s="26"/>
      <c r="AF790" s="32">
        <v>5.0</v>
      </c>
      <c r="AG790" s="37">
        <v>1.509966320273E12</v>
      </c>
      <c r="AH790" s="37" t="s">
        <v>391</v>
      </c>
      <c r="AI790" s="44">
        <v>236080.0</v>
      </c>
    </row>
    <row r="791" ht="38.25" hidden="1" customHeight="1">
      <c r="A791" s="32">
        <v>785.0</v>
      </c>
      <c r="B791" s="218" t="s">
        <v>1037</v>
      </c>
      <c r="C791" s="218" t="s">
        <v>6248</v>
      </c>
      <c r="D791" s="218" t="s">
        <v>5196</v>
      </c>
      <c r="E791" s="218" t="s">
        <v>5683</v>
      </c>
      <c r="F791" s="218" t="s">
        <v>5683</v>
      </c>
      <c r="G791" s="234" t="s">
        <v>1110</v>
      </c>
      <c r="H791" s="27" t="s">
        <v>1110</v>
      </c>
      <c r="I791" s="28" t="s">
        <v>6249</v>
      </c>
      <c r="J791" s="29" t="s">
        <v>3949</v>
      </c>
      <c r="K791" s="222" t="s">
        <v>1137</v>
      </c>
      <c r="L791" s="222">
        <v>1.0</v>
      </c>
      <c r="M791" s="27" t="s">
        <v>1137</v>
      </c>
      <c r="N791" s="239" t="s">
        <v>3981</v>
      </c>
      <c r="O791" s="237" t="s">
        <v>5858</v>
      </c>
      <c r="P791" s="238" t="s">
        <v>4863</v>
      </c>
      <c r="Q791" s="224" t="s">
        <v>4858</v>
      </c>
      <c r="R791" s="237" t="s">
        <v>3991</v>
      </c>
      <c r="S791" s="26" t="str">
        <f t="shared" si="122"/>
        <v>กลุ่มงานการพยาบาลผู้ป่วยออร์โธปิดิกส์</v>
      </c>
      <c r="T791" s="218" t="s">
        <v>4869</v>
      </c>
      <c r="U791" s="26" t="s">
        <v>1302</v>
      </c>
      <c r="V791" s="25">
        <v>8.0</v>
      </c>
      <c r="W791" s="218" t="s">
        <v>3991</v>
      </c>
      <c r="X791" s="98" t="s">
        <v>1312</v>
      </c>
      <c r="Y791" s="31">
        <v>14.0</v>
      </c>
      <c r="Z791" s="31">
        <v>14.0</v>
      </c>
      <c r="AA791" s="31">
        <v>266.0</v>
      </c>
      <c r="AB791" s="31">
        <v>295.0</v>
      </c>
      <c r="AC791" s="32">
        <v>1.0</v>
      </c>
      <c r="AD791" s="26"/>
      <c r="AE791" s="26"/>
      <c r="AF791" s="32">
        <v>5.0</v>
      </c>
      <c r="AG791" s="37">
        <v>1.502201056963E12</v>
      </c>
      <c r="AH791" s="37" t="s">
        <v>655</v>
      </c>
      <c r="AI791" s="39">
        <v>235866.0</v>
      </c>
    </row>
    <row r="792" ht="38.25" hidden="1" customHeight="1">
      <c r="A792" s="32">
        <v>786.0</v>
      </c>
      <c r="B792" s="218" t="s">
        <v>1037</v>
      </c>
      <c r="C792" s="218" t="s">
        <v>5516</v>
      </c>
      <c r="D792" s="218" t="s">
        <v>5014</v>
      </c>
      <c r="E792" s="218" t="s">
        <v>5683</v>
      </c>
      <c r="F792" s="218" t="s">
        <v>5683</v>
      </c>
      <c r="G792" s="234" t="s">
        <v>1110</v>
      </c>
      <c r="H792" s="27" t="s">
        <v>1110</v>
      </c>
      <c r="I792" s="28" t="s">
        <v>6250</v>
      </c>
      <c r="J792" s="29" t="s">
        <v>3949</v>
      </c>
      <c r="K792" s="222" t="s">
        <v>1137</v>
      </c>
      <c r="L792" s="222">
        <v>1.0</v>
      </c>
      <c r="M792" s="27" t="s">
        <v>1137</v>
      </c>
      <c r="N792" s="236" t="s">
        <v>1174</v>
      </c>
      <c r="O792" s="237" t="s">
        <v>5858</v>
      </c>
      <c r="P792" s="238" t="s">
        <v>4863</v>
      </c>
      <c r="Q792" s="237" t="s">
        <v>4858</v>
      </c>
      <c r="R792" s="237" t="s">
        <v>3991</v>
      </c>
      <c r="S792" s="26" t="str">
        <f t="shared" si="122"/>
        <v>กลุ่มงานการพยาบาลผู้ป่วยศัลยกรรม</v>
      </c>
      <c r="T792" s="218" t="s">
        <v>4858</v>
      </c>
      <c r="U792" s="26" t="s">
        <v>1302</v>
      </c>
      <c r="V792" s="25">
        <v>8.0</v>
      </c>
      <c r="W792" s="218" t="s">
        <v>3991</v>
      </c>
      <c r="X792" s="98" t="s">
        <v>1312</v>
      </c>
      <c r="Y792" s="31">
        <v>14.0</v>
      </c>
      <c r="Z792" s="31">
        <v>14.0</v>
      </c>
      <c r="AA792" s="31">
        <v>266.0</v>
      </c>
      <c r="AB792" s="31">
        <v>295.0</v>
      </c>
      <c r="AC792" s="32">
        <v>1.0</v>
      </c>
      <c r="AD792" s="26"/>
      <c r="AE792" s="26"/>
      <c r="AF792" s="32">
        <v>5.0</v>
      </c>
      <c r="AG792" s="37">
        <v>1.502201055789E12</v>
      </c>
      <c r="AH792" s="37" t="s">
        <v>875</v>
      </c>
      <c r="AI792" s="44">
        <v>235587.0</v>
      </c>
    </row>
    <row r="793" ht="38.25" hidden="1" customHeight="1">
      <c r="A793" s="32">
        <v>787.0</v>
      </c>
      <c r="B793" s="218" t="s">
        <v>1037</v>
      </c>
      <c r="C793" s="218" t="s">
        <v>6251</v>
      </c>
      <c r="D793" s="218" t="s">
        <v>6252</v>
      </c>
      <c r="E793" s="218" t="s">
        <v>5683</v>
      </c>
      <c r="F793" s="218" t="s">
        <v>5683</v>
      </c>
      <c r="G793" s="234" t="s">
        <v>1110</v>
      </c>
      <c r="H793" s="27" t="s">
        <v>1110</v>
      </c>
      <c r="I793" s="28" t="s">
        <v>6253</v>
      </c>
      <c r="J793" s="29" t="s">
        <v>3949</v>
      </c>
      <c r="K793" s="222" t="s">
        <v>1137</v>
      </c>
      <c r="L793" s="222">
        <v>1.0</v>
      </c>
      <c r="M793" s="27" t="s">
        <v>1137</v>
      </c>
      <c r="N793" s="236" t="s">
        <v>1174</v>
      </c>
      <c r="O793" s="237" t="s">
        <v>5805</v>
      </c>
      <c r="P793" s="238" t="s">
        <v>4873</v>
      </c>
      <c r="Q793" s="237" t="s">
        <v>4874</v>
      </c>
      <c r="R793" s="237" t="s">
        <v>3991</v>
      </c>
      <c r="S793" s="26" t="str">
        <f t="shared" si="122"/>
        <v>กลุ่มงานการพยาบาลผู้ป่วยอายุรกรรม</v>
      </c>
      <c r="T793" s="218" t="s">
        <v>4874</v>
      </c>
      <c r="U793" s="26" t="s">
        <v>1302</v>
      </c>
      <c r="V793" s="25">
        <v>7.0</v>
      </c>
      <c r="W793" s="218" t="s">
        <v>3991</v>
      </c>
      <c r="X793" s="98" t="s">
        <v>1312</v>
      </c>
      <c r="Y793" s="31">
        <v>44.0</v>
      </c>
      <c r="Z793" s="31">
        <v>44.0</v>
      </c>
      <c r="AA793" s="31">
        <v>266.0</v>
      </c>
      <c r="AB793" s="31">
        <v>295.0</v>
      </c>
      <c r="AC793" s="32">
        <v>1.0</v>
      </c>
      <c r="AD793" s="26"/>
      <c r="AE793" s="26"/>
      <c r="AF793" s="32">
        <v>5.0</v>
      </c>
      <c r="AG793" s="33">
        <v>1.571300055522E12</v>
      </c>
      <c r="AH793" s="33" t="s">
        <v>703</v>
      </c>
      <c r="AI793" s="34" t="s">
        <v>6254</v>
      </c>
    </row>
    <row r="794" ht="38.25" hidden="1" customHeight="1">
      <c r="A794" s="32">
        <v>788.0</v>
      </c>
      <c r="B794" s="218" t="s">
        <v>1037</v>
      </c>
      <c r="C794" s="218" t="s">
        <v>6255</v>
      </c>
      <c r="D794" s="218" t="s">
        <v>6256</v>
      </c>
      <c r="E794" s="219" t="s">
        <v>5683</v>
      </c>
      <c r="F794" s="218" t="s">
        <v>5683</v>
      </c>
      <c r="G794" s="234" t="s">
        <v>1110</v>
      </c>
      <c r="H794" s="27" t="s">
        <v>1110</v>
      </c>
      <c r="I794" s="221" t="s">
        <v>6257</v>
      </c>
      <c r="J794" s="90" t="s">
        <v>3949</v>
      </c>
      <c r="K794" s="222" t="s">
        <v>1137</v>
      </c>
      <c r="L794" s="222">
        <v>1.0</v>
      </c>
      <c r="M794" s="27" t="s">
        <v>1137</v>
      </c>
      <c r="N794" s="236" t="s">
        <v>1174</v>
      </c>
      <c r="O794" s="237" t="s">
        <v>5986</v>
      </c>
      <c r="P794" s="238" t="s">
        <v>4868</v>
      </c>
      <c r="Q794" s="224" t="s">
        <v>4869</v>
      </c>
      <c r="R794" s="237" t="s">
        <v>3991</v>
      </c>
      <c r="S794" s="26" t="str">
        <f t="shared" si="122"/>
        <v>กลุ่มงานการพยาบาลผู้ป่วยออร์โธปิดิกส์</v>
      </c>
      <c r="T794" s="218" t="s">
        <v>4869</v>
      </c>
      <c r="U794" s="26" t="s">
        <v>1302</v>
      </c>
      <c r="V794" s="25">
        <v>12.0</v>
      </c>
      <c r="W794" s="218" t="s">
        <v>3991</v>
      </c>
      <c r="X794" s="98" t="s">
        <v>1312</v>
      </c>
      <c r="Y794" s="31">
        <v>14.0</v>
      </c>
      <c r="Z794" s="31">
        <v>14.0</v>
      </c>
      <c r="AA794" s="31">
        <v>266.0</v>
      </c>
      <c r="AB794" s="31">
        <v>295.0</v>
      </c>
      <c r="AC794" s="32">
        <v>1.0</v>
      </c>
      <c r="AD794" s="219" t="s">
        <v>5686</v>
      </c>
      <c r="AE794" s="26"/>
      <c r="AF794" s="32">
        <v>5.0</v>
      </c>
      <c r="AG794" s="33">
        <v>1.509966338474E12</v>
      </c>
      <c r="AH794" s="33" t="s">
        <v>379</v>
      </c>
      <c r="AI794" s="40">
        <v>236347.0</v>
      </c>
    </row>
    <row r="795" ht="38.25" hidden="1" customHeight="1">
      <c r="A795" s="32">
        <v>789.0</v>
      </c>
      <c r="B795" s="218" t="s">
        <v>1037</v>
      </c>
      <c r="C795" s="218" t="s">
        <v>6258</v>
      </c>
      <c r="D795" s="218" t="s">
        <v>6256</v>
      </c>
      <c r="E795" s="219" t="s">
        <v>5683</v>
      </c>
      <c r="F795" s="218" t="s">
        <v>5683</v>
      </c>
      <c r="G795" s="234" t="s">
        <v>1110</v>
      </c>
      <c r="H795" s="27" t="s">
        <v>1110</v>
      </c>
      <c r="I795" s="221" t="s">
        <v>6259</v>
      </c>
      <c r="J795" s="90" t="s">
        <v>3949</v>
      </c>
      <c r="K795" s="222" t="s">
        <v>1137</v>
      </c>
      <c r="L795" s="222">
        <v>1.0</v>
      </c>
      <c r="M795" s="27" t="s">
        <v>1137</v>
      </c>
      <c r="N795" s="236" t="s">
        <v>1174</v>
      </c>
      <c r="O795" s="237" t="s">
        <v>4396</v>
      </c>
      <c r="P795" s="238" t="s">
        <v>4397</v>
      </c>
      <c r="Q795" s="224" t="s">
        <v>4398</v>
      </c>
      <c r="R795" s="237" t="s">
        <v>3991</v>
      </c>
      <c r="S795" s="26" t="str">
        <f t="shared" si="122"/>
        <v>กลุ่มงานการพยาบาลผู้ป่วยอุบัติเหตุและฉุกเฉิน</v>
      </c>
      <c r="T795" s="218" t="s">
        <v>4398</v>
      </c>
      <c r="U795" s="26" t="s">
        <v>1302</v>
      </c>
      <c r="V795" s="25">
        <v>1.0</v>
      </c>
      <c r="W795" s="218" t="s">
        <v>3991</v>
      </c>
      <c r="X795" s="98" t="s">
        <v>1312</v>
      </c>
      <c r="Y795" s="31">
        <v>20.0</v>
      </c>
      <c r="Z795" s="31">
        <v>20.0</v>
      </c>
      <c r="AA795" s="31">
        <v>266.0</v>
      </c>
      <c r="AB795" s="31">
        <v>295.0</v>
      </c>
      <c r="AC795" s="32">
        <v>1.0</v>
      </c>
      <c r="AD795" s="219" t="s">
        <v>5686</v>
      </c>
      <c r="AE795" s="26"/>
      <c r="AF795" s="32">
        <v>5.0</v>
      </c>
      <c r="AG795" s="33">
        <v>1.509966338466E12</v>
      </c>
      <c r="AH795" s="33" t="s">
        <v>367</v>
      </c>
      <c r="AI795" s="40">
        <v>236347.0</v>
      </c>
    </row>
    <row r="796" ht="38.25" hidden="1" customHeight="1">
      <c r="A796" s="32">
        <v>790.0</v>
      </c>
      <c r="B796" s="218" t="s">
        <v>1037</v>
      </c>
      <c r="C796" s="218" t="s">
        <v>6108</v>
      </c>
      <c r="D796" s="218" t="s">
        <v>6260</v>
      </c>
      <c r="E796" s="219" t="s">
        <v>5683</v>
      </c>
      <c r="F796" s="218" t="s">
        <v>5683</v>
      </c>
      <c r="G796" s="234" t="s">
        <v>1110</v>
      </c>
      <c r="H796" s="27" t="s">
        <v>1110</v>
      </c>
      <c r="I796" s="221" t="s">
        <v>6261</v>
      </c>
      <c r="J796" s="90" t="s">
        <v>3949</v>
      </c>
      <c r="K796" s="222" t="s">
        <v>1137</v>
      </c>
      <c r="L796" s="222">
        <v>1.0</v>
      </c>
      <c r="M796" s="27" t="s">
        <v>1137</v>
      </c>
      <c r="N796" s="236" t="s">
        <v>1174</v>
      </c>
      <c r="O796" s="237" t="s">
        <v>5153</v>
      </c>
      <c r="P796" s="238" t="s">
        <v>4958</v>
      </c>
      <c r="Q796" s="237" t="s">
        <v>4959</v>
      </c>
      <c r="R796" s="237" t="s">
        <v>3991</v>
      </c>
      <c r="S796" s="26" t="str">
        <f t="shared" si="122"/>
        <v>กลุ่มงานการพยาบาลผู้ป่วยหนัก</v>
      </c>
      <c r="T796" s="218" t="s">
        <v>4959</v>
      </c>
      <c r="U796" s="26" t="s">
        <v>1302</v>
      </c>
      <c r="V796" s="25">
        <v>3.0</v>
      </c>
      <c r="W796" s="218" t="s">
        <v>3991</v>
      </c>
      <c r="X796" s="98" t="s">
        <v>1312</v>
      </c>
      <c r="Y796" s="31">
        <v>32.0</v>
      </c>
      <c r="Z796" s="31">
        <v>32.0</v>
      </c>
      <c r="AA796" s="31">
        <v>266.0</v>
      </c>
      <c r="AB796" s="31">
        <v>295.0</v>
      </c>
      <c r="AC796" s="32">
        <v>1.0</v>
      </c>
      <c r="AD796" s="219" t="s">
        <v>5686</v>
      </c>
      <c r="AE796" s="26"/>
      <c r="AF796" s="32">
        <v>5.0</v>
      </c>
      <c r="AG796" s="33">
        <v>1.508500006149E12</v>
      </c>
      <c r="AH796" s="33" t="s">
        <v>400</v>
      </c>
      <c r="AI796" s="40">
        <v>236133.0</v>
      </c>
    </row>
    <row r="797" ht="38.25" hidden="1" customHeight="1">
      <c r="A797" s="32">
        <v>791.0</v>
      </c>
      <c r="B797" s="218" t="s">
        <v>1037</v>
      </c>
      <c r="C797" s="218" t="s">
        <v>6262</v>
      </c>
      <c r="D797" s="218" t="s">
        <v>6263</v>
      </c>
      <c r="E797" s="218" t="s">
        <v>5683</v>
      </c>
      <c r="F797" s="218" t="s">
        <v>5683</v>
      </c>
      <c r="G797" s="234" t="s">
        <v>1110</v>
      </c>
      <c r="H797" s="27" t="s">
        <v>1110</v>
      </c>
      <c r="I797" s="28" t="s">
        <v>6264</v>
      </c>
      <c r="J797" s="29" t="s">
        <v>3949</v>
      </c>
      <c r="K797" s="222" t="s">
        <v>1137</v>
      </c>
      <c r="L797" s="222">
        <v>1.0</v>
      </c>
      <c r="M797" s="27" t="s">
        <v>1137</v>
      </c>
      <c r="N797" s="236" t="s">
        <v>1174</v>
      </c>
      <c r="O797" s="237" t="s">
        <v>4396</v>
      </c>
      <c r="P797" s="238" t="s">
        <v>4397</v>
      </c>
      <c r="Q797" s="237" t="s">
        <v>4398</v>
      </c>
      <c r="R797" s="237" t="s">
        <v>3991</v>
      </c>
      <c r="S797" s="26" t="str">
        <f t="shared" si="122"/>
        <v>กลุ่มงานการพยาบาลผู้ป่วยอุบัติเหตุและฉุกเฉิน</v>
      </c>
      <c r="T797" s="218" t="s">
        <v>4398</v>
      </c>
      <c r="U797" s="26" t="s">
        <v>1302</v>
      </c>
      <c r="V797" s="25">
        <v>1.0</v>
      </c>
      <c r="W797" s="218" t="s">
        <v>3991</v>
      </c>
      <c r="X797" s="98" t="s">
        <v>1312</v>
      </c>
      <c r="Y797" s="31">
        <v>20.0</v>
      </c>
      <c r="Z797" s="31">
        <v>20.0</v>
      </c>
      <c r="AA797" s="31">
        <v>266.0</v>
      </c>
      <c r="AB797" s="31">
        <v>295.0</v>
      </c>
      <c r="AC797" s="32">
        <v>1.0</v>
      </c>
      <c r="AD797" s="26"/>
      <c r="AE797" s="26"/>
      <c r="AF797" s="32">
        <v>5.0</v>
      </c>
      <c r="AG797" s="33">
        <v>1.560301387455E12</v>
      </c>
      <c r="AH797" s="33" t="s">
        <v>827</v>
      </c>
      <c r="AI797" s="34" t="s">
        <v>6265</v>
      </c>
    </row>
    <row r="798" ht="38.25" hidden="1" customHeight="1">
      <c r="A798" s="32">
        <v>792.0</v>
      </c>
      <c r="B798" s="218" t="s">
        <v>1037</v>
      </c>
      <c r="C798" s="218" t="s">
        <v>6266</v>
      </c>
      <c r="D798" s="218" t="s">
        <v>6267</v>
      </c>
      <c r="E798" s="219" t="s">
        <v>5683</v>
      </c>
      <c r="F798" s="218" t="s">
        <v>5683</v>
      </c>
      <c r="G798" s="234" t="s">
        <v>1110</v>
      </c>
      <c r="H798" s="77" t="s">
        <v>1110</v>
      </c>
      <c r="I798" s="221" t="s">
        <v>6268</v>
      </c>
      <c r="J798" s="90" t="s">
        <v>3949</v>
      </c>
      <c r="K798" s="222" t="s">
        <v>1137</v>
      </c>
      <c r="L798" s="222">
        <v>1.0</v>
      </c>
      <c r="M798" s="27" t="s">
        <v>1137</v>
      </c>
      <c r="N798" s="236" t="s">
        <v>1174</v>
      </c>
      <c r="O798" s="237" t="s">
        <v>5173</v>
      </c>
      <c r="P798" s="238" t="s">
        <v>4918</v>
      </c>
      <c r="Q798" s="237" t="s">
        <v>4919</v>
      </c>
      <c r="R798" s="237" t="s">
        <v>3991</v>
      </c>
      <c r="S798" s="26" t="str">
        <f t="shared" si="122"/>
        <v>กลุ่มงานการพยาบาลผู้ป่วยสูติ - นรีเวช</v>
      </c>
      <c r="T798" s="218" t="s">
        <v>4920</v>
      </c>
      <c r="U798" s="26" t="s">
        <v>1302</v>
      </c>
      <c r="V798" s="25">
        <v>9.0</v>
      </c>
      <c r="W798" s="218" t="s">
        <v>3991</v>
      </c>
      <c r="X798" s="98" t="s">
        <v>1312</v>
      </c>
      <c r="Y798" s="31">
        <v>9.0</v>
      </c>
      <c r="Z798" s="31">
        <v>12.0</v>
      </c>
      <c r="AA798" s="31">
        <v>266.0</v>
      </c>
      <c r="AB798" s="31">
        <v>295.0</v>
      </c>
      <c r="AC798" s="32">
        <v>1.0</v>
      </c>
      <c r="AD798" s="219" t="s">
        <v>5686</v>
      </c>
      <c r="AE798" s="26"/>
      <c r="AF798" s="32">
        <v>5.0</v>
      </c>
      <c r="AG798" s="33">
        <v>1.589800023422E12</v>
      </c>
      <c r="AH798" s="33" t="s">
        <v>387</v>
      </c>
      <c r="AI798" s="34" t="s">
        <v>6269</v>
      </c>
    </row>
    <row r="799" ht="38.25" hidden="1" customHeight="1">
      <c r="A799" s="32">
        <v>793.0</v>
      </c>
      <c r="B799" s="218" t="s">
        <v>1037</v>
      </c>
      <c r="C799" s="218" t="s">
        <v>6270</v>
      </c>
      <c r="D799" s="218" t="s">
        <v>6271</v>
      </c>
      <c r="E799" s="218" t="s">
        <v>5683</v>
      </c>
      <c r="F799" s="218" t="s">
        <v>5683</v>
      </c>
      <c r="G799" s="234" t="s">
        <v>1110</v>
      </c>
      <c r="H799" s="27" t="s">
        <v>1110</v>
      </c>
      <c r="I799" s="28" t="s">
        <v>6272</v>
      </c>
      <c r="J799" s="29" t="s">
        <v>3949</v>
      </c>
      <c r="K799" s="222" t="s">
        <v>1137</v>
      </c>
      <c r="L799" s="222">
        <v>1.0</v>
      </c>
      <c r="M799" s="27" t="s">
        <v>1137</v>
      </c>
      <c r="N799" s="236" t="s">
        <v>1174</v>
      </c>
      <c r="O799" s="237" t="s">
        <v>5685</v>
      </c>
      <c r="P799" s="238" t="s">
        <v>5183</v>
      </c>
      <c r="Q799" s="237" t="s">
        <v>5184</v>
      </c>
      <c r="R799" s="237" t="s">
        <v>3991</v>
      </c>
      <c r="S799" s="26" t="str">
        <f t="shared" si="122"/>
        <v>กลุ่มงานการพยาบาลผู้ป่วยห้องผ่าตัด</v>
      </c>
      <c r="T799" s="218" t="s">
        <v>5184</v>
      </c>
      <c r="U799" s="26" t="s">
        <v>1302</v>
      </c>
      <c r="V799" s="25">
        <v>5.0</v>
      </c>
      <c r="W799" s="218" t="s">
        <v>3991</v>
      </c>
      <c r="X799" s="98" t="s">
        <v>1312</v>
      </c>
      <c r="Y799" s="31">
        <v>25.0</v>
      </c>
      <c r="Z799" s="31">
        <v>25.0</v>
      </c>
      <c r="AA799" s="31">
        <v>266.0</v>
      </c>
      <c r="AB799" s="31">
        <v>295.0</v>
      </c>
      <c r="AC799" s="32">
        <v>1.0</v>
      </c>
      <c r="AD799" s="26"/>
      <c r="AE799" s="26"/>
      <c r="AF799" s="32">
        <v>5.0</v>
      </c>
      <c r="AG799" s="37">
        <v>1.589900121639E12</v>
      </c>
      <c r="AH799" s="37" t="s">
        <v>844</v>
      </c>
      <c r="AI799" s="44">
        <v>235736.0</v>
      </c>
    </row>
    <row r="800" ht="38.25" hidden="1" customHeight="1">
      <c r="A800" s="32">
        <v>794.0</v>
      </c>
      <c r="B800" s="218" t="s">
        <v>1037</v>
      </c>
      <c r="C800" s="218" t="s">
        <v>6273</v>
      </c>
      <c r="D800" s="218" t="s">
        <v>6274</v>
      </c>
      <c r="E800" s="218" t="s">
        <v>5683</v>
      </c>
      <c r="F800" s="218" t="s">
        <v>5683</v>
      </c>
      <c r="G800" s="234" t="s">
        <v>1110</v>
      </c>
      <c r="H800" s="77" t="s">
        <v>1110</v>
      </c>
      <c r="I800" s="28" t="s">
        <v>6275</v>
      </c>
      <c r="J800" s="29" t="s">
        <v>3949</v>
      </c>
      <c r="K800" s="222" t="s">
        <v>1137</v>
      </c>
      <c r="L800" s="222">
        <v>1.0</v>
      </c>
      <c r="M800" s="27" t="s">
        <v>1137</v>
      </c>
      <c r="N800" s="239" t="s">
        <v>3981</v>
      </c>
      <c r="O800" s="237" t="s">
        <v>4944</v>
      </c>
      <c r="P800" s="238" t="s">
        <v>4945</v>
      </c>
      <c r="Q800" s="237" t="s">
        <v>4869</v>
      </c>
      <c r="R800" s="237" t="s">
        <v>3991</v>
      </c>
      <c r="S800" s="26" t="str">
        <f t="shared" si="122"/>
        <v>กลุ่มงานการพยาบาลผู้ป่วยกุมารเวชกรรม</v>
      </c>
      <c r="T800" s="218" t="s">
        <v>4879</v>
      </c>
      <c r="U800" s="26" t="s">
        <v>1302</v>
      </c>
      <c r="V800" s="25">
        <v>12.0</v>
      </c>
      <c r="W800" s="218" t="s">
        <v>3991</v>
      </c>
      <c r="X800" s="98" t="s">
        <v>1312</v>
      </c>
      <c r="Y800" s="31">
        <v>14.0</v>
      </c>
      <c r="Z800" s="31">
        <v>14.0</v>
      </c>
      <c r="AA800" s="31">
        <v>266.0</v>
      </c>
      <c r="AB800" s="31">
        <v>295.0</v>
      </c>
      <c r="AC800" s="32">
        <v>1.0</v>
      </c>
      <c r="AD800" s="218"/>
      <c r="AE800" s="26"/>
      <c r="AF800" s="32">
        <v>5.0</v>
      </c>
      <c r="AG800" s="33">
        <v>1.500401158288E12</v>
      </c>
      <c r="AH800" s="33" t="s">
        <v>699</v>
      </c>
      <c r="AI800" s="40">
        <v>236009.0</v>
      </c>
    </row>
    <row r="801" ht="38.25" hidden="1" customHeight="1">
      <c r="A801" s="32">
        <v>795.0</v>
      </c>
      <c r="B801" s="218" t="s">
        <v>1037</v>
      </c>
      <c r="C801" s="218" t="s">
        <v>6276</v>
      </c>
      <c r="D801" s="218" t="s">
        <v>6277</v>
      </c>
      <c r="E801" s="218" t="s">
        <v>5683</v>
      </c>
      <c r="F801" s="218" t="s">
        <v>5683</v>
      </c>
      <c r="G801" s="234" t="s">
        <v>1110</v>
      </c>
      <c r="H801" s="77" t="s">
        <v>1110</v>
      </c>
      <c r="I801" s="28" t="s">
        <v>6278</v>
      </c>
      <c r="J801" s="29" t="s">
        <v>3949</v>
      </c>
      <c r="K801" s="222" t="s">
        <v>1137</v>
      </c>
      <c r="L801" s="222">
        <v>1.0</v>
      </c>
      <c r="M801" s="27" t="s">
        <v>1137</v>
      </c>
      <c r="N801" s="239" t="s">
        <v>3981</v>
      </c>
      <c r="O801" s="237" t="s">
        <v>4944</v>
      </c>
      <c r="P801" s="238" t="s">
        <v>4945</v>
      </c>
      <c r="Q801" s="237" t="s">
        <v>4869</v>
      </c>
      <c r="R801" s="237" t="s">
        <v>3991</v>
      </c>
      <c r="S801" s="26" t="str">
        <f t="shared" si="122"/>
        <v>กลุ่มงานการพยาบาลผู้ป่วยอุบัติเหตุและฉุกเฉิน</v>
      </c>
      <c r="T801" s="218" t="s">
        <v>4398</v>
      </c>
      <c r="U801" s="26" t="s">
        <v>1302</v>
      </c>
      <c r="V801" s="25">
        <v>12.0</v>
      </c>
      <c r="W801" s="218" t="s">
        <v>3991</v>
      </c>
      <c r="X801" s="98" t="s">
        <v>1312</v>
      </c>
      <c r="Y801" s="31">
        <v>14.0</v>
      </c>
      <c r="Z801" s="31">
        <v>14.0</v>
      </c>
      <c r="AA801" s="31">
        <v>266.0</v>
      </c>
      <c r="AB801" s="31">
        <v>295.0</v>
      </c>
      <c r="AC801" s="32">
        <v>1.0</v>
      </c>
      <c r="AD801" s="26"/>
      <c r="AE801" s="26"/>
      <c r="AF801" s="32">
        <v>5.0</v>
      </c>
      <c r="AG801" s="37">
        <v>1.328800009056E12</v>
      </c>
      <c r="AH801" s="37" t="s">
        <v>836</v>
      </c>
      <c r="AI801" s="44">
        <v>235741.0</v>
      </c>
    </row>
    <row r="802" ht="38.25" hidden="1" customHeight="1">
      <c r="A802" s="32">
        <v>796.0</v>
      </c>
      <c r="B802" s="218" t="s">
        <v>1037</v>
      </c>
      <c r="C802" s="218" t="s">
        <v>6279</v>
      </c>
      <c r="D802" s="218" t="s">
        <v>6280</v>
      </c>
      <c r="E802" s="218" t="s">
        <v>5683</v>
      </c>
      <c r="F802" s="218" t="s">
        <v>5683</v>
      </c>
      <c r="G802" s="234" t="s">
        <v>1110</v>
      </c>
      <c r="H802" s="77" t="s">
        <v>1110</v>
      </c>
      <c r="I802" s="28" t="s">
        <v>6281</v>
      </c>
      <c r="J802" s="29" t="s">
        <v>3949</v>
      </c>
      <c r="K802" s="222" t="s">
        <v>1137</v>
      </c>
      <c r="L802" s="222">
        <v>1.0</v>
      </c>
      <c r="M802" s="27" t="s">
        <v>1137</v>
      </c>
      <c r="N802" s="236" t="s">
        <v>1174</v>
      </c>
      <c r="O802" s="76" t="s">
        <v>5173</v>
      </c>
      <c r="P802" s="238" t="s">
        <v>5174</v>
      </c>
      <c r="Q802" s="237" t="s">
        <v>5115</v>
      </c>
      <c r="R802" s="237" t="s">
        <v>3991</v>
      </c>
      <c r="S802" s="26" t="str">
        <f t="shared" si="122"/>
        <v>กลุ่มงานการพยาบาลผู้คลอด</v>
      </c>
      <c r="T802" s="218" t="s">
        <v>5115</v>
      </c>
      <c r="U802" s="26" t="s">
        <v>1302</v>
      </c>
      <c r="V802" s="25">
        <v>4.0</v>
      </c>
      <c r="W802" s="218" t="s">
        <v>3991</v>
      </c>
      <c r="X802" s="98" t="s">
        <v>1312</v>
      </c>
      <c r="Y802" s="31">
        <v>9.0</v>
      </c>
      <c r="Z802" s="31">
        <v>9.0</v>
      </c>
      <c r="AA802" s="31">
        <v>266.0</v>
      </c>
      <c r="AB802" s="31">
        <v>295.0</v>
      </c>
      <c r="AC802" s="32">
        <v>1.0</v>
      </c>
      <c r="AD802" s="26"/>
      <c r="AE802" s="26"/>
      <c r="AF802" s="32">
        <v>5.0</v>
      </c>
      <c r="AG802" s="37">
        <v>1.501101122815E12</v>
      </c>
      <c r="AH802" s="37" t="s">
        <v>831</v>
      </c>
      <c r="AI802" s="38" t="s">
        <v>6282</v>
      </c>
    </row>
    <row r="803" ht="38.25" hidden="1" customHeight="1">
      <c r="A803" s="32">
        <v>797.0</v>
      </c>
      <c r="B803" s="218" t="s">
        <v>1037</v>
      </c>
      <c r="C803" s="218" t="s">
        <v>6283</v>
      </c>
      <c r="D803" s="218" t="s">
        <v>6284</v>
      </c>
      <c r="E803" s="218" t="s">
        <v>5683</v>
      </c>
      <c r="F803" s="218" t="s">
        <v>5683</v>
      </c>
      <c r="G803" s="234" t="s">
        <v>1110</v>
      </c>
      <c r="H803" s="77" t="s">
        <v>1110</v>
      </c>
      <c r="I803" s="28" t="s">
        <v>6285</v>
      </c>
      <c r="J803" s="29" t="s">
        <v>3949</v>
      </c>
      <c r="K803" s="222" t="s">
        <v>1137</v>
      </c>
      <c r="L803" s="222">
        <v>1.0</v>
      </c>
      <c r="M803" s="27" t="s">
        <v>1137</v>
      </c>
      <c r="N803" s="236" t="s">
        <v>1174</v>
      </c>
      <c r="O803" s="237" t="s">
        <v>4928</v>
      </c>
      <c r="P803" s="238" t="s">
        <v>4929</v>
      </c>
      <c r="Q803" s="245" t="s">
        <v>4858</v>
      </c>
      <c r="R803" s="237" t="s">
        <v>3991</v>
      </c>
      <c r="S803" s="26" t="str">
        <f t="shared" si="122"/>
        <v>กลุ่มงานการพยาบาลผู้ป่วยอายุรกรรม</v>
      </c>
      <c r="T803" s="218" t="s">
        <v>4874</v>
      </c>
      <c r="U803" s="26" t="s">
        <v>1302</v>
      </c>
      <c r="V803" s="25">
        <v>8.0</v>
      </c>
      <c r="W803" s="218" t="s">
        <v>3991</v>
      </c>
      <c r="X803" s="98" t="s">
        <v>1312</v>
      </c>
      <c r="Y803" s="31">
        <v>14.0</v>
      </c>
      <c r="Z803" s="31">
        <v>14.0</v>
      </c>
      <c r="AA803" s="31">
        <v>266.0</v>
      </c>
      <c r="AB803" s="31">
        <v>295.0</v>
      </c>
      <c r="AC803" s="32">
        <v>1.0</v>
      </c>
      <c r="AD803" s="26"/>
      <c r="AE803" s="26"/>
      <c r="AF803" s="32">
        <v>5.0</v>
      </c>
      <c r="AG803" s="37">
        <v>1.500701300799E12</v>
      </c>
      <c r="AH803" s="37" t="s">
        <v>871</v>
      </c>
      <c r="AI803" s="44">
        <v>235590.0</v>
      </c>
    </row>
    <row r="804" ht="38.25" hidden="1" customHeight="1">
      <c r="A804" s="32">
        <v>798.0</v>
      </c>
      <c r="B804" s="219" t="s">
        <v>1037</v>
      </c>
      <c r="C804" s="218" t="s">
        <v>5810</v>
      </c>
      <c r="D804" s="218" t="s">
        <v>6286</v>
      </c>
      <c r="E804" s="219" t="s">
        <v>5683</v>
      </c>
      <c r="F804" s="218" t="s">
        <v>5683</v>
      </c>
      <c r="G804" s="234" t="s">
        <v>1110</v>
      </c>
      <c r="H804" s="27" t="s">
        <v>1110</v>
      </c>
      <c r="I804" s="221" t="s">
        <v>6287</v>
      </c>
      <c r="J804" s="90" t="s">
        <v>3949</v>
      </c>
      <c r="K804" s="222" t="s">
        <v>1137</v>
      </c>
      <c r="L804" s="222">
        <v>1.0</v>
      </c>
      <c r="M804" s="27" t="s">
        <v>1137</v>
      </c>
      <c r="N804" s="236" t="s">
        <v>1174</v>
      </c>
      <c r="O804" s="237" t="s">
        <v>5153</v>
      </c>
      <c r="P804" s="238" t="s">
        <v>4958</v>
      </c>
      <c r="Q804" s="237" t="s">
        <v>4959</v>
      </c>
      <c r="R804" s="237" t="s">
        <v>3991</v>
      </c>
      <c r="S804" s="26" t="str">
        <f t="shared" si="122"/>
        <v>กลุ่มงานการพยาบาลผู้ป่วยหนัก</v>
      </c>
      <c r="T804" s="218" t="s">
        <v>4959</v>
      </c>
      <c r="U804" s="26" t="s">
        <v>1302</v>
      </c>
      <c r="V804" s="25">
        <v>3.0</v>
      </c>
      <c r="W804" s="218" t="s">
        <v>3991</v>
      </c>
      <c r="X804" s="98" t="s">
        <v>1312</v>
      </c>
      <c r="Y804" s="31">
        <v>32.0</v>
      </c>
      <c r="Z804" s="31">
        <v>32.0</v>
      </c>
      <c r="AA804" s="31">
        <v>266.0</v>
      </c>
      <c r="AB804" s="31">
        <v>295.0</v>
      </c>
      <c r="AC804" s="32">
        <v>1.0</v>
      </c>
      <c r="AD804" s="219" t="s">
        <v>5686</v>
      </c>
      <c r="AE804" s="26"/>
      <c r="AF804" s="32">
        <v>5.0</v>
      </c>
      <c r="AG804" s="37">
        <v>1.580401278046E12</v>
      </c>
      <c r="AH804" s="37" t="s">
        <v>323</v>
      </c>
      <c r="AI804" s="44">
        <v>235957.0</v>
      </c>
    </row>
    <row r="805" ht="38.25" hidden="1" customHeight="1">
      <c r="A805" s="32">
        <v>799.0</v>
      </c>
      <c r="B805" s="218"/>
      <c r="C805" s="218"/>
      <c r="D805" s="218"/>
      <c r="E805" s="218" t="s">
        <v>5683</v>
      </c>
      <c r="F805" s="218" t="s">
        <v>5683</v>
      </c>
      <c r="G805" s="234" t="s">
        <v>1110</v>
      </c>
      <c r="H805" s="27" t="s">
        <v>1110</v>
      </c>
      <c r="I805" s="28" t="s">
        <v>6288</v>
      </c>
      <c r="J805" s="29" t="s">
        <v>3949</v>
      </c>
      <c r="K805" s="222" t="s">
        <v>1137</v>
      </c>
      <c r="L805" s="222">
        <v>1.0</v>
      </c>
      <c r="M805" s="27" t="s">
        <v>1137</v>
      </c>
      <c r="N805" s="236" t="s">
        <v>1174</v>
      </c>
      <c r="O805" s="237" t="s">
        <v>5685</v>
      </c>
      <c r="P805" s="238" t="s">
        <v>5183</v>
      </c>
      <c r="Q805" s="237" t="s">
        <v>5184</v>
      </c>
      <c r="R805" s="237" t="s">
        <v>3991</v>
      </c>
      <c r="S805" s="26" t="str">
        <f t="shared" si="122"/>
        <v>กลุ่มงานการพยาบาลผู้ป่วยห้องผ่าตัด</v>
      </c>
      <c r="T805" s="218" t="s">
        <v>5184</v>
      </c>
      <c r="U805" s="26" t="s">
        <v>1302</v>
      </c>
      <c r="V805" s="25">
        <v>5.0</v>
      </c>
      <c r="W805" s="218" t="s">
        <v>3991</v>
      </c>
      <c r="X805" s="98" t="s">
        <v>1312</v>
      </c>
      <c r="Y805" s="31">
        <v>25.0</v>
      </c>
      <c r="Z805" s="31">
        <v>25.0</v>
      </c>
      <c r="AA805" s="31">
        <v>266.0</v>
      </c>
      <c r="AB805" s="31">
        <v>295.0</v>
      </c>
      <c r="AC805" s="32">
        <v>1.0</v>
      </c>
      <c r="AD805" s="26"/>
      <c r="AE805" s="26"/>
      <c r="AF805" s="32">
        <v>5.0</v>
      </c>
      <c r="AG805" s="61"/>
      <c r="AH805" s="61"/>
      <c r="AI805" s="62"/>
    </row>
    <row r="806" ht="38.25" hidden="1" customHeight="1">
      <c r="A806" s="32">
        <v>800.0</v>
      </c>
      <c r="B806" s="218" t="s">
        <v>1037</v>
      </c>
      <c r="C806" s="218" t="s">
        <v>6289</v>
      </c>
      <c r="D806" s="218" t="s">
        <v>6290</v>
      </c>
      <c r="E806" s="218" t="s">
        <v>5683</v>
      </c>
      <c r="F806" s="218" t="s">
        <v>5683</v>
      </c>
      <c r="G806" s="220" t="s">
        <v>1110</v>
      </c>
      <c r="H806" s="27" t="s">
        <v>1110</v>
      </c>
      <c r="I806" s="28" t="s">
        <v>6291</v>
      </c>
      <c r="J806" s="29" t="s">
        <v>3949</v>
      </c>
      <c r="K806" s="222" t="s">
        <v>1137</v>
      </c>
      <c r="L806" s="222">
        <v>1.0</v>
      </c>
      <c r="M806" s="27" t="s">
        <v>1137</v>
      </c>
      <c r="N806" s="223" t="s">
        <v>1174</v>
      </c>
      <c r="O806" s="224" t="s">
        <v>4644</v>
      </c>
      <c r="P806" s="225" t="s">
        <v>5348</v>
      </c>
      <c r="Q806" s="224" t="s">
        <v>5349</v>
      </c>
      <c r="R806" s="237" t="s">
        <v>3991</v>
      </c>
      <c r="S806" s="26" t="str">
        <f t="shared" si="122"/>
        <v>กลุ่มงานการพยาบาลวิสัญญี</v>
      </c>
      <c r="T806" s="218" t="s">
        <v>5349</v>
      </c>
      <c r="U806" s="26" t="s">
        <v>1302</v>
      </c>
      <c r="V806" s="25">
        <v>6.0</v>
      </c>
      <c r="W806" s="218" t="s">
        <v>3991</v>
      </c>
      <c r="X806" s="98" t="s">
        <v>1312</v>
      </c>
      <c r="Y806" s="31">
        <v>18.0</v>
      </c>
      <c r="Z806" s="31">
        <v>18.0</v>
      </c>
      <c r="AA806" s="31">
        <v>266.0</v>
      </c>
      <c r="AB806" s="31">
        <v>295.0</v>
      </c>
      <c r="AC806" s="32">
        <v>1.0</v>
      </c>
      <c r="AD806" s="26"/>
      <c r="AE806" s="26"/>
      <c r="AF806" s="32">
        <v>5.0</v>
      </c>
      <c r="AG806" s="33">
        <v>1.509966204869E12</v>
      </c>
      <c r="AH806" s="33" t="s">
        <v>822</v>
      </c>
      <c r="AI806" s="40">
        <v>235892.0</v>
      </c>
    </row>
    <row r="807" ht="38.25" hidden="1" customHeight="1">
      <c r="A807" s="32">
        <v>801.0</v>
      </c>
      <c r="B807" s="246" t="s">
        <v>1037</v>
      </c>
      <c r="C807" s="246" t="s">
        <v>6292</v>
      </c>
      <c r="D807" s="246" t="s">
        <v>6293</v>
      </c>
      <c r="E807" s="246" t="s">
        <v>5683</v>
      </c>
      <c r="F807" s="246" t="s">
        <v>5683</v>
      </c>
      <c r="G807" s="131" t="s">
        <v>1110</v>
      </c>
      <c r="H807" s="27" t="s">
        <v>1110</v>
      </c>
      <c r="I807" s="265" t="s">
        <v>6294</v>
      </c>
      <c r="J807" s="150" t="s">
        <v>3949</v>
      </c>
      <c r="K807" s="248" t="s">
        <v>1137</v>
      </c>
      <c r="L807" s="248">
        <v>1.0</v>
      </c>
      <c r="M807" s="27" t="s">
        <v>1137</v>
      </c>
      <c r="N807" s="155" t="s">
        <v>3981</v>
      </c>
      <c r="O807" s="249" t="s">
        <v>5125</v>
      </c>
      <c r="P807" s="250" t="s">
        <v>5125</v>
      </c>
      <c r="Q807" s="249" t="s">
        <v>4063</v>
      </c>
      <c r="R807" s="130" t="s">
        <v>4064</v>
      </c>
      <c r="S807" s="148" t="str">
        <f t="shared" si="122"/>
        <v>กลุ่มงานการพยาบาลผู้ป่วยหนัก</v>
      </c>
      <c r="T807" s="246" t="s">
        <v>4959</v>
      </c>
      <c r="U807" s="26" t="s">
        <v>1302</v>
      </c>
      <c r="V807" s="151" t="s">
        <v>6295</v>
      </c>
      <c r="W807" s="246" t="s">
        <v>3991</v>
      </c>
      <c r="X807" s="25" t="s">
        <v>3935</v>
      </c>
      <c r="Y807" s="154">
        <v>5.0</v>
      </c>
      <c r="Z807" s="154">
        <v>26.0</v>
      </c>
      <c r="AA807" s="63">
        <v>66.0</v>
      </c>
      <c r="AB807" s="154">
        <v>295.0</v>
      </c>
      <c r="AC807" s="32">
        <v>1.0</v>
      </c>
      <c r="AD807" s="251"/>
      <c r="AE807" s="251"/>
      <c r="AF807" s="252">
        <v>5.0</v>
      </c>
      <c r="AG807" s="37">
        <v>1.50080109645E12</v>
      </c>
      <c r="AH807" s="37" t="s">
        <v>1280</v>
      </c>
      <c r="AI807" s="44">
        <v>235372.0</v>
      </c>
    </row>
    <row r="808" ht="38.25" hidden="1" customHeight="1">
      <c r="A808" s="32">
        <v>802.0</v>
      </c>
      <c r="B808" s="218" t="s">
        <v>1037</v>
      </c>
      <c r="C808" s="218" t="s">
        <v>6296</v>
      </c>
      <c r="D808" s="218" t="s">
        <v>6297</v>
      </c>
      <c r="E808" s="218" t="s">
        <v>5683</v>
      </c>
      <c r="F808" s="218" t="s">
        <v>5683</v>
      </c>
      <c r="G808" s="234" t="s">
        <v>1110</v>
      </c>
      <c r="H808" s="27" t="s">
        <v>1110</v>
      </c>
      <c r="I808" s="28" t="s">
        <v>6298</v>
      </c>
      <c r="J808" s="29" t="s">
        <v>3949</v>
      </c>
      <c r="K808" s="222" t="s">
        <v>1137</v>
      </c>
      <c r="L808" s="222">
        <v>1.0</v>
      </c>
      <c r="M808" s="27" t="s">
        <v>1137</v>
      </c>
      <c r="N808" s="236" t="s">
        <v>1174</v>
      </c>
      <c r="O808" s="76" t="s">
        <v>5173</v>
      </c>
      <c r="P808" s="238" t="s">
        <v>5174</v>
      </c>
      <c r="Q808" s="237" t="s">
        <v>5115</v>
      </c>
      <c r="R808" s="237" t="s">
        <v>3991</v>
      </c>
      <c r="S808" s="26" t="str">
        <f t="shared" si="122"/>
        <v>กลุ่มงานการพยาบาลผู้คลอด</v>
      </c>
      <c r="T808" s="218" t="s">
        <v>5115</v>
      </c>
      <c r="U808" s="26" t="s">
        <v>1302</v>
      </c>
      <c r="V808" s="25">
        <v>4.0</v>
      </c>
      <c r="W808" s="218" t="s">
        <v>3991</v>
      </c>
      <c r="X808" s="98" t="s">
        <v>1312</v>
      </c>
      <c r="Y808" s="31">
        <v>9.0</v>
      </c>
      <c r="Z808" s="31">
        <v>9.0</v>
      </c>
      <c r="AA808" s="31">
        <v>266.0</v>
      </c>
      <c r="AB808" s="31">
        <v>295.0</v>
      </c>
      <c r="AC808" s="32">
        <v>1.0</v>
      </c>
      <c r="AD808" s="26"/>
      <c r="AE808" s="26"/>
      <c r="AF808" s="32">
        <v>5.0</v>
      </c>
      <c r="AG808" s="33">
        <v>1.509966249528E12</v>
      </c>
      <c r="AH808" s="33" t="s">
        <v>897</v>
      </c>
      <c r="AI808" s="34" t="s">
        <v>6299</v>
      </c>
    </row>
    <row r="809" ht="38.25" hidden="1" customHeight="1">
      <c r="A809" s="32">
        <v>803.0</v>
      </c>
      <c r="B809" s="218" t="s">
        <v>1037</v>
      </c>
      <c r="C809" s="218" t="s">
        <v>6300</v>
      </c>
      <c r="D809" s="218" t="s">
        <v>6301</v>
      </c>
      <c r="E809" s="219" t="s">
        <v>5683</v>
      </c>
      <c r="F809" s="218" t="s">
        <v>5683</v>
      </c>
      <c r="G809" s="234" t="s">
        <v>1110</v>
      </c>
      <c r="H809" s="27" t="s">
        <v>1110</v>
      </c>
      <c r="I809" s="221" t="s">
        <v>6302</v>
      </c>
      <c r="J809" s="90" t="s">
        <v>3949</v>
      </c>
      <c r="K809" s="222" t="s">
        <v>1137</v>
      </c>
      <c r="L809" s="222">
        <v>1.0</v>
      </c>
      <c r="M809" s="27" t="s">
        <v>1137</v>
      </c>
      <c r="N809" s="236" t="s">
        <v>1174</v>
      </c>
      <c r="O809" s="237" t="s">
        <v>4928</v>
      </c>
      <c r="P809" s="238" t="s">
        <v>4929</v>
      </c>
      <c r="Q809" s="218" t="s">
        <v>4858</v>
      </c>
      <c r="R809" s="237" t="s">
        <v>3991</v>
      </c>
      <c r="S809" s="26" t="str">
        <f t="shared" si="122"/>
        <v>กลุ่มงานการพยาบาลผู้ป่วยอายุรกรรม</v>
      </c>
      <c r="T809" s="218" t="s">
        <v>4874</v>
      </c>
      <c r="U809" s="26" t="s">
        <v>1302</v>
      </c>
      <c r="V809" s="25">
        <v>8.0</v>
      </c>
      <c r="W809" s="218" t="s">
        <v>3991</v>
      </c>
      <c r="X809" s="98" t="s">
        <v>1312</v>
      </c>
      <c r="Y809" s="31">
        <v>14.0</v>
      </c>
      <c r="Z809" s="31">
        <v>14.0</v>
      </c>
      <c r="AA809" s="31">
        <v>266.0</v>
      </c>
      <c r="AB809" s="31">
        <v>295.0</v>
      </c>
      <c r="AC809" s="32">
        <v>1.0</v>
      </c>
      <c r="AD809" s="219" t="s">
        <v>5686</v>
      </c>
      <c r="AE809" s="26"/>
      <c r="AF809" s="32">
        <v>5.0</v>
      </c>
      <c r="AG809" s="37">
        <v>1.500301259783E12</v>
      </c>
      <c r="AH809" s="37" t="s">
        <v>383</v>
      </c>
      <c r="AI809" s="38" t="s">
        <v>6303</v>
      </c>
    </row>
    <row r="810" ht="38.25" hidden="1" customHeight="1">
      <c r="A810" s="32">
        <v>804.0</v>
      </c>
      <c r="B810" s="218" t="s">
        <v>1037</v>
      </c>
      <c r="C810" s="218" t="s">
        <v>6108</v>
      </c>
      <c r="D810" s="218" t="s">
        <v>6304</v>
      </c>
      <c r="E810" s="218" t="s">
        <v>5683</v>
      </c>
      <c r="F810" s="218" t="s">
        <v>5683</v>
      </c>
      <c r="G810" s="234" t="s">
        <v>1110</v>
      </c>
      <c r="H810" s="27" t="s">
        <v>1110</v>
      </c>
      <c r="I810" s="28" t="s">
        <v>6305</v>
      </c>
      <c r="J810" s="29" t="s">
        <v>3949</v>
      </c>
      <c r="K810" s="222" t="s">
        <v>1137</v>
      </c>
      <c r="L810" s="222">
        <v>1.0</v>
      </c>
      <c r="M810" s="27" t="s">
        <v>1137</v>
      </c>
      <c r="N810" s="239" t="s">
        <v>3981</v>
      </c>
      <c r="O810" s="237" t="s">
        <v>5986</v>
      </c>
      <c r="P810" s="238" t="s">
        <v>4868</v>
      </c>
      <c r="Q810" s="237" t="s">
        <v>4869</v>
      </c>
      <c r="R810" s="237" t="s">
        <v>3991</v>
      </c>
      <c r="S810" s="26" t="str">
        <f t="shared" si="122"/>
        <v>กลุ่มงานการพยาบาลผู้ป่วยอายุรกรรม</v>
      </c>
      <c r="T810" s="218" t="s">
        <v>4874</v>
      </c>
      <c r="U810" s="26" t="s">
        <v>1302</v>
      </c>
      <c r="V810" s="25">
        <v>12.0</v>
      </c>
      <c r="W810" s="218" t="s">
        <v>3991</v>
      </c>
      <c r="X810" s="98" t="s">
        <v>1312</v>
      </c>
      <c r="Y810" s="31">
        <v>14.0</v>
      </c>
      <c r="Z810" s="31">
        <v>14.0</v>
      </c>
      <c r="AA810" s="31">
        <v>266.0</v>
      </c>
      <c r="AB810" s="31">
        <v>295.0</v>
      </c>
      <c r="AC810" s="32">
        <v>1.0</v>
      </c>
      <c r="AD810" s="26"/>
      <c r="AE810" s="26"/>
      <c r="AF810" s="32">
        <v>5.0</v>
      </c>
      <c r="AG810" s="37">
        <v>1.509966194995E12</v>
      </c>
      <c r="AH810" s="37" t="s">
        <v>621</v>
      </c>
      <c r="AI810" s="62"/>
    </row>
    <row r="811" ht="38.25" hidden="1" customHeight="1">
      <c r="A811" s="32">
        <v>805.0</v>
      </c>
      <c r="B811" s="218" t="s">
        <v>806</v>
      </c>
      <c r="C811" s="218" t="s">
        <v>6306</v>
      </c>
      <c r="D811" s="218" t="s">
        <v>6307</v>
      </c>
      <c r="E811" s="218" t="s">
        <v>5683</v>
      </c>
      <c r="F811" s="218" t="s">
        <v>5683</v>
      </c>
      <c r="G811" s="220" t="s">
        <v>1110</v>
      </c>
      <c r="H811" s="77" t="s">
        <v>1110</v>
      </c>
      <c r="I811" s="28" t="s">
        <v>6308</v>
      </c>
      <c r="J811" s="29" t="s">
        <v>3949</v>
      </c>
      <c r="K811" s="222" t="s">
        <v>1137</v>
      </c>
      <c r="L811" s="222">
        <v>1.0</v>
      </c>
      <c r="M811" s="27" t="s">
        <v>1137</v>
      </c>
      <c r="N811" s="223" t="s">
        <v>1174</v>
      </c>
      <c r="O811" s="224" t="s">
        <v>4789</v>
      </c>
      <c r="P811" s="225" t="s">
        <v>4886</v>
      </c>
      <c r="Q811" s="224" t="s">
        <v>4887</v>
      </c>
      <c r="R811" s="237" t="s">
        <v>3991</v>
      </c>
      <c r="S811" s="26" t="str">
        <f t="shared" si="122"/>
        <v>กลุ่มงานการพยาบาลผู้ป่วยนอก</v>
      </c>
      <c r="T811" s="218" t="s">
        <v>4887</v>
      </c>
      <c r="U811" s="26" t="s">
        <v>1302</v>
      </c>
      <c r="V811" s="25">
        <v>2.0</v>
      </c>
      <c r="W811" s="218" t="s">
        <v>3991</v>
      </c>
      <c r="X811" s="98" t="s">
        <v>1312</v>
      </c>
      <c r="Y811" s="31">
        <v>25.0</v>
      </c>
      <c r="Z811" s="31">
        <v>25.0</v>
      </c>
      <c r="AA811" s="31">
        <v>266.0</v>
      </c>
      <c r="AB811" s="31">
        <v>295.0</v>
      </c>
      <c r="AC811" s="32">
        <v>1.0</v>
      </c>
      <c r="AD811" s="26"/>
      <c r="AE811" s="26"/>
      <c r="AF811" s="32">
        <v>5.0</v>
      </c>
      <c r="AG811" s="33">
        <v>3.501400287359E12</v>
      </c>
      <c r="AH811" s="33" t="s">
        <v>473</v>
      </c>
      <c r="AI811" s="34" t="s">
        <v>6309</v>
      </c>
    </row>
    <row r="812" ht="38.25" hidden="1" customHeight="1">
      <c r="A812" s="32">
        <v>806.0</v>
      </c>
      <c r="B812" s="218" t="s">
        <v>1037</v>
      </c>
      <c r="C812" s="218" t="s">
        <v>6310</v>
      </c>
      <c r="D812" s="218" t="s">
        <v>6311</v>
      </c>
      <c r="E812" s="218" t="s">
        <v>5683</v>
      </c>
      <c r="F812" s="218" t="s">
        <v>5683</v>
      </c>
      <c r="G812" s="234" t="s">
        <v>1110</v>
      </c>
      <c r="H812" s="27" t="s">
        <v>1110</v>
      </c>
      <c r="I812" s="28" t="s">
        <v>6312</v>
      </c>
      <c r="J812" s="29" t="s">
        <v>3949</v>
      </c>
      <c r="K812" s="222" t="s">
        <v>1137</v>
      </c>
      <c r="L812" s="222">
        <v>1.0</v>
      </c>
      <c r="M812" s="27" t="s">
        <v>1137</v>
      </c>
      <c r="N812" s="236" t="s">
        <v>1174</v>
      </c>
      <c r="O812" s="237" t="s">
        <v>4877</v>
      </c>
      <c r="P812" s="238" t="s">
        <v>4878</v>
      </c>
      <c r="Q812" s="237" t="s">
        <v>4874</v>
      </c>
      <c r="R812" s="237" t="s">
        <v>3991</v>
      </c>
      <c r="S812" s="26" t="str">
        <f t="shared" si="122"/>
        <v>กลุ่มงานการพยาบาลผู้ป่วยอายุรกรรม</v>
      </c>
      <c r="T812" s="218" t="s">
        <v>4874</v>
      </c>
      <c r="U812" s="26" t="s">
        <v>1302</v>
      </c>
      <c r="V812" s="25">
        <v>7.0</v>
      </c>
      <c r="W812" s="218" t="s">
        <v>3991</v>
      </c>
      <c r="X812" s="98" t="s">
        <v>1312</v>
      </c>
      <c r="Y812" s="31">
        <v>44.0</v>
      </c>
      <c r="Z812" s="31">
        <v>44.0</v>
      </c>
      <c r="AA812" s="31">
        <v>266.0</v>
      </c>
      <c r="AB812" s="31">
        <v>295.0</v>
      </c>
      <c r="AC812" s="32">
        <v>1.0</v>
      </c>
      <c r="AD812" s="26"/>
      <c r="AE812" s="26"/>
      <c r="AF812" s="32">
        <v>5.0</v>
      </c>
      <c r="AG812" s="33">
        <v>1.510101408904E12</v>
      </c>
      <c r="AH812" s="33" t="s">
        <v>670</v>
      </c>
      <c r="AI812" s="40">
        <v>235803.0</v>
      </c>
    </row>
    <row r="813" ht="38.25" hidden="1" customHeight="1">
      <c r="A813" s="32">
        <v>807.0</v>
      </c>
      <c r="B813" s="26"/>
      <c r="C813" s="26"/>
      <c r="D813" s="26"/>
      <c r="E813" s="218" t="s">
        <v>5683</v>
      </c>
      <c r="F813" s="218" t="s">
        <v>5683</v>
      </c>
      <c r="G813" s="234" t="s">
        <v>1110</v>
      </c>
      <c r="H813" s="27" t="s">
        <v>1110</v>
      </c>
      <c r="I813" s="28" t="s">
        <v>6313</v>
      </c>
      <c r="J813" s="29" t="s">
        <v>3949</v>
      </c>
      <c r="K813" s="222" t="s">
        <v>1137</v>
      </c>
      <c r="L813" s="222">
        <v>1.0</v>
      </c>
      <c r="M813" s="27" t="s">
        <v>1137</v>
      </c>
      <c r="N813" s="236" t="s">
        <v>1174</v>
      </c>
      <c r="O813" s="237" t="s">
        <v>4789</v>
      </c>
      <c r="P813" s="238" t="s">
        <v>4886</v>
      </c>
      <c r="Q813" s="237" t="s">
        <v>4887</v>
      </c>
      <c r="R813" s="237" t="s">
        <v>3991</v>
      </c>
      <c r="S813" s="26" t="str">
        <f t="shared" si="122"/>
        <v>กลุ่มงานการพยาบาลผู้ป่วยนอก</v>
      </c>
      <c r="T813" s="218" t="s">
        <v>4887</v>
      </c>
      <c r="U813" s="26" t="s">
        <v>1302</v>
      </c>
      <c r="V813" s="25">
        <v>2.0</v>
      </c>
      <c r="W813" s="218" t="s">
        <v>3991</v>
      </c>
      <c r="X813" s="98" t="s">
        <v>1312</v>
      </c>
      <c r="Y813" s="31">
        <v>25.0</v>
      </c>
      <c r="Z813" s="31">
        <v>25.0</v>
      </c>
      <c r="AA813" s="31">
        <v>266.0</v>
      </c>
      <c r="AB813" s="31">
        <v>295.0</v>
      </c>
      <c r="AC813" s="32">
        <v>0.0</v>
      </c>
      <c r="AD813" s="218" t="s">
        <v>4155</v>
      </c>
      <c r="AE813" s="26"/>
      <c r="AF813" s="32">
        <v>5.0</v>
      </c>
      <c r="AG813" s="65"/>
      <c r="AH813" s="65"/>
      <c r="AI813" s="66"/>
    </row>
    <row r="814" ht="38.25" hidden="1" customHeight="1">
      <c r="A814" s="32">
        <v>808.0</v>
      </c>
      <c r="B814" s="26"/>
      <c r="C814" s="26"/>
      <c r="D814" s="26"/>
      <c r="E814" s="218" t="s">
        <v>5683</v>
      </c>
      <c r="F814" s="218" t="s">
        <v>5683</v>
      </c>
      <c r="G814" s="220" t="s">
        <v>1110</v>
      </c>
      <c r="H814" s="27" t="s">
        <v>1110</v>
      </c>
      <c r="I814" s="28" t="s">
        <v>6314</v>
      </c>
      <c r="J814" s="29" t="s">
        <v>3949</v>
      </c>
      <c r="K814" s="222" t="s">
        <v>1137</v>
      </c>
      <c r="L814" s="222">
        <v>1.0</v>
      </c>
      <c r="M814" s="27" t="s">
        <v>1137</v>
      </c>
      <c r="N814" s="223" t="s">
        <v>3981</v>
      </c>
      <c r="O814" s="224" t="s">
        <v>4789</v>
      </c>
      <c r="P814" s="225" t="s">
        <v>4886</v>
      </c>
      <c r="Q814" s="224" t="s">
        <v>4887</v>
      </c>
      <c r="R814" s="224" t="s">
        <v>3991</v>
      </c>
      <c r="S814" s="26" t="str">
        <f t="shared" si="122"/>
        <v>กลุ่มงานการพยาบาลผู้ป่วยหนัก</v>
      </c>
      <c r="T814" s="218" t="s">
        <v>4959</v>
      </c>
      <c r="U814" s="26" t="s">
        <v>1302</v>
      </c>
      <c r="V814" s="25">
        <v>2.0</v>
      </c>
      <c r="W814" s="218" t="s">
        <v>3991</v>
      </c>
      <c r="X814" s="98" t="s">
        <v>1312</v>
      </c>
      <c r="Y814" s="31">
        <v>25.0</v>
      </c>
      <c r="Z814" s="31">
        <v>25.0</v>
      </c>
      <c r="AA814" s="31">
        <v>266.0</v>
      </c>
      <c r="AB814" s="31">
        <v>295.0</v>
      </c>
      <c r="AC814" s="32">
        <v>0.0</v>
      </c>
      <c r="AD814" s="218" t="s">
        <v>4155</v>
      </c>
      <c r="AE814" s="26"/>
      <c r="AF814" s="32">
        <v>5.0</v>
      </c>
      <c r="AG814" s="65"/>
      <c r="AH814" s="65"/>
      <c r="AI814" s="66"/>
    </row>
    <row r="815" ht="38.25" hidden="1" customHeight="1">
      <c r="A815" s="32">
        <v>809.0</v>
      </c>
      <c r="B815" s="218"/>
      <c r="C815" s="218"/>
      <c r="D815" s="218"/>
      <c r="E815" s="218" t="s">
        <v>5683</v>
      </c>
      <c r="F815" s="218" t="s">
        <v>5683</v>
      </c>
      <c r="G815" s="220" t="s">
        <v>1110</v>
      </c>
      <c r="H815" s="27" t="s">
        <v>1110</v>
      </c>
      <c r="I815" s="28" t="s">
        <v>6315</v>
      </c>
      <c r="J815" s="29" t="s">
        <v>3949</v>
      </c>
      <c r="K815" s="222" t="s">
        <v>1137</v>
      </c>
      <c r="L815" s="222">
        <v>1.0</v>
      </c>
      <c r="M815" s="27" t="s">
        <v>1137</v>
      </c>
      <c r="N815" s="227" t="s">
        <v>3981</v>
      </c>
      <c r="O815" s="224" t="s">
        <v>4882</v>
      </c>
      <c r="P815" s="225" t="s">
        <v>4883</v>
      </c>
      <c r="Q815" s="224" t="s">
        <v>4874</v>
      </c>
      <c r="R815" s="224" t="s">
        <v>3991</v>
      </c>
      <c r="S815" s="26" t="str">
        <f t="shared" si="122"/>
        <v>กลุ่มงานการพยาบาลผู้ป่วยศัลยกรรม</v>
      </c>
      <c r="T815" s="218" t="s">
        <v>4858</v>
      </c>
      <c r="U815" s="26" t="s">
        <v>1302</v>
      </c>
      <c r="V815" s="25">
        <v>7.0</v>
      </c>
      <c r="W815" s="218" t="s">
        <v>3991</v>
      </c>
      <c r="X815" s="98" t="s">
        <v>1312</v>
      </c>
      <c r="Y815" s="31">
        <v>44.0</v>
      </c>
      <c r="Z815" s="31">
        <v>44.0</v>
      </c>
      <c r="AA815" s="31">
        <v>266.0</v>
      </c>
      <c r="AB815" s="31">
        <v>295.0</v>
      </c>
      <c r="AC815" s="32">
        <v>0.0</v>
      </c>
      <c r="AD815" s="26" t="s">
        <v>4155</v>
      </c>
      <c r="AE815" s="26"/>
      <c r="AF815" s="32">
        <v>5.0</v>
      </c>
      <c r="AG815" s="65"/>
      <c r="AH815" s="65"/>
      <c r="AI815" s="66"/>
    </row>
    <row r="816" ht="38.25" hidden="1" customHeight="1">
      <c r="A816" s="32">
        <v>810.0</v>
      </c>
      <c r="B816" s="218"/>
      <c r="C816" s="218"/>
      <c r="D816" s="218"/>
      <c r="E816" s="218" t="s">
        <v>5683</v>
      </c>
      <c r="F816" s="218" t="s">
        <v>5683</v>
      </c>
      <c r="G816" s="220" t="s">
        <v>1110</v>
      </c>
      <c r="H816" s="27" t="s">
        <v>1110</v>
      </c>
      <c r="I816" s="28" t="s">
        <v>6316</v>
      </c>
      <c r="J816" s="29" t="s">
        <v>3949</v>
      </c>
      <c r="K816" s="222" t="s">
        <v>1137</v>
      </c>
      <c r="L816" s="222">
        <v>1.0</v>
      </c>
      <c r="M816" s="27" t="s">
        <v>1137</v>
      </c>
      <c r="N816" s="223" t="s">
        <v>1174</v>
      </c>
      <c r="O816" s="224" t="s">
        <v>5904</v>
      </c>
      <c r="P816" s="225" t="s">
        <v>4938</v>
      </c>
      <c r="Q816" s="26" t="s">
        <v>4939</v>
      </c>
      <c r="R816" s="224" t="s">
        <v>3991</v>
      </c>
      <c r="S816" s="26" t="str">
        <f t="shared" si="122"/>
        <v>กลุ่มงานการพยาบาลผู้ป่วยโสต ศอ นาสิก จักษุ</v>
      </c>
      <c r="T816" s="218" t="s">
        <v>4939</v>
      </c>
      <c r="U816" s="26" t="s">
        <v>1302</v>
      </c>
      <c r="V816" s="25">
        <v>13.0</v>
      </c>
      <c r="W816" s="218" t="s">
        <v>3991</v>
      </c>
      <c r="X816" s="98" t="s">
        <v>1312</v>
      </c>
      <c r="Y816" s="31">
        <v>6.0</v>
      </c>
      <c r="Z816" s="31">
        <v>6.0</v>
      </c>
      <c r="AA816" s="31">
        <v>266.0</v>
      </c>
      <c r="AB816" s="31">
        <v>295.0</v>
      </c>
      <c r="AC816" s="32">
        <v>1.0</v>
      </c>
      <c r="AD816" s="26"/>
      <c r="AE816" s="26"/>
      <c r="AF816" s="32">
        <v>5.0</v>
      </c>
      <c r="AG816" s="61"/>
      <c r="AH816" s="61"/>
      <c r="AI816" s="62"/>
    </row>
    <row r="817" ht="38.25" hidden="1" customHeight="1">
      <c r="A817" s="32">
        <v>811.0</v>
      </c>
      <c r="B817" s="218"/>
      <c r="C817" s="218"/>
      <c r="D817" s="218"/>
      <c r="E817" s="218" t="s">
        <v>5683</v>
      </c>
      <c r="F817" s="218" t="s">
        <v>5683</v>
      </c>
      <c r="G817" s="220" t="s">
        <v>1110</v>
      </c>
      <c r="H817" s="27" t="s">
        <v>1110</v>
      </c>
      <c r="I817" s="28" t="s">
        <v>6317</v>
      </c>
      <c r="J817" s="29" t="s">
        <v>3949</v>
      </c>
      <c r="K817" s="222" t="s">
        <v>1137</v>
      </c>
      <c r="L817" s="222">
        <v>1.0</v>
      </c>
      <c r="M817" s="27" t="s">
        <v>1137</v>
      </c>
      <c r="N817" s="223" t="s">
        <v>1174</v>
      </c>
      <c r="O817" s="224" t="s">
        <v>5685</v>
      </c>
      <c r="P817" s="225" t="s">
        <v>5183</v>
      </c>
      <c r="Q817" s="224" t="s">
        <v>5184</v>
      </c>
      <c r="R817" s="224" t="s">
        <v>3991</v>
      </c>
      <c r="S817" s="26" t="str">
        <f t="shared" si="122"/>
        <v>กลุ่มงานการพยาบาลผู้ป่วยห้องผ่าตัด</v>
      </c>
      <c r="T817" s="218" t="s">
        <v>5184</v>
      </c>
      <c r="U817" s="26" t="s">
        <v>1302</v>
      </c>
      <c r="V817" s="25">
        <v>5.0</v>
      </c>
      <c r="W817" s="218" t="s">
        <v>3991</v>
      </c>
      <c r="X817" s="98" t="s">
        <v>1312</v>
      </c>
      <c r="Y817" s="31">
        <v>25.0</v>
      </c>
      <c r="Z817" s="31">
        <v>25.0</v>
      </c>
      <c r="AA817" s="31">
        <v>266.0</v>
      </c>
      <c r="AB817" s="31">
        <v>266.0</v>
      </c>
      <c r="AC817" s="32">
        <v>0.0</v>
      </c>
      <c r="AD817" s="218" t="s">
        <v>4155</v>
      </c>
      <c r="AE817" s="26"/>
      <c r="AF817" s="32">
        <v>6.0</v>
      </c>
      <c r="AG817" s="65"/>
      <c r="AH817" s="65"/>
      <c r="AI817" s="66"/>
    </row>
    <row r="818" ht="38.25" hidden="1" customHeight="1">
      <c r="A818" s="32">
        <v>812.0</v>
      </c>
      <c r="B818" s="245"/>
      <c r="C818" s="245"/>
      <c r="D818" s="245"/>
      <c r="E818" s="245" t="s">
        <v>5683</v>
      </c>
      <c r="F818" s="245" t="s">
        <v>5683</v>
      </c>
      <c r="G818" s="234" t="s">
        <v>1110</v>
      </c>
      <c r="H818" s="77" t="s">
        <v>1110</v>
      </c>
      <c r="I818" s="164" t="s">
        <v>6318</v>
      </c>
      <c r="J818" s="78" t="s">
        <v>3949</v>
      </c>
      <c r="K818" s="257" t="s">
        <v>1137</v>
      </c>
      <c r="L818" s="257">
        <v>1.0</v>
      </c>
      <c r="M818" s="27" t="s">
        <v>1137</v>
      </c>
      <c r="N818" s="236" t="s">
        <v>1174</v>
      </c>
      <c r="O818" s="237" t="s">
        <v>5118</v>
      </c>
      <c r="P818" s="238" t="s">
        <v>5118</v>
      </c>
      <c r="Q818" s="237" t="s">
        <v>4879</v>
      </c>
      <c r="R818" s="237" t="s">
        <v>3991</v>
      </c>
      <c r="S818" s="76" t="str">
        <f t="shared" si="122"/>
        <v>กลุ่มงานการพยาบาลผู้ป่วยกุมารเวชกรรม</v>
      </c>
      <c r="T818" s="245" t="s">
        <v>4879</v>
      </c>
      <c r="U818" s="26" t="s">
        <v>1302</v>
      </c>
      <c r="V818" s="79">
        <v>11.0</v>
      </c>
      <c r="W818" s="245" t="s">
        <v>3991</v>
      </c>
      <c r="X818" s="98" t="s">
        <v>1312</v>
      </c>
      <c r="Y818" s="81">
        <v>10.0</v>
      </c>
      <c r="Z818" s="81">
        <v>10.0</v>
      </c>
      <c r="AA818" s="81">
        <v>266.0</v>
      </c>
      <c r="AB818" s="81">
        <v>295.0</v>
      </c>
      <c r="AC818" s="32">
        <v>0.0</v>
      </c>
      <c r="AD818" s="245" t="s">
        <v>4155</v>
      </c>
      <c r="AE818" s="76"/>
      <c r="AF818" s="32">
        <v>5.0</v>
      </c>
      <c r="AG818" s="65"/>
      <c r="AH818" s="65"/>
      <c r="AI818" s="66"/>
    </row>
    <row r="819" ht="38.25" hidden="1" customHeight="1">
      <c r="A819" s="32">
        <v>813.0</v>
      </c>
      <c r="B819" s="76"/>
      <c r="C819" s="76"/>
      <c r="D819" s="76"/>
      <c r="E819" s="245" t="s">
        <v>5683</v>
      </c>
      <c r="F819" s="245" t="s">
        <v>5683</v>
      </c>
      <c r="G819" s="234" t="s">
        <v>1110</v>
      </c>
      <c r="H819" s="77" t="s">
        <v>1110</v>
      </c>
      <c r="I819" s="164" t="s">
        <v>6319</v>
      </c>
      <c r="J819" s="78" t="s">
        <v>3949</v>
      </c>
      <c r="K819" s="257" t="s">
        <v>1137</v>
      </c>
      <c r="L819" s="257">
        <v>1.0</v>
      </c>
      <c r="M819" s="27" t="s">
        <v>1137</v>
      </c>
      <c r="N819" s="239" t="s">
        <v>3981</v>
      </c>
      <c r="O819" s="237" t="s">
        <v>5809</v>
      </c>
      <c r="P819" s="238" t="s">
        <v>4958</v>
      </c>
      <c r="Q819" s="237" t="s">
        <v>4959</v>
      </c>
      <c r="R819" s="237" t="s">
        <v>3991</v>
      </c>
      <c r="S819" s="76" t="str">
        <f t="shared" si="122"/>
        <v>กลุ่มงานการพยาบาลผู้ป่วยหนัก</v>
      </c>
      <c r="T819" s="245" t="s">
        <v>4959</v>
      </c>
      <c r="U819" s="26" t="s">
        <v>1302</v>
      </c>
      <c r="V819" s="79">
        <v>3.0</v>
      </c>
      <c r="W819" s="245" t="s">
        <v>3991</v>
      </c>
      <c r="X819" s="98" t="s">
        <v>1312</v>
      </c>
      <c r="Y819" s="81">
        <v>32.0</v>
      </c>
      <c r="Z819" s="81">
        <v>32.0</v>
      </c>
      <c r="AA819" s="81">
        <v>266.0</v>
      </c>
      <c r="AB819" s="81">
        <v>295.0</v>
      </c>
      <c r="AC819" s="32">
        <v>0.0</v>
      </c>
      <c r="AD819" s="245" t="s">
        <v>4155</v>
      </c>
      <c r="AE819" s="76"/>
      <c r="AF819" s="32">
        <v>5.0</v>
      </c>
      <c r="AG819" s="65"/>
      <c r="AH819" s="65"/>
      <c r="AI819" s="66"/>
    </row>
    <row r="820" ht="38.25" hidden="1" customHeight="1">
      <c r="A820" s="32">
        <v>814.0</v>
      </c>
      <c r="B820" s="245"/>
      <c r="C820" s="245"/>
      <c r="D820" s="245"/>
      <c r="E820" s="245" t="s">
        <v>5683</v>
      </c>
      <c r="F820" s="245" t="s">
        <v>5683</v>
      </c>
      <c r="G820" s="77" t="s">
        <v>1110</v>
      </c>
      <c r="H820" s="77" t="s">
        <v>1110</v>
      </c>
      <c r="I820" s="164" t="s">
        <v>6320</v>
      </c>
      <c r="J820" s="78" t="s">
        <v>3949</v>
      </c>
      <c r="K820" s="257" t="s">
        <v>1137</v>
      </c>
      <c r="L820" s="257">
        <v>1.0</v>
      </c>
      <c r="M820" s="27" t="s">
        <v>1137</v>
      </c>
      <c r="N820" s="80" t="s">
        <v>1174</v>
      </c>
      <c r="O820" s="76" t="s">
        <v>4928</v>
      </c>
      <c r="P820" s="245" t="s">
        <v>4929</v>
      </c>
      <c r="Q820" s="245" t="s">
        <v>4858</v>
      </c>
      <c r="R820" s="76" t="s">
        <v>3991</v>
      </c>
      <c r="S820" s="76" t="str">
        <f t="shared" si="122"/>
        <v>กลุ่มงานการพยาบาลผู้ป่วยอายุรกรรม</v>
      </c>
      <c r="T820" s="245" t="s">
        <v>4874</v>
      </c>
      <c r="U820" s="26" t="s">
        <v>1302</v>
      </c>
      <c r="V820" s="79">
        <v>8.0</v>
      </c>
      <c r="W820" s="245" t="s">
        <v>3991</v>
      </c>
      <c r="X820" s="98" t="s">
        <v>1312</v>
      </c>
      <c r="Y820" s="81">
        <v>14.0</v>
      </c>
      <c r="Z820" s="81">
        <v>14.0</v>
      </c>
      <c r="AA820" s="81">
        <v>266.0</v>
      </c>
      <c r="AB820" s="81">
        <v>295.0</v>
      </c>
      <c r="AC820" s="129">
        <v>0.0</v>
      </c>
      <c r="AD820" s="245" t="s">
        <v>4155</v>
      </c>
      <c r="AE820" s="76"/>
      <c r="AF820" s="32">
        <v>5.0</v>
      </c>
      <c r="AG820" s="65"/>
      <c r="AH820" s="65"/>
      <c r="AI820" s="66"/>
    </row>
    <row r="821" ht="38.25" hidden="1" customHeight="1">
      <c r="A821" s="32">
        <v>815.0</v>
      </c>
      <c r="B821" s="245"/>
      <c r="C821" s="245"/>
      <c r="D821" s="245"/>
      <c r="E821" s="245" t="s">
        <v>5683</v>
      </c>
      <c r="F821" s="245" t="s">
        <v>5683</v>
      </c>
      <c r="G821" s="234" t="s">
        <v>1110</v>
      </c>
      <c r="H821" s="77" t="s">
        <v>1110</v>
      </c>
      <c r="I821" s="164" t="s">
        <v>6321</v>
      </c>
      <c r="J821" s="78" t="s">
        <v>3949</v>
      </c>
      <c r="K821" s="257" t="s">
        <v>1137</v>
      </c>
      <c r="L821" s="257">
        <v>1.0</v>
      </c>
      <c r="M821" s="27" t="s">
        <v>1137</v>
      </c>
      <c r="N821" s="239" t="s">
        <v>3981</v>
      </c>
      <c r="O821" s="237" t="s">
        <v>5904</v>
      </c>
      <c r="P821" s="238" t="s">
        <v>4938</v>
      </c>
      <c r="Q821" s="76" t="s">
        <v>4939</v>
      </c>
      <c r="R821" s="237" t="s">
        <v>3991</v>
      </c>
      <c r="S821" s="76" t="str">
        <f t="shared" si="122"/>
        <v>กลุ่มงานการพยาบาลผู้ป่วยอายุรกรรม</v>
      </c>
      <c r="T821" s="245" t="s">
        <v>4874</v>
      </c>
      <c r="U821" s="26" t="s">
        <v>1302</v>
      </c>
      <c r="V821" s="79">
        <v>13.0</v>
      </c>
      <c r="W821" s="245" t="s">
        <v>3991</v>
      </c>
      <c r="X821" s="98" t="s">
        <v>1312</v>
      </c>
      <c r="Y821" s="81">
        <v>6.0</v>
      </c>
      <c r="Z821" s="81">
        <v>6.0</v>
      </c>
      <c r="AA821" s="81">
        <v>266.0</v>
      </c>
      <c r="AB821" s="81">
        <v>295.0</v>
      </c>
      <c r="AC821" s="129">
        <v>1.0</v>
      </c>
      <c r="AD821" s="76"/>
      <c r="AE821" s="76"/>
      <c r="AF821" s="32">
        <v>5.0</v>
      </c>
      <c r="AG821" s="46"/>
      <c r="AH821" s="46"/>
      <c r="AI821" s="47"/>
    </row>
    <row r="822" ht="38.25" hidden="1" customHeight="1">
      <c r="A822" s="32">
        <v>816.0</v>
      </c>
      <c r="B822" s="76"/>
      <c r="C822" s="76"/>
      <c r="D822" s="76"/>
      <c r="E822" s="245" t="s">
        <v>5683</v>
      </c>
      <c r="F822" s="245" t="s">
        <v>5683</v>
      </c>
      <c r="G822" s="234" t="s">
        <v>1110</v>
      </c>
      <c r="H822" s="27" t="s">
        <v>1110</v>
      </c>
      <c r="I822" s="164" t="s">
        <v>6322</v>
      </c>
      <c r="J822" s="78" t="s">
        <v>3949</v>
      </c>
      <c r="K822" s="257" t="s">
        <v>1137</v>
      </c>
      <c r="L822" s="257">
        <v>1.0</v>
      </c>
      <c r="M822" s="27" t="s">
        <v>1137</v>
      </c>
      <c r="N822" s="236" t="s">
        <v>1174</v>
      </c>
      <c r="O822" s="237"/>
      <c r="P822" s="238"/>
      <c r="Q822" s="237" t="s">
        <v>4398</v>
      </c>
      <c r="R822" s="237" t="s">
        <v>3991</v>
      </c>
      <c r="S822" s="76" t="str">
        <f t="shared" si="122"/>
        <v>กลุ่มงานการพยาบาลผู้ป่วยอุบัติเหตุและฉุกเฉิน</v>
      </c>
      <c r="T822" s="245" t="s">
        <v>4398</v>
      </c>
      <c r="U822" s="26" t="s">
        <v>1302</v>
      </c>
      <c r="V822" s="79">
        <v>1.0</v>
      </c>
      <c r="W822" s="245" t="s">
        <v>3991</v>
      </c>
      <c r="X822" s="98" t="s">
        <v>1312</v>
      </c>
      <c r="Y822" s="81">
        <v>20.0</v>
      </c>
      <c r="Z822" s="81">
        <v>20.0</v>
      </c>
      <c r="AA822" s="81">
        <v>266.0</v>
      </c>
      <c r="AB822" s="81">
        <v>295.0</v>
      </c>
      <c r="AC822" s="129">
        <v>0.0</v>
      </c>
      <c r="AD822" s="245" t="s">
        <v>4155</v>
      </c>
      <c r="AE822" s="76"/>
      <c r="AF822" s="32">
        <v>5.0</v>
      </c>
      <c r="AG822" s="65"/>
      <c r="AH822" s="65"/>
      <c r="AI822" s="66"/>
    </row>
    <row r="823" ht="38.25" hidden="1" customHeight="1">
      <c r="A823" s="32">
        <v>817.0</v>
      </c>
      <c r="B823" s="26"/>
      <c r="C823" s="26"/>
      <c r="D823" s="26"/>
      <c r="E823" s="218" t="s">
        <v>5683</v>
      </c>
      <c r="F823" s="218" t="s">
        <v>5683</v>
      </c>
      <c r="G823" s="220" t="s">
        <v>1110</v>
      </c>
      <c r="H823" s="27" t="s">
        <v>1110</v>
      </c>
      <c r="I823" s="28" t="s">
        <v>6323</v>
      </c>
      <c r="J823" s="78" t="s">
        <v>3949</v>
      </c>
      <c r="K823" s="222" t="s">
        <v>1137</v>
      </c>
      <c r="L823" s="222">
        <v>1.0</v>
      </c>
      <c r="M823" s="27" t="s">
        <v>1137</v>
      </c>
      <c r="N823" s="227" t="s">
        <v>3981</v>
      </c>
      <c r="O823" s="224" t="s">
        <v>4928</v>
      </c>
      <c r="P823" s="225" t="s">
        <v>4929</v>
      </c>
      <c r="Q823" s="218" t="s">
        <v>4858</v>
      </c>
      <c r="R823" s="224" t="s">
        <v>3991</v>
      </c>
      <c r="S823" s="26" t="str">
        <f t="shared" si="122"/>
        <v>กลุ่มงานการพยาบาลผู้ป่วยอุบัติเหตุและฉุกเฉิน</v>
      </c>
      <c r="T823" s="218" t="s">
        <v>4398</v>
      </c>
      <c r="U823" s="26" t="s">
        <v>1302</v>
      </c>
      <c r="V823" s="25">
        <v>8.0</v>
      </c>
      <c r="W823" s="218" t="s">
        <v>3991</v>
      </c>
      <c r="X823" s="98" t="s">
        <v>1312</v>
      </c>
      <c r="Y823" s="31">
        <v>14.0</v>
      </c>
      <c r="Z823" s="31">
        <v>14.0</v>
      </c>
      <c r="AA823" s="31">
        <v>266.0</v>
      </c>
      <c r="AB823" s="31">
        <v>295.0</v>
      </c>
      <c r="AC823" s="32">
        <v>0.0</v>
      </c>
      <c r="AD823" s="218" t="s">
        <v>4155</v>
      </c>
      <c r="AE823" s="26"/>
      <c r="AF823" s="32">
        <v>5.0</v>
      </c>
      <c r="AG823" s="65"/>
      <c r="AH823" s="65"/>
      <c r="AI823" s="66"/>
    </row>
    <row r="824" ht="38.25" hidden="1" customHeight="1">
      <c r="A824" s="32">
        <v>818.0</v>
      </c>
      <c r="B824" s="26"/>
      <c r="C824" s="26"/>
      <c r="D824" s="26"/>
      <c r="E824" s="218" t="s">
        <v>5683</v>
      </c>
      <c r="F824" s="218" t="s">
        <v>5683</v>
      </c>
      <c r="G824" s="220" t="s">
        <v>1110</v>
      </c>
      <c r="H824" s="27" t="s">
        <v>1110</v>
      </c>
      <c r="I824" s="28" t="s">
        <v>6324</v>
      </c>
      <c r="J824" s="78" t="s">
        <v>3949</v>
      </c>
      <c r="K824" s="222" t="s">
        <v>1137</v>
      </c>
      <c r="L824" s="222">
        <v>1.0</v>
      </c>
      <c r="M824" s="27" t="s">
        <v>1137</v>
      </c>
      <c r="N824" s="223" t="s">
        <v>1174</v>
      </c>
      <c r="O824" s="224"/>
      <c r="P824" s="225"/>
      <c r="Q824" s="224" t="s">
        <v>4398</v>
      </c>
      <c r="R824" s="224" t="s">
        <v>3991</v>
      </c>
      <c r="S824" s="26" t="str">
        <f t="shared" si="122"/>
        <v>กลุ่มงานการพยาบาลผู้ป่วยอุบัติเหตุและฉุกเฉิน</v>
      </c>
      <c r="T824" s="218" t="s">
        <v>4398</v>
      </c>
      <c r="U824" s="26" t="s">
        <v>1302</v>
      </c>
      <c r="V824" s="25">
        <v>1.0</v>
      </c>
      <c r="W824" s="218" t="s">
        <v>3991</v>
      </c>
      <c r="X824" s="98" t="s">
        <v>1312</v>
      </c>
      <c r="Y824" s="31">
        <v>20.0</v>
      </c>
      <c r="Z824" s="31">
        <v>20.0</v>
      </c>
      <c r="AA824" s="31">
        <v>266.0</v>
      </c>
      <c r="AB824" s="31">
        <v>295.0</v>
      </c>
      <c r="AC824" s="32">
        <v>0.0</v>
      </c>
      <c r="AD824" s="218" t="s">
        <v>4155</v>
      </c>
      <c r="AE824" s="26"/>
      <c r="AF824" s="32">
        <v>5.0</v>
      </c>
      <c r="AG824" s="65"/>
      <c r="AH824" s="65"/>
      <c r="AI824" s="66"/>
    </row>
    <row r="825" ht="38.25" hidden="1" customHeight="1">
      <c r="A825" s="32">
        <v>819.0</v>
      </c>
      <c r="B825" s="218" t="s">
        <v>1037</v>
      </c>
      <c r="C825" s="218" t="s">
        <v>6325</v>
      </c>
      <c r="D825" s="218" t="s">
        <v>6326</v>
      </c>
      <c r="E825" s="218" t="s">
        <v>5683</v>
      </c>
      <c r="F825" s="218" t="s">
        <v>5683</v>
      </c>
      <c r="G825" s="220" t="s">
        <v>1110</v>
      </c>
      <c r="H825" s="27" t="s">
        <v>1110</v>
      </c>
      <c r="I825" s="221" t="s">
        <v>6327</v>
      </c>
      <c r="J825" s="29" t="s">
        <v>3963</v>
      </c>
      <c r="K825" s="222" t="s">
        <v>1137</v>
      </c>
      <c r="L825" s="222">
        <v>1.0</v>
      </c>
      <c r="M825" s="27" t="s">
        <v>1137</v>
      </c>
      <c r="N825" s="223" t="s">
        <v>1174</v>
      </c>
      <c r="O825" s="224" t="s">
        <v>5809</v>
      </c>
      <c r="P825" s="225" t="s">
        <v>4958</v>
      </c>
      <c r="Q825" s="224" t="s">
        <v>4959</v>
      </c>
      <c r="R825" s="224" t="s">
        <v>3991</v>
      </c>
      <c r="S825" s="26" t="str">
        <f t="shared" si="122"/>
        <v>กลุ่มงานการพยาบาลผู้ป่วยกุมารเวชกรรม</v>
      </c>
      <c r="T825" s="218" t="s">
        <v>4879</v>
      </c>
      <c r="U825" s="26" t="s">
        <v>1302</v>
      </c>
      <c r="V825" s="25">
        <v>3.0</v>
      </c>
      <c r="W825" s="218" t="s">
        <v>3991</v>
      </c>
      <c r="X825" s="98" t="s">
        <v>1312</v>
      </c>
      <c r="Y825" s="31">
        <v>32.0</v>
      </c>
      <c r="Z825" s="31">
        <v>32.0</v>
      </c>
      <c r="AA825" s="31">
        <v>266.0</v>
      </c>
      <c r="AB825" s="31">
        <v>295.0</v>
      </c>
      <c r="AC825" s="32">
        <v>1.0</v>
      </c>
      <c r="AD825" s="218"/>
      <c r="AE825" s="26"/>
      <c r="AF825" s="32">
        <v>5.0</v>
      </c>
      <c r="AG825" s="33">
        <v>1.489500007562E12</v>
      </c>
      <c r="AH825" s="33" t="s">
        <v>205</v>
      </c>
      <c r="AI825" s="40">
        <v>236291.0</v>
      </c>
    </row>
    <row r="826" ht="38.25" hidden="1" customHeight="1">
      <c r="A826" s="32">
        <v>820.0</v>
      </c>
      <c r="B826" s="218" t="s">
        <v>1037</v>
      </c>
      <c r="C826" s="218" t="s">
        <v>6328</v>
      </c>
      <c r="D826" s="218" t="s">
        <v>6329</v>
      </c>
      <c r="E826" s="218" t="s">
        <v>5683</v>
      </c>
      <c r="F826" s="218" t="s">
        <v>5683</v>
      </c>
      <c r="G826" s="220" t="s">
        <v>1110</v>
      </c>
      <c r="H826" s="27" t="s">
        <v>1110</v>
      </c>
      <c r="I826" s="29" t="s">
        <v>6330</v>
      </c>
      <c r="J826" s="29" t="s">
        <v>3963</v>
      </c>
      <c r="K826" s="222" t="s">
        <v>1137</v>
      </c>
      <c r="L826" s="222">
        <v>1.0</v>
      </c>
      <c r="M826" s="27" t="s">
        <v>1137</v>
      </c>
      <c r="N826" s="223" t="s">
        <v>1174</v>
      </c>
      <c r="O826" s="224" t="s">
        <v>4904</v>
      </c>
      <c r="P826" s="225" t="s">
        <v>4905</v>
      </c>
      <c r="Q826" s="224" t="s">
        <v>4874</v>
      </c>
      <c r="R826" s="224" t="s">
        <v>3991</v>
      </c>
      <c r="S826" s="26" t="str">
        <f t="shared" si="122"/>
        <v>กลุ่มงานการพยาบาลผู้ป่วยอายุรกรรม</v>
      </c>
      <c r="T826" s="218" t="s">
        <v>4874</v>
      </c>
      <c r="U826" s="26" t="s">
        <v>1302</v>
      </c>
      <c r="V826" s="25">
        <v>7.0</v>
      </c>
      <c r="W826" s="218" t="s">
        <v>3991</v>
      </c>
      <c r="X826" s="98" t="s">
        <v>1312</v>
      </c>
      <c r="Y826" s="31">
        <v>44.0</v>
      </c>
      <c r="Z826" s="31">
        <v>44.0</v>
      </c>
      <c r="AA826" s="31">
        <v>266.0</v>
      </c>
      <c r="AB826" s="31">
        <v>295.0</v>
      </c>
      <c r="AC826" s="32">
        <v>1.0</v>
      </c>
      <c r="AD826" s="218" t="s">
        <v>6331</v>
      </c>
      <c r="AE826" s="26"/>
      <c r="AF826" s="32">
        <v>5.0</v>
      </c>
      <c r="AG826" s="37">
        <v>1.589800005009E12</v>
      </c>
      <c r="AH826" s="37" t="s">
        <v>319</v>
      </c>
      <c r="AI826" s="38" t="s">
        <v>6332</v>
      </c>
    </row>
    <row r="827" ht="38.25" hidden="1" customHeight="1">
      <c r="A827" s="32">
        <v>821.0</v>
      </c>
      <c r="B827" s="219" t="s">
        <v>1037</v>
      </c>
      <c r="C827" s="219" t="s">
        <v>6333</v>
      </c>
      <c r="D827" s="219" t="s">
        <v>6334</v>
      </c>
      <c r="E827" s="218" t="s">
        <v>5683</v>
      </c>
      <c r="F827" s="218" t="s">
        <v>5683</v>
      </c>
      <c r="G827" s="220" t="s">
        <v>1110</v>
      </c>
      <c r="H827" s="27" t="s">
        <v>1110</v>
      </c>
      <c r="I827" s="29" t="s">
        <v>6335</v>
      </c>
      <c r="J827" s="29" t="s">
        <v>3963</v>
      </c>
      <c r="K827" s="222" t="s">
        <v>1137</v>
      </c>
      <c r="L827" s="222">
        <v>1.0</v>
      </c>
      <c r="M827" s="27" t="s">
        <v>1137</v>
      </c>
      <c r="N827" s="223" t="s">
        <v>1174</v>
      </c>
      <c r="O827" s="224" t="s">
        <v>5805</v>
      </c>
      <c r="P827" s="225" t="s">
        <v>4873</v>
      </c>
      <c r="Q827" s="224" t="s">
        <v>4874</v>
      </c>
      <c r="R827" s="224" t="s">
        <v>3991</v>
      </c>
      <c r="S827" s="26" t="str">
        <f t="shared" si="122"/>
        <v>กลุ่มงานการพยาบาลผู้ป่วยอายุรกรรม</v>
      </c>
      <c r="T827" s="218" t="s">
        <v>4874</v>
      </c>
      <c r="U827" s="26" t="s">
        <v>1302</v>
      </c>
      <c r="V827" s="25">
        <v>7.0</v>
      </c>
      <c r="W827" s="218" t="s">
        <v>3991</v>
      </c>
      <c r="X827" s="98" t="s">
        <v>1312</v>
      </c>
      <c r="Y827" s="31">
        <v>44.0</v>
      </c>
      <c r="Z827" s="31">
        <v>44.0</v>
      </c>
      <c r="AA827" s="31">
        <v>266.0</v>
      </c>
      <c r="AB827" s="31">
        <v>295.0</v>
      </c>
      <c r="AC827" s="89">
        <v>0.0</v>
      </c>
      <c r="AD827" s="266" t="s">
        <v>6336</v>
      </c>
      <c r="AE827" s="26"/>
      <c r="AF827" s="32">
        <v>5.0</v>
      </c>
      <c r="AG827" s="65"/>
      <c r="AH827" s="65"/>
      <c r="AI827" s="66"/>
    </row>
    <row r="828" ht="38.25" hidden="1" customHeight="1">
      <c r="A828" s="32">
        <v>822.0</v>
      </c>
      <c r="B828" s="218" t="s">
        <v>1037</v>
      </c>
      <c r="C828" s="218" t="s">
        <v>6337</v>
      </c>
      <c r="D828" s="218" t="s">
        <v>6338</v>
      </c>
      <c r="E828" s="218" t="s">
        <v>5683</v>
      </c>
      <c r="F828" s="218" t="s">
        <v>5683</v>
      </c>
      <c r="G828" s="220" t="s">
        <v>1110</v>
      </c>
      <c r="H828" s="27" t="s">
        <v>1110</v>
      </c>
      <c r="I828" s="29" t="s">
        <v>6339</v>
      </c>
      <c r="J828" s="29" t="s">
        <v>3963</v>
      </c>
      <c r="K828" s="222" t="s">
        <v>1137</v>
      </c>
      <c r="L828" s="222">
        <v>1.0</v>
      </c>
      <c r="M828" s="27" t="s">
        <v>1137</v>
      </c>
      <c r="N828" s="223" t="s">
        <v>1174</v>
      </c>
      <c r="O828" s="224" t="s">
        <v>5685</v>
      </c>
      <c r="P828" s="225" t="s">
        <v>5183</v>
      </c>
      <c r="Q828" s="224" t="s">
        <v>5184</v>
      </c>
      <c r="R828" s="224" t="s">
        <v>3991</v>
      </c>
      <c r="S828" s="26" t="str">
        <f t="shared" si="122"/>
        <v>กลุ่มงานการพยาบาลผู้ป่วยห้องผ่าตัด</v>
      </c>
      <c r="T828" s="218" t="s">
        <v>5184</v>
      </c>
      <c r="U828" s="26" t="s">
        <v>1302</v>
      </c>
      <c r="V828" s="25">
        <v>5.0</v>
      </c>
      <c r="W828" s="218" t="s">
        <v>3991</v>
      </c>
      <c r="X828" s="98" t="s">
        <v>1312</v>
      </c>
      <c r="Y828" s="31">
        <v>25.0</v>
      </c>
      <c r="Z828" s="31">
        <v>25.0</v>
      </c>
      <c r="AA828" s="31">
        <v>266.0</v>
      </c>
      <c r="AB828" s="31">
        <v>266.0</v>
      </c>
      <c r="AC828" s="32">
        <v>1.0</v>
      </c>
      <c r="AD828" s="218" t="s">
        <v>6331</v>
      </c>
      <c r="AE828" s="26"/>
      <c r="AF828" s="32">
        <v>6.0</v>
      </c>
      <c r="AG828" s="37">
        <v>1.508900005191E12</v>
      </c>
      <c r="AH828" s="37" t="s">
        <v>328</v>
      </c>
      <c r="AI828" s="38" t="s">
        <v>6340</v>
      </c>
    </row>
    <row r="829" ht="38.25" customHeight="1">
      <c r="A829" s="32">
        <v>823.0</v>
      </c>
      <c r="B829" s="26" t="s">
        <v>1037</v>
      </c>
      <c r="C829" s="26" t="s">
        <v>6341</v>
      </c>
      <c r="D829" s="26" t="s">
        <v>6342</v>
      </c>
      <c r="E829" s="26" t="s">
        <v>5683</v>
      </c>
      <c r="F829" s="26" t="s">
        <v>5683</v>
      </c>
      <c r="G829" s="27" t="s">
        <v>1110</v>
      </c>
      <c r="H829" s="27" t="s">
        <v>1110</v>
      </c>
      <c r="I829" s="29" t="s">
        <v>6343</v>
      </c>
      <c r="J829" s="29" t="s">
        <v>3963</v>
      </c>
      <c r="K829" s="27" t="s">
        <v>1137</v>
      </c>
      <c r="L829" s="25">
        <v>1.0</v>
      </c>
      <c r="M829" s="27" t="s">
        <v>1137</v>
      </c>
      <c r="N829" s="30" t="s">
        <v>1174</v>
      </c>
      <c r="O829" s="26"/>
      <c r="P829" s="218" t="s">
        <v>4522</v>
      </c>
      <c r="Q829" s="26" t="s">
        <v>5379</v>
      </c>
      <c r="R829" s="26" t="s">
        <v>4064</v>
      </c>
      <c r="S829" s="26" t="s">
        <v>5380</v>
      </c>
      <c r="T829" s="26" t="str">
        <f>+Q829</f>
        <v>กลุ่มงานการพยาบาลชุมชน</v>
      </c>
      <c r="U829" s="26" t="s">
        <v>1302</v>
      </c>
      <c r="V829" s="25" t="s">
        <v>1312</v>
      </c>
      <c r="W829" s="26" t="s">
        <v>4064</v>
      </c>
      <c r="X829" s="25" t="s">
        <v>3935</v>
      </c>
      <c r="Y829" s="31">
        <v>4.0</v>
      </c>
      <c r="Z829" s="31">
        <v>5.0</v>
      </c>
      <c r="AA829" s="63">
        <v>66.0</v>
      </c>
      <c r="AB829" s="31">
        <v>295.0</v>
      </c>
      <c r="AC829" s="32">
        <v>1.0</v>
      </c>
      <c r="AD829" s="26"/>
      <c r="AE829" s="26"/>
      <c r="AF829" s="32">
        <v>5.0</v>
      </c>
      <c r="AG829" s="37">
        <v>1.508600002285E12</v>
      </c>
      <c r="AH829" s="37" t="s">
        <v>288</v>
      </c>
      <c r="AI829" s="62"/>
    </row>
    <row r="830" ht="38.25" hidden="1" customHeight="1">
      <c r="A830" s="32">
        <v>824.0</v>
      </c>
      <c r="B830" s="267" t="s">
        <v>1037</v>
      </c>
      <c r="C830" s="203" t="s">
        <v>6344</v>
      </c>
      <c r="D830" s="267" t="s">
        <v>6345</v>
      </c>
      <c r="E830" s="268" t="s">
        <v>5683</v>
      </c>
      <c r="F830" s="268" t="s">
        <v>5683</v>
      </c>
      <c r="G830" s="269" t="s">
        <v>1110</v>
      </c>
      <c r="H830" s="198" t="s">
        <v>1110</v>
      </c>
      <c r="I830" s="199" t="s">
        <v>6346</v>
      </c>
      <c r="J830" s="199" t="s">
        <v>3963</v>
      </c>
      <c r="K830" s="270" t="s">
        <v>1137</v>
      </c>
      <c r="L830" s="270">
        <v>1.0</v>
      </c>
      <c r="M830" s="198" t="s">
        <v>1137</v>
      </c>
      <c r="N830" s="271" t="s">
        <v>1174</v>
      </c>
      <c r="O830" s="272" t="s">
        <v>5809</v>
      </c>
      <c r="P830" s="273" t="s">
        <v>4958</v>
      </c>
      <c r="Q830" s="272" t="s">
        <v>4959</v>
      </c>
      <c r="R830" s="272" t="s">
        <v>3991</v>
      </c>
      <c r="S830" s="197" t="str">
        <f t="shared" ref="S830:S878" si="123">+T830</f>
        <v>กลุ่มงานการพยาบาลผู้ป่วยกุมารเวชกรรม</v>
      </c>
      <c r="T830" s="268" t="s">
        <v>4879</v>
      </c>
      <c r="U830" s="197" t="s">
        <v>1302</v>
      </c>
      <c r="V830" s="200">
        <v>3.0</v>
      </c>
      <c r="W830" s="268" t="s">
        <v>3991</v>
      </c>
      <c r="X830" s="274" t="s">
        <v>1312</v>
      </c>
      <c r="Y830" s="201">
        <v>32.0</v>
      </c>
      <c r="Z830" s="201">
        <v>32.0</v>
      </c>
      <c r="AA830" s="201">
        <v>266.0</v>
      </c>
      <c r="AB830" s="201">
        <v>295.0</v>
      </c>
      <c r="AC830" s="202">
        <v>0.0</v>
      </c>
      <c r="AD830" s="197"/>
      <c r="AE830" s="197"/>
      <c r="AF830" s="202">
        <v>5.0</v>
      </c>
      <c r="AG830" s="216"/>
      <c r="AH830" s="216"/>
      <c r="AI830" s="217"/>
    </row>
    <row r="831" ht="38.25" hidden="1" customHeight="1">
      <c r="A831" s="32">
        <v>825.0</v>
      </c>
      <c r="B831" s="218" t="s">
        <v>1037</v>
      </c>
      <c r="C831" s="218" t="s">
        <v>5669</v>
      </c>
      <c r="D831" s="218" t="s">
        <v>6347</v>
      </c>
      <c r="E831" s="218" t="s">
        <v>5683</v>
      </c>
      <c r="F831" s="218" t="s">
        <v>5683</v>
      </c>
      <c r="G831" s="220" t="s">
        <v>1110</v>
      </c>
      <c r="H831" s="27" t="s">
        <v>1110</v>
      </c>
      <c r="I831" s="29" t="s">
        <v>6348</v>
      </c>
      <c r="J831" s="29" t="s">
        <v>3963</v>
      </c>
      <c r="K831" s="222" t="s">
        <v>1137</v>
      </c>
      <c r="L831" s="222">
        <v>1.0</v>
      </c>
      <c r="M831" s="27" t="s">
        <v>1137</v>
      </c>
      <c r="N831" s="223" t="s">
        <v>1174</v>
      </c>
      <c r="O831" s="224" t="s">
        <v>5904</v>
      </c>
      <c r="P831" s="225" t="s">
        <v>4938</v>
      </c>
      <c r="Q831" s="26" t="s">
        <v>4939</v>
      </c>
      <c r="R831" s="224" t="s">
        <v>3991</v>
      </c>
      <c r="S831" s="26" t="str">
        <f t="shared" si="123"/>
        <v>กลุ่มงานการพยาบาลผู้ป่วยออร์โธปิดิกส์</v>
      </c>
      <c r="T831" s="218" t="s">
        <v>4869</v>
      </c>
      <c r="U831" s="26" t="s">
        <v>1302</v>
      </c>
      <c r="V831" s="25">
        <v>13.0</v>
      </c>
      <c r="W831" s="218" t="s">
        <v>3991</v>
      </c>
      <c r="X831" s="98" t="s">
        <v>1312</v>
      </c>
      <c r="Y831" s="31">
        <v>6.0</v>
      </c>
      <c r="Z831" s="31">
        <v>6.0</v>
      </c>
      <c r="AA831" s="31">
        <v>266.0</v>
      </c>
      <c r="AB831" s="31">
        <v>295.0</v>
      </c>
      <c r="AC831" s="89">
        <v>1.0</v>
      </c>
      <c r="AD831" s="218" t="s">
        <v>6331</v>
      </c>
      <c r="AE831" s="26"/>
      <c r="AF831" s="32">
        <v>5.0</v>
      </c>
      <c r="AG831" s="33">
        <v>1.508500006823E12</v>
      </c>
      <c r="AH831" s="33" t="s">
        <v>333</v>
      </c>
      <c r="AI831" s="40">
        <v>236167.0</v>
      </c>
    </row>
    <row r="832" ht="38.25" hidden="1" customHeight="1">
      <c r="A832" s="32">
        <v>826.0</v>
      </c>
      <c r="B832" s="245" t="s">
        <v>1037</v>
      </c>
      <c r="C832" s="245" t="s">
        <v>6349</v>
      </c>
      <c r="D832" s="245" t="s">
        <v>6350</v>
      </c>
      <c r="E832" s="245" t="s">
        <v>5683</v>
      </c>
      <c r="F832" s="245" t="s">
        <v>5683</v>
      </c>
      <c r="G832" s="234" t="s">
        <v>1110</v>
      </c>
      <c r="H832" s="77" t="s">
        <v>1110</v>
      </c>
      <c r="I832" s="78" t="s">
        <v>6351</v>
      </c>
      <c r="J832" s="78" t="s">
        <v>3963</v>
      </c>
      <c r="K832" s="257" t="s">
        <v>1137</v>
      </c>
      <c r="L832" s="257">
        <v>1.0</v>
      </c>
      <c r="M832" s="27" t="s">
        <v>1137</v>
      </c>
      <c r="N832" s="236" t="s">
        <v>1174</v>
      </c>
      <c r="O832" s="237" t="s">
        <v>5173</v>
      </c>
      <c r="P832" s="238" t="s">
        <v>4918</v>
      </c>
      <c r="Q832" s="237" t="s">
        <v>4919</v>
      </c>
      <c r="R832" s="237" t="s">
        <v>3991</v>
      </c>
      <c r="S832" s="76" t="str">
        <f t="shared" si="123"/>
        <v>กลุ่มงานการพยาบาลผู้ป่วยสูติ - นรีเวช</v>
      </c>
      <c r="T832" s="245" t="s">
        <v>4920</v>
      </c>
      <c r="U832" s="26" t="s">
        <v>1302</v>
      </c>
      <c r="V832" s="79">
        <v>9.0</v>
      </c>
      <c r="W832" s="245" t="s">
        <v>3991</v>
      </c>
      <c r="X832" s="98" t="s">
        <v>1312</v>
      </c>
      <c r="Y832" s="81">
        <v>9.0</v>
      </c>
      <c r="Z832" s="81">
        <v>12.0</v>
      </c>
      <c r="AA832" s="81">
        <v>266.0</v>
      </c>
      <c r="AB832" s="81">
        <v>295.0</v>
      </c>
      <c r="AC832" s="32">
        <v>1.0</v>
      </c>
      <c r="AD832" s="245" t="s">
        <v>6331</v>
      </c>
      <c r="AE832" s="76"/>
      <c r="AF832" s="32">
        <v>5.0</v>
      </c>
      <c r="AG832" s="37">
        <v>1.580700034165E12</v>
      </c>
      <c r="AH832" s="37" t="s">
        <v>363</v>
      </c>
      <c r="AI832" s="44">
        <v>236014.0</v>
      </c>
    </row>
    <row r="833" ht="38.25" hidden="1" customHeight="1">
      <c r="A833" s="32">
        <v>827.0</v>
      </c>
      <c r="B833" s="245" t="s">
        <v>1037</v>
      </c>
      <c r="C833" s="245" t="s">
        <v>4989</v>
      </c>
      <c r="D833" s="245" t="s">
        <v>6352</v>
      </c>
      <c r="E833" s="245" t="s">
        <v>5683</v>
      </c>
      <c r="F833" s="245" t="s">
        <v>5683</v>
      </c>
      <c r="G833" s="234" t="s">
        <v>1110</v>
      </c>
      <c r="H833" s="77" t="s">
        <v>1110</v>
      </c>
      <c r="I833" s="78" t="s">
        <v>6353</v>
      </c>
      <c r="J833" s="78" t="s">
        <v>3963</v>
      </c>
      <c r="K833" s="257" t="s">
        <v>1137</v>
      </c>
      <c r="L833" s="257">
        <v>1.0</v>
      </c>
      <c r="M833" s="27" t="s">
        <v>1137</v>
      </c>
      <c r="N833" s="236" t="s">
        <v>1174</v>
      </c>
      <c r="O833" s="237" t="s">
        <v>5858</v>
      </c>
      <c r="P833" s="238" t="s">
        <v>4863</v>
      </c>
      <c r="Q833" s="237" t="s">
        <v>4858</v>
      </c>
      <c r="R833" s="237" t="s">
        <v>3991</v>
      </c>
      <c r="S833" s="76" t="str">
        <f t="shared" si="123"/>
        <v>กลุ่มงานการพยาบาลผู้ป่วยศัลยกรรม</v>
      </c>
      <c r="T833" s="245" t="s">
        <v>4858</v>
      </c>
      <c r="U833" s="26" t="s">
        <v>1302</v>
      </c>
      <c r="V833" s="79">
        <v>8.0</v>
      </c>
      <c r="W833" s="245" t="s">
        <v>3991</v>
      </c>
      <c r="X833" s="98" t="s">
        <v>1312</v>
      </c>
      <c r="Y833" s="81">
        <v>14.0</v>
      </c>
      <c r="Z833" s="81">
        <v>14.0</v>
      </c>
      <c r="AA833" s="81">
        <v>266.0</v>
      </c>
      <c r="AB833" s="81">
        <v>295.0</v>
      </c>
      <c r="AC833" s="32">
        <v>1.0</v>
      </c>
      <c r="AD833" s="245" t="s">
        <v>6331</v>
      </c>
      <c r="AE833" s="76"/>
      <c r="AF833" s="32">
        <v>5.0</v>
      </c>
      <c r="AG833" s="37">
        <v>1.500201240649E12</v>
      </c>
      <c r="AH833" s="37" t="s">
        <v>375</v>
      </c>
      <c r="AI833" s="38" t="s">
        <v>6354</v>
      </c>
    </row>
    <row r="834" ht="38.25" hidden="1" customHeight="1">
      <c r="A834" s="32">
        <v>828.0</v>
      </c>
      <c r="B834" s="76" t="s">
        <v>1037</v>
      </c>
      <c r="C834" s="76" t="s">
        <v>6355</v>
      </c>
      <c r="D834" s="76" t="s">
        <v>4264</v>
      </c>
      <c r="E834" s="245" t="s">
        <v>5683</v>
      </c>
      <c r="F834" s="245" t="s">
        <v>5683</v>
      </c>
      <c r="G834" s="234" t="s">
        <v>1110</v>
      </c>
      <c r="H834" s="77" t="s">
        <v>1110</v>
      </c>
      <c r="I834" s="78" t="s">
        <v>6356</v>
      </c>
      <c r="J834" s="78" t="s">
        <v>3963</v>
      </c>
      <c r="K834" s="257" t="s">
        <v>1137</v>
      </c>
      <c r="L834" s="257">
        <v>1.0</v>
      </c>
      <c r="M834" s="27" t="s">
        <v>1137</v>
      </c>
      <c r="N834" s="236" t="s">
        <v>1174</v>
      </c>
      <c r="O834" s="237" t="s">
        <v>4396</v>
      </c>
      <c r="P834" s="238" t="s">
        <v>4397</v>
      </c>
      <c r="Q834" s="237" t="s">
        <v>4398</v>
      </c>
      <c r="R834" s="237" t="s">
        <v>3991</v>
      </c>
      <c r="S834" s="76" t="str">
        <f t="shared" si="123"/>
        <v>กลุ่มงานการพยาบาลผู้ป่วยอุบัติเหตุและฉุกเฉิน</v>
      </c>
      <c r="T834" s="245" t="s">
        <v>4398</v>
      </c>
      <c r="U834" s="26" t="s">
        <v>1302</v>
      </c>
      <c r="V834" s="79">
        <v>1.0</v>
      </c>
      <c r="W834" s="245" t="s">
        <v>3991</v>
      </c>
      <c r="X834" s="98" t="s">
        <v>1312</v>
      </c>
      <c r="Y834" s="81">
        <v>20.0</v>
      </c>
      <c r="Z834" s="81">
        <v>20.0</v>
      </c>
      <c r="AA834" s="81">
        <v>266.0</v>
      </c>
      <c r="AB834" s="81">
        <v>295.0</v>
      </c>
      <c r="AC834" s="32">
        <v>1.0</v>
      </c>
      <c r="AD834" s="275"/>
      <c r="AE834" s="275"/>
      <c r="AF834" s="276">
        <v>5.0</v>
      </c>
      <c r="AG834" s="33">
        <v>1.309701275387E12</v>
      </c>
      <c r="AH834" s="33" t="s">
        <v>272</v>
      </c>
      <c r="AI834" s="47"/>
    </row>
    <row r="835" ht="38.25" hidden="1" customHeight="1">
      <c r="A835" s="32">
        <v>829.0</v>
      </c>
      <c r="B835" s="245" t="s">
        <v>1037</v>
      </c>
      <c r="C835" s="245" t="s">
        <v>5869</v>
      </c>
      <c r="D835" s="245" t="s">
        <v>6357</v>
      </c>
      <c r="E835" s="245" t="s">
        <v>5683</v>
      </c>
      <c r="F835" s="245" t="s">
        <v>5683</v>
      </c>
      <c r="G835" s="234" t="s">
        <v>1110</v>
      </c>
      <c r="H835" s="77" t="s">
        <v>1110</v>
      </c>
      <c r="I835" s="78" t="s">
        <v>6358</v>
      </c>
      <c r="J835" s="78" t="s">
        <v>3963</v>
      </c>
      <c r="K835" s="257" t="s">
        <v>1137</v>
      </c>
      <c r="L835" s="257">
        <v>1.0</v>
      </c>
      <c r="M835" s="27" t="s">
        <v>1137</v>
      </c>
      <c r="N835" s="236" t="s">
        <v>1174</v>
      </c>
      <c r="O835" s="76" t="s">
        <v>5173</v>
      </c>
      <c r="P835" s="238" t="s">
        <v>5174</v>
      </c>
      <c r="Q835" s="237" t="s">
        <v>5115</v>
      </c>
      <c r="R835" s="237" t="s">
        <v>3991</v>
      </c>
      <c r="S835" s="76" t="str">
        <f t="shared" si="123"/>
        <v>กลุ่มงานการพยาบาลผู้คลอด</v>
      </c>
      <c r="T835" s="245" t="s">
        <v>5115</v>
      </c>
      <c r="U835" s="26" t="s">
        <v>1302</v>
      </c>
      <c r="V835" s="79">
        <v>4.0</v>
      </c>
      <c r="W835" s="245" t="s">
        <v>3991</v>
      </c>
      <c r="X835" s="98" t="s">
        <v>1312</v>
      </c>
      <c r="Y835" s="81">
        <v>9.0</v>
      </c>
      <c r="Z835" s="81">
        <v>9.0</v>
      </c>
      <c r="AA835" s="81">
        <v>266.0</v>
      </c>
      <c r="AB835" s="81">
        <v>295.0</v>
      </c>
      <c r="AC835" s="129">
        <v>1.0</v>
      </c>
      <c r="AD835" s="245" t="s">
        <v>6331</v>
      </c>
      <c r="AE835" s="76"/>
      <c r="AF835" s="32">
        <v>5.0</v>
      </c>
      <c r="AG835" s="33">
        <v>1.50996627316E12</v>
      </c>
      <c r="AH835" s="46"/>
      <c r="AI835" s="34" t="s">
        <v>6359</v>
      </c>
    </row>
    <row r="836" ht="38.25" hidden="1" customHeight="1">
      <c r="A836" s="32">
        <v>830.0</v>
      </c>
      <c r="B836" s="26" t="s">
        <v>1037</v>
      </c>
      <c r="C836" s="26" t="s">
        <v>6360</v>
      </c>
      <c r="D836" s="26" t="s">
        <v>6361</v>
      </c>
      <c r="E836" s="218" t="s">
        <v>5683</v>
      </c>
      <c r="F836" s="218" t="s">
        <v>5683</v>
      </c>
      <c r="G836" s="220" t="s">
        <v>1110</v>
      </c>
      <c r="H836" s="27" t="s">
        <v>1110</v>
      </c>
      <c r="I836" s="90" t="s">
        <v>6362</v>
      </c>
      <c r="J836" s="29" t="s">
        <v>3963</v>
      </c>
      <c r="K836" s="222" t="s">
        <v>1137</v>
      </c>
      <c r="L836" s="222">
        <v>1.0</v>
      </c>
      <c r="M836" s="27" t="s">
        <v>1137</v>
      </c>
      <c r="N836" s="223" t="s">
        <v>1174</v>
      </c>
      <c r="O836" s="224" t="s">
        <v>4644</v>
      </c>
      <c r="P836" s="225" t="s">
        <v>5348</v>
      </c>
      <c r="Q836" s="224" t="s">
        <v>5349</v>
      </c>
      <c r="R836" s="224" t="s">
        <v>3991</v>
      </c>
      <c r="S836" s="26" t="str">
        <f t="shared" si="123"/>
        <v>กลุ่มงานการพยาบาลวิสัญญี</v>
      </c>
      <c r="T836" s="218" t="s">
        <v>5349</v>
      </c>
      <c r="U836" s="26" t="s">
        <v>1302</v>
      </c>
      <c r="V836" s="25">
        <v>6.0</v>
      </c>
      <c r="W836" s="218" t="s">
        <v>3991</v>
      </c>
      <c r="X836" s="98" t="s">
        <v>1312</v>
      </c>
      <c r="Y836" s="31">
        <v>18.0</v>
      </c>
      <c r="Z836" s="31">
        <v>18.0</v>
      </c>
      <c r="AA836" s="31">
        <v>266.0</v>
      </c>
      <c r="AB836" s="31">
        <v>295.0</v>
      </c>
      <c r="AC836" s="32">
        <v>1.0</v>
      </c>
      <c r="AD836" s="277"/>
      <c r="AE836" s="277"/>
      <c r="AF836" s="276">
        <v>5.0</v>
      </c>
      <c r="AG836" s="37">
        <v>2.919900028323E12</v>
      </c>
      <c r="AH836" s="37" t="s">
        <v>463</v>
      </c>
      <c r="AI836" s="44">
        <v>235431.0</v>
      </c>
    </row>
    <row r="837" ht="38.25" hidden="1" customHeight="1">
      <c r="A837" s="32">
        <v>831.0</v>
      </c>
      <c r="B837" s="26" t="s">
        <v>1037</v>
      </c>
      <c r="C837" s="26" t="s">
        <v>6363</v>
      </c>
      <c r="D837" s="26" t="s">
        <v>6364</v>
      </c>
      <c r="E837" s="218" t="s">
        <v>5683</v>
      </c>
      <c r="F837" s="218" t="s">
        <v>5683</v>
      </c>
      <c r="G837" s="234" t="s">
        <v>1110</v>
      </c>
      <c r="H837" s="77" t="s">
        <v>1110</v>
      </c>
      <c r="I837" s="29" t="s">
        <v>6365</v>
      </c>
      <c r="J837" s="29" t="s">
        <v>3963</v>
      </c>
      <c r="K837" s="222" t="s">
        <v>1137</v>
      </c>
      <c r="L837" s="222">
        <v>1.0</v>
      </c>
      <c r="M837" s="27" t="s">
        <v>1137</v>
      </c>
      <c r="N837" s="236" t="s">
        <v>1174</v>
      </c>
      <c r="O837" s="237" t="s">
        <v>4882</v>
      </c>
      <c r="P837" s="238" t="s">
        <v>4883</v>
      </c>
      <c r="Q837" s="237" t="s">
        <v>4874</v>
      </c>
      <c r="R837" s="237" t="s">
        <v>3991</v>
      </c>
      <c r="S837" s="26" t="str">
        <f t="shared" si="123"/>
        <v>กลุ่มงานการพยาบาลผู้ป่วยศัลยกรรม</v>
      </c>
      <c r="T837" s="218" t="s">
        <v>4858</v>
      </c>
      <c r="U837" s="26" t="s">
        <v>1302</v>
      </c>
      <c r="V837" s="25">
        <v>7.0</v>
      </c>
      <c r="W837" s="218" t="s">
        <v>3991</v>
      </c>
      <c r="X837" s="98" t="s">
        <v>1312</v>
      </c>
      <c r="Y837" s="31">
        <v>44.0</v>
      </c>
      <c r="Z837" s="31">
        <v>44.0</v>
      </c>
      <c r="AA837" s="31">
        <v>266.0</v>
      </c>
      <c r="AB837" s="31">
        <v>295.0</v>
      </c>
      <c r="AC837" s="32">
        <v>1.0</v>
      </c>
      <c r="AD837" s="26"/>
      <c r="AE837" s="26"/>
      <c r="AF837" s="32">
        <v>5.0</v>
      </c>
      <c r="AG837" s="33">
        <v>1.578800008783E12</v>
      </c>
      <c r="AH837" s="33" t="s">
        <v>280</v>
      </c>
      <c r="AI837" s="47"/>
    </row>
    <row r="838" ht="38.25" hidden="1" customHeight="1">
      <c r="A838" s="32">
        <v>832.0</v>
      </c>
      <c r="B838" s="218" t="s">
        <v>2692</v>
      </c>
      <c r="C838" s="218" t="s">
        <v>6366</v>
      </c>
      <c r="D838" s="218" t="s">
        <v>6367</v>
      </c>
      <c r="E838" s="219" t="s">
        <v>5683</v>
      </c>
      <c r="F838" s="218" t="s">
        <v>5683</v>
      </c>
      <c r="G838" s="234" t="s">
        <v>1110</v>
      </c>
      <c r="H838" s="77" t="s">
        <v>1110</v>
      </c>
      <c r="I838" s="29" t="s">
        <v>6368</v>
      </c>
      <c r="J838" s="29" t="s">
        <v>3963</v>
      </c>
      <c r="K838" s="222" t="s">
        <v>1137</v>
      </c>
      <c r="L838" s="222">
        <v>1.0</v>
      </c>
      <c r="M838" s="27" t="s">
        <v>1137</v>
      </c>
      <c r="N838" s="236" t="s">
        <v>1174</v>
      </c>
      <c r="O838" s="237" t="s">
        <v>5153</v>
      </c>
      <c r="P838" s="238" t="s">
        <v>5154</v>
      </c>
      <c r="Q838" s="237" t="s">
        <v>4959</v>
      </c>
      <c r="R838" s="237" t="s">
        <v>3991</v>
      </c>
      <c r="S838" s="26" t="str">
        <f t="shared" si="123"/>
        <v>กลุ่มงานการพยาบาลผู้ป่วยหนัก</v>
      </c>
      <c r="T838" s="218" t="s">
        <v>4959</v>
      </c>
      <c r="U838" s="26" t="s">
        <v>1302</v>
      </c>
      <c r="V838" s="25">
        <v>3.0</v>
      </c>
      <c r="W838" s="218" t="s">
        <v>3991</v>
      </c>
      <c r="X838" s="98" t="s">
        <v>1312</v>
      </c>
      <c r="Y838" s="31">
        <v>32.0</v>
      </c>
      <c r="Z838" s="31">
        <v>32.0</v>
      </c>
      <c r="AA838" s="31">
        <v>266.0</v>
      </c>
      <c r="AB838" s="31">
        <v>295.0</v>
      </c>
      <c r="AC838" s="32">
        <v>1.0</v>
      </c>
      <c r="AD838" s="218" t="s">
        <v>6369</v>
      </c>
      <c r="AE838" s="26"/>
      <c r="AF838" s="32">
        <v>5.0</v>
      </c>
      <c r="AG838" s="33">
        <v>1.58040127217E12</v>
      </c>
      <c r="AH838" s="46"/>
      <c r="AI838" s="40">
        <v>236039.0</v>
      </c>
    </row>
    <row r="839" ht="38.25" hidden="1" customHeight="1">
      <c r="A839" s="32">
        <v>833.0</v>
      </c>
      <c r="B839" s="218" t="s">
        <v>1037</v>
      </c>
      <c r="C839" s="218" t="s">
        <v>6370</v>
      </c>
      <c r="D839" s="218" t="s">
        <v>6371</v>
      </c>
      <c r="E839" s="218" t="s">
        <v>5683</v>
      </c>
      <c r="F839" s="218" t="s">
        <v>5683</v>
      </c>
      <c r="G839" s="234" t="s">
        <v>1110</v>
      </c>
      <c r="H839" s="77" t="s">
        <v>1110</v>
      </c>
      <c r="I839" s="29" t="s">
        <v>6372</v>
      </c>
      <c r="J839" s="29" t="s">
        <v>3963</v>
      </c>
      <c r="K839" s="222" t="s">
        <v>1137</v>
      </c>
      <c r="L839" s="222">
        <v>1.0</v>
      </c>
      <c r="M839" s="27" t="s">
        <v>1137</v>
      </c>
      <c r="N839" s="236" t="s">
        <v>1174</v>
      </c>
      <c r="O839" s="237" t="s">
        <v>5685</v>
      </c>
      <c r="P839" s="238" t="s">
        <v>5183</v>
      </c>
      <c r="Q839" s="237" t="s">
        <v>5184</v>
      </c>
      <c r="R839" s="237" t="s">
        <v>3991</v>
      </c>
      <c r="S839" s="26" t="str">
        <f t="shared" si="123"/>
        <v>กลุ่มงานการพยาบาลผู้ป่วยห้องผ่าตัด</v>
      </c>
      <c r="T839" s="218" t="s">
        <v>5184</v>
      </c>
      <c r="U839" s="26" t="s">
        <v>1302</v>
      </c>
      <c r="V839" s="25">
        <v>5.0</v>
      </c>
      <c r="W839" s="218" t="s">
        <v>3991</v>
      </c>
      <c r="X839" s="98" t="s">
        <v>1312</v>
      </c>
      <c r="Y839" s="31">
        <v>25.0</v>
      </c>
      <c r="Z839" s="31">
        <v>25.0</v>
      </c>
      <c r="AA839" s="31">
        <v>266.0</v>
      </c>
      <c r="AB839" s="31">
        <v>266.0</v>
      </c>
      <c r="AC839" s="32">
        <v>1.0</v>
      </c>
      <c r="AD839" s="218" t="s">
        <v>6331</v>
      </c>
      <c r="AE839" s="26"/>
      <c r="AF839" s="32">
        <v>6.0</v>
      </c>
      <c r="AG839" s="33">
        <v>1.58970000373E12</v>
      </c>
      <c r="AH839" s="33" t="s">
        <v>301</v>
      </c>
      <c r="AI839" s="34" t="s">
        <v>6373</v>
      </c>
    </row>
    <row r="840" ht="38.25" hidden="1" customHeight="1">
      <c r="A840" s="32">
        <v>834.0</v>
      </c>
      <c r="B840" s="218" t="s">
        <v>1037</v>
      </c>
      <c r="C840" s="218" t="s">
        <v>6374</v>
      </c>
      <c r="D840" s="218" t="s">
        <v>6375</v>
      </c>
      <c r="E840" s="218" t="s">
        <v>5683</v>
      </c>
      <c r="F840" s="218" t="s">
        <v>5683</v>
      </c>
      <c r="G840" s="220" t="s">
        <v>1110</v>
      </c>
      <c r="H840" s="27" t="s">
        <v>1110</v>
      </c>
      <c r="I840" s="29" t="s">
        <v>6376</v>
      </c>
      <c r="J840" s="29" t="s">
        <v>3963</v>
      </c>
      <c r="K840" s="222" t="s">
        <v>1137</v>
      </c>
      <c r="L840" s="222">
        <v>1.0</v>
      </c>
      <c r="M840" s="27" t="s">
        <v>1137</v>
      </c>
      <c r="N840" s="223" t="s">
        <v>1174</v>
      </c>
      <c r="O840" s="224" t="s">
        <v>4789</v>
      </c>
      <c r="P840" s="225" t="s">
        <v>4886</v>
      </c>
      <c r="Q840" s="224" t="s">
        <v>4887</v>
      </c>
      <c r="R840" s="224" t="s">
        <v>3991</v>
      </c>
      <c r="S840" s="26" t="str">
        <f t="shared" si="123"/>
        <v>กลุ่มงานการพยาบาลผู้ป่วยนอก</v>
      </c>
      <c r="T840" s="218" t="s">
        <v>4887</v>
      </c>
      <c r="U840" s="26" t="s">
        <v>1302</v>
      </c>
      <c r="V840" s="25">
        <v>2.0</v>
      </c>
      <c r="W840" s="218" t="s">
        <v>3991</v>
      </c>
      <c r="X840" s="98" t="s">
        <v>1312</v>
      </c>
      <c r="Y840" s="31">
        <v>25.0</v>
      </c>
      <c r="Z840" s="31">
        <v>25.0</v>
      </c>
      <c r="AA840" s="31">
        <v>266.0</v>
      </c>
      <c r="AB840" s="31">
        <v>295.0</v>
      </c>
      <c r="AC840" s="32">
        <v>1.0</v>
      </c>
      <c r="AD840" s="218" t="s">
        <v>6331</v>
      </c>
      <c r="AE840" s="26"/>
      <c r="AF840" s="32">
        <v>5.0</v>
      </c>
      <c r="AG840" s="33">
        <v>1.509966280956E12</v>
      </c>
      <c r="AH840" s="33" t="s">
        <v>396</v>
      </c>
      <c r="AI840" s="40">
        <v>236013.0</v>
      </c>
    </row>
    <row r="841" ht="38.25" hidden="1" customHeight="1">
      <c r="A841" s="32">
        <v>835.0</v>
      </c>
      <c r="B841" s="218" t="s">
        <v>1037</v>
      </c>
      <c r="C841" s="218" t="s">
        <v>6377</v>
      </c>
      <c r="D841" s="218" t="s">
        <v>6367</v>
      </c>
      <c r="E841" s="219" t="s">
        <v>5683</v>
      </c>
      <c r="F841" s="218" t="s">
        <v>5683</v>
      </c>
      <c r="G841" s="234" t="s">
        <v>1110</v>
      </c>
      <c r="H841" s="77" t="s">
        <v>1110</v>
      </c>
      <c r="I841" s="29" t="s">
        <v>6378</v>
      </c>
      <c r="J841" s="29" t="s">
        <v>3963</v>
      </c>
      <c r="K841" s="222" t="s">
        <v>1137</v>
      </c>
      <c r="L841" s="222">
        <v>1.0</v>
      </c>
      <c r="M841" s="27" t="s">
        <v>1137</v>
      </c>
      <c r="N841" s="236" t="s">
        <v>1174</v>
      </c>
      <c r="O841" s="237" t="s">
        <v>5153</v>
      </c>
      <c r="P841" s="238" t="s">
        <v>5154</v>
      </c>
      <c r="Q841" s="237" t="s">
        <v>4959</v>
      </c>
      <c r="R841" s="237" t="s">
        <v>3991</v>
      </c>
      <c r="S841" s="26" t="str">
        <f t="shared" si="123"/>
        <v>กลุ่มงานการพยาบาลผู้ป่วยหนัก</v>
      </c>
      <c r="T841" s="218" t="s">
        <v>4959</v>
      </c>
      <c r="U841" s="26" t="s">
        <v>1302</v>
      </c>
      <c r="V841" s="25">
        <v>3.0</v>
      </c>
      <c r="W841" s="218" t="s">
        <v>3991</v>
      </c>
      <c r="X841" s="98" t="s">
        <v>1312</v>
      </c>
      <c r="Y841" s="31">
        <v>32.0</v>
      </c>
      <c r="Z841" s="31">
        <v>32.0</v>
      </c>
      <c r="AA841" s="31">
        <v>266.0</v>
      </c>
      <c r="AB841" s="31">
        <v>295.0</v>
      </c>
      <c r="AC841" s="32">
        <v>1.0</v>
      </c>
      <c r="AD841" s="218" t="s">
        <v>6369</v>
      </c>
      <c r="AE841" s="26"/>
      <c r="AF841" s="32">
        <v>5.0</v>
      </c>
      <c r="AG841" s="37">
        <v>1.580500122664E12</v>
      </c>
      <c r="AH841" s="37" t="s">
        <v>310</v>
      </c>
      <c r="AI841" s="38" t="s">
        <v>6354</v>
      </c>
    </row>
    <row r="842" ht="38.25" hidden="1" customHeight="1">
      <c r="A842" s="32">
        <v>836.0</v>
      </c>
      <c r="B842" s="219" t="s">
        <v>1037</v>
      </c>
      <c r="C842" s="219" t="s">
        <v>6379</v>
      </c>
      <c r="D842" s="219" t="s">
        <v>6380</v>
      </c>
      <c r="E842" s="218" t="s">
        <v>5683</v>
      </c>
      <c r="F842" s="218" t="s">
        <v>5683</v>
      </c>
      <c r="G842" s="234" t="s">
        <v>1110</v>
      </c>
      <c r="H842" s="77" t="s">
        <v>1110</v>
      </c>
      <c r="I842" s="90" t="s">
        <v>6381</v>
      </c>
      <c r="J842" s="29" t="s">
        <v>3963</v>
      </c>
      <c r="K842" s="222" t="s">
        <v>1137</v>
      </c>
      <c r="L842" s="222">
        <v>1.0</v>
      </c>
      <c r="M842" s="27" t="s">
        <v>1137</v>
      </c>
      <c r="N842" s="236" t="s">
        <v>1174</v>
      </c>
      <c r="O842" s="237" t="s">
        <v>5805</v>
      </c>
      <c r="P842" s="238" t="s">
        <v>4873</v>
      </c>
      <c r="Q842" s="237" t="s">
        <v>4874</v>
      </c>
      <c r="R842" s="237" t="s">
        <v>3991</v>
      </c>
      <c r="S842" s="26" t="str">
        <f t="shared" si="123"/>
        <v>กลุ่มงานการพยาบาลผู้ป่วยอายุรกรรม</v>
      </c>
      <c r="T842" s="218" t="s">
        <v>4874</v>
      </c>
      <c r="U842" s="26" t="s">
        <v>1302</v>
      </c>
      <c r="V842" s="25">
        <v>7.0</v>
      </c>
      <c r="W842" s="218" t="s">
        <v>3991</v>
      </c>
      <c r="X842" s="98" t="s">
        <v>1312</v>
      </c>
      <c r="Y842" s="31">
        <v>44.0</v>
      </c>
      <c r="Z842" s="31">
        <v>44.0</v>
      </c>
      <c r="AA842" s="31">
        <v>266.0</v>
      </c>
      <c r="AB842" s="31">
        <v>295.0</v>
      </c>
      <c r="AC842" s="89">
        <v>0.0</v>
      </c>
      <c r="AD842" s="219" t="s">
        <v>6382</v>
      </c>
      <c r="AE842" s="26"/>
      <c r="AF842" s="32">
        <v>5.0</v>
      </c>
      <c r="AG842" s="65"/>
      <c r="AH842" s="65"/>
      <c r="AI842" s="66"/>
    </row>
    <row r="843" ht="38.25" hidden="1" customHeight="1">
      <c r="A843" s="32">
        <v>837.0</v>
      </c>
      <c r="B843" s="218" t="s">
        <v>1037</v>
      </c>
      <c r="C843" s="218" t="s">
        <v>6383</v>
      </c>
      <c r="D843" s="218" t="s">
        <v>6384</v>
      </c>
      <c r="E843" s="218" t="s">
        <v>5683</v>
      </c>
      <c r="F843" s="218" t="s">
        <v>5683</v>
      </c>
      <c r="G843" s="234" t="s">
        <v>1110</v>
      </c>
      <c r="H843" s="27" t="s">
        <v>1110</v>
      </c>
      <c r="I843" s="29" t="s">
        <v>6385</v>
      </c>
      <c r="J843" s="29" t="s">
        <v>3963</v>
      </c>
      <c r="K843" s="222" t="s">
        <v>1137</v>
      </c>
      <c r="L843" s="222">
        <v>1.0</v>
      </c>
      <c r="M843" s="27" t="s">
        <v>1137</v>
      </c>
      <c r="N843" s="236" t="s">
        <v>1174</v>
      </c>
      <c r="O843" s="237" t="s">
        <v>4789</v>
      </c>
      <c r="P843" s="238" t="s">
        <v>4886</v>
      </c>
      <c r="Q843" s="237" t="s">
        <v>4887</v>
      </c>
      <c r="R843" s="237" t="s">
        <v>3991</v>
      </c>
      <c r="S843" s="26" t="str">
        <f t="shared" si="123"/>
        <v>กลุ่มงานการพยาบาลผู้ป่วยนอก</v>
      </c>
      <c r="T843" s="218" t="s">
        <v>4887</v>
      </c>
      <c r="U843" s="26" t="s">
        <v>1302</v>
      </c>
      <c r="V843" s="25">
        <v>2.0</v>
      </c>
      <c r="W843" s="218" t="s">
        <v>3991</v>
      </c>
      <c r="X843" s="98" t="s">
        <v>1312</v>
      </c>
      <c r="Y843" s="31">
        <v>25.0</v>
      </c>
      <c r="Z843" s="31">
        <v>25.0</v>
      </c>
      <c r="AA843" s="31">
        <v>266.0</v>
      </c>
      <c r="AB843" s="31">
        <v>295.0</v>
      </c>
      <c r="AC843" s="32">
        <v>1.0</v>
      </c>
      <c r="AD843" s="218" t="s">
        <v>6331</v>
      </c>
      <c r="AE843" s="26"/>
      <c r="AF843" s="32">
        <v>5.0</v>
      </c>
      <c r="AG843" s="33">
        <v>1.580401281241E12</v>
      </c>
      <c r="AH843" s="33" t="s">
        <v>344</v>
      </c>
      <c r="AI843" s="40">
        <v>236314.0</v>
      </c>
    </row>
    <row r="844" ht="38.25" hidden="1" customHeight="1">
      <c r="A844" s="32">
        <v>838.0</v>
      </c>
      <c r="B844" s="218" t="s">
        <v>1037</v>
      </c>
      <c r="C844" s="218" t="s">
        <v>6386</v>
      </c>
      <c r="D844" s="218" t="s">
        <v>6387</v>
      </c>
      <c r="E844" s="218" t="s">
        <v>5683</v>
      </c>
      <c r="F844" s="218" t="s">
        <v>5683</v>
      </c>
      <c r="G844" s="234" t="s">
        <v>1110</v>
      </c>
      <c r="H844" s="27" t="s">
        <v>1110</v>
      </c>
      <c r="I844" s="29" t="s">
        <v>6388</v>
      </c>
      <c r="J844" s="29" t="s">
        <v>3963</v>
      </c>
      <c r="K844" s="222" t="s">
        <v>1137</v>
      </c>
      <c r="L844" s="222">
        <v>1.0</v>
      </c>
      <c r="M844" s="27" t="s">
        <v>1137</v>
      </c>
      <c r="N844" s="236" t="s">
        <v>1174</v>
      </c>
      <c r="O844" s="237" t="s">
        <v>4882</v>
      </c>
      <c r="P844" s="238" t="s">
        <v>4883</v>
      </c>
      <c r="Q844" s="237" t="s">
        <v>4874</v>
      </c>
      <c r="R844" s="237" t="s">
        <v>3991</v>
      </c>
      <c r="S844" s="26" t="str">
        <f t="shared" si="123"/>
        <v>กลุ่มงานการพยาบาลผู้ป่วยศัลยกรรม</v>
      </c>
      <c r="T844" s="218" t="s">
        <v>4858</v>
      </c>
      <c r="U844" s="26" t="s">
        <v>1302</v>
      </c>
      <c r="V844" s="25">
        <v>7.0</v>
      </c>
      <c r="W844" s="218" t="s">
        <v>3991</v>
      </c>
      <c r="X844" s="98" t="s">
        <v>1312</v>
      </c>
      <c r="Y844" s="31">
        <v>44.0</v>
      </c>
      <c r="Z844" s="31">
        <v>44.0</v>
      </c>
      <c r="AA844" s="31">
        <v>266.0</v>
      </c>
      <c r="AB844" s="31">
        <v>295.0</v>
      </c>
      <c r="AC844" s="32">
        <v>1.0</v>
      </c>
      <c r="AD844" s="218" t="s">
        <v>6331</v>
      </c>
      <c r="AE844" s="26"/>
      <c r="AF844" s="32">
        <v>5.0</v>
      </c>
      <c r="AG844" s="37">
        <v>1.571100156929E12</v>
      </c>
      <c r="AH844" s="37" t="s">
        <v>371</v>
      </c>
      <c r="AI844" s="38" t="s">
        <v>6150</v>
      </c>
    </row>
    <row r="845" ht="38.25" hidden="1" customHeight="1">
      <c r="A845" s="32">
        <v>839.0</v>
      </c>
      <c r="B845" s="26" t="s">
        <v>1037</v>
      </c>
      <c r="C845" s="26" t="s">
        <v>6389</v>
      </c>
      <c r="D845" s="26" t="s">
        <v>6390</v>
      </c>
      <c r="E845" s="218" t="s">
        <v>5683</v>
      </c>
      <c r="F845" s="218" t="s">
        <v>5683</v>
      </c>
      <c r="G845" s="234" t="s">
        <v>1110</v>
      </c>
      <c r="H845" s="27" t="s">
        <v>1110</v>
      </c>
      <c r="I845" s="29" t="s">
        <v>6391</v>
      </c>
      <c r="J845" s="29" t="s">
        <v>3963</v>
      </c>
      <c r="K845" s="222" t="s">
        <v>1137</v>
      </c>
      <c r="L845" s="222">
        <v>1.0</v>
      </c>
      <c r="M845" s="27" t="s">
        <v>1137</v>
      </c>
      <c r="N845" s="236" t="s">
        <v>1174</v>
      </c>
      <c r="O845" s="237" t="s">
        <v>5809</v>
      </c>
      <c r="P845" s="238" t="s">
        <v>4958</v>
      </c>
      <c r="Q845" s="237" t="s">
        <v>4959</v>
      </c>
      <c r="R845" s="237" t="s">
        <v>3991</v>
      </c>
      <c r="S845" s="26" t="str">
        <f t="shared" si="123"/>
        <v>กลุ่มงานการพยาบาลผู้ป่วยหนัก</v>
      </c>
      <c r="T845" s="218" t="s">
        <v>4959</v>
      </c>
      <c r="U845" s="26" t="s">
        <v>1302</v>
      </c>
      <c r="V845" s="25">
        <v>3.0</v>
      </c>
      <c r="W845" s="218" t="s">
        <v>3991</v>
      </c>
      <c r="X845" s="98" t="s">
        <v>1312</v>
      </c>
      <c r="Y845" s="31">
        <v>32.0</v>
      </c>
      <c r="Z845" s="31">
        <v>32.0</v>
      </c>
      <c r="AA845" s="31">
        <v>266.0</v>
      </c>
      <c r="AB845" s="31">
        <v>295.0</v>
      </c>
      <c r="AC845" s="32">
        <v>1.0</v>
      </c>
      <c r="AD845" s="70"/>
      <c r="AE845" s="70"/>
      <c r="AF845" s="75">
        <v>5.0</v>
      </c>
      <c r="AG845" s="37">
        <v>1.119902159416E12</v>
      </c>
      <c r="AH845" s="37" t="s">
        <v>245</v>
      </c>
      <c r="AI845" s="38" t="s">
        <v>6392</v>
      </c>
    </row>
    <row r="846" ht="38.25" hidden="1" customHeight="1">
      <c r="A846" s="32">
        <v>840.0</v>
      </c>
      <c r="B846" s="218" t="s">
        <v>1037</v>
      </c>
      <c r="C846" s="218" t="s">
        <v>6393</v>
      </c>
      <c r="D846" s="218" t="s">
        <v>6394</v>
      </c>
      <c r="E846" s="218" t="s">
        <v>5683</v>
      </c>
      <c r="F846" s="218" t="s">
        <v>5683</v>
      </c>
      <c r="G846" s="234" t="s">
        <v>4249</v>
      </c>
      <c r="H846" s="226" t="s">
        <v>1110</v>
      </c>
      <c r="I846" s="29">
        <v>219235.0</v>
      </c>
      <c r="J846" s="29" t="s">
        <v>1125</v>
      </c>
      <c r="K846" s="222" t="s">
        <v>1137</v>
      </c>
      <c r="L846" s="222">
        <v>1.0</v>
      </c>
      <c r="M846" s="27" t="s">
        <v>1137</v>
      </c>
      <c r="N846" s="239" t="s">
        <v>3981</v>
      </c>
      <c r="O846" s="237" t="s">
        <v>4644</v>
      </c>
      <c r="P846" s="238" t="s">
        <v>5348</v>
      </c>
      <c r="Q846" s="237" t="s">
        <v>5349</v>
      </c>
      <c r="R846" s="237" t="s">
        <v>3991</v>
      </c>
      <c r="S846" s="26" t="str">
        <f t="shared" si="123"/>
        <v>กลุ่มงานการพยาบาลผู้ป่วยอุบัติเหตุและฉุกเฉิน</v>
      </c>
      <c r="T846" s="218" t="s">
        <v>4398</v>
      </c>
      <c r="U846" s="26" t="s">
        <v>1302</v>
      </c>
      <c r="V846" s="25">
        <v>6.0</v>
      </c>
      <c r="W846" s="218" t="s">
        <v>3991</v>
      </c>
      <c r="X846" s="98" t="s">
        <v>1312</v>
      </c>
      <c r="Y846" s="31">
        <v>18.0</v>
      </c>
      <c r="Z846" s="31">
        <v>18.0</v>
      </c>
      <c r="AA846" s="31">
        <v>266.0</v>
      </c>
      <c r="AB846" s="31">
        <v>295.0</v>
      </c>
      <c r="AC846" s="32">
        <v>1.0</v>
      </c>
      <c r="AD846" s="26"/>
      <c r="AE846" s="26"/>
      <c r="AF846" s="32">
        <v>5.0</v>
      </c>
      <c r="AG846" s="33">
        <v>1.505200045448E12</v>
      </c>
      <c r="AH846" s="33" t="s">
        <v>2712</v>
      </c>
      <c r="AI846" s="34" t="s">
        <v>6395</v>
      </c>
    </row>
    <row r="847" ht="38.25" hidden="1" customHeight="1">
      <c r="A847" s="32">
        <v>841.0</v>
      </c>
      <c r="B847" s="218" t="s">
        <v>806</v>
      </c>
      <c r="C847" s="218" t="s">
        <v>6396</v>
      </c>
      <c r="D847" s="218" t="s">
        <v>6397</v>
      </c>
      <c r="E847" s="218" t="s">
        <v>5683</v>
      </c>
      <c r="F847" s="218" t="s">
        <v>5683</v>
      </c>
      <c r="G847" s="234" t="s">
        <v>4226</v>
      </c>
      <c r="H847" s="226" t="s">
        <v>6086</v>
      </c>
      <c r="I847" s="29">
        <v>194169.0</v>
      </c>
      <c r="J847" s="29" t="s">
        <v>1125</v>
      </c>
      <c r="K847" s="222" t="s">
        <v>1137</v>
      </c>
      <c r="L847" s="222">
        <v>1.0</v>
      </c>
      <c r="M847" s="27" t="s">
        <v>1137</v>
      </c>
      <c r="N847" s="236" t="s">
        <v>1174</v>
      </c>
      <c r="O847" s="237" t="s">
        <v>4644</v>
      </c>
      <c r="P847" s="238" t="s">
        <v>5348</v>
      </c>
      <c r="Q847" s="237" t="s">
        <v>5349</v>
      </c>
      <c r="R847" s="237" t="s">
        <v>3991</v>
      </c>
      <c r="S847" s="26" t="str">
        <f t="shared" si="123"/>
        <v>กลุ่มงานการพยาบาลวิสัญญี</v>
      </c>
      <c r="T847" s="218" t="s">
        <v>5349</v>
      </c>
      <c r="U847" s="26" t="s">
        <v>1302</v>
      </c>
      <c r="V847" s="25">
        <v>6.0</v>
      </c>
      <c r="W847" s="218" t="s">
        <v>3991</v>
      </c>
      <c r="X847" s="98" t="s">
        <v>1312</v>
      </c>
      <c r="Y847" s="31">
        <v>18.0</v>
      </c>
      <c r="Z847" s="31">
        <v>18.0</v>
      </c>
      <c r="AA847" s="31">
        <v>266.0</v>
      </c>
      <c r="AB847" s="31">
        <v>295.0</v>
      </c>
      <c r="AC847" s="32">
        <v>1.0</v>
      </c>
      <c r="AD847" s="26"/>
      <c r="AE847" s="26"/>
      <c r="AF847" s="32">
        <v>5.0</v>
      </c>
      <c r="AG847" s="37">
        <v>1.510600010876E12</v>
      </c>
      <c r="AH847" s="37" t="s">
        <v>3628</v>
      </c>
      <c r="AI847" s="44">
        <v>229047.0</v>
      </c>
    </row>
    <row r="848" ht="38.25" hidden="1" customHeight="1">
      <c r="A848" s="32">
        <v>842.0</v>
      </c>
      <c r="B848" s="26" t="s">
        <v>1037</v>
      </c>
      <c r="C848" s="26" t="s">
        <v>6398</v>
      </c>
      <c r="D848" s="26" t="s">
        <v>6399</v>
      </c>
      <c r="E848" s="26" t="s">
        <v>6400</v>
      </c>
      <c r="F848" s="26" t="s">
        <v>6401</v>
      </c>
      <c r="G848" s="77" t="s">
        <v>1110</v>
      </c>
      <c r="H848" s="27" t="s">
        <v>1110</v>
      </c>
      <c r="I848" s="29" t="s">
        <v>6402</v>
      </c>
      <c r="J848" s="29" t="s">
        <v>3963</v>
      </c>
      <c r="K848" s="27" t="s">
        <v>1137</v>
      </c>
      <c r="L848" s="25">
        <v>1.0</v>
      </c>
      <c r="M848" s="27" t="s">
        <v>1137</v>
      </c>
      <c r="N848" s="80" t="s">
        <v>1174</v>
      </c>
      <c r="O848" s="76" t="s">
        <v>5032</v>
      </c>
      <c r="P848" s="76" t="str">
        <f t="shared" ref="P848:P852" si="124">+O848</f>
        <v>แพทย์แผนไทยและการแพทย์ทางเลือก</v>
      </c>
      <c r="Q848" s="76" t="str">
        <f t="shared" ref="Q848:Q871" si="125">+T848</f>
        <v>กลุ่มงานการแพทย์แผนไทยและการแพทย์ทางเลือก</v>
      </c>
      <c r="R848" s="76" t="s">
        <v>4064</v>
      </c>
      <c r="S848" s="26" t="str">
        <f t="shared" si="123"/>
        <v>กลุ่มงานการแพทย์แผนไทยและการแพทย์ทางเลือก</v>
      </c>
      <c r="T848" s="26" t="s">
        <v>3242</v>
      </c>
      <c r="U848" s="26" t="s">
        <v>1302</v>
      </c>
      <c r="V848" s="98" t="s">
        <v>3935</v>
      </c>
      <c r="W848" s="26" t="s">
        <v>4064</v>
      </c>
      <c r="X848" s="25" t="s">
        <v>3935</v>
      </c>
      <c r="Y848" s="31">
        <v>5.0</v>
      </c>
      <c r="Z848" s="31">
        <v>5.0</v>
      </c>
      <c r="AA848" s="63">
        <v>66.0</v>
      </c>
      <c r="AB848" s="31">
        <v>5.0</v>
      </c>
      <c r="AC848" s="32">
        <v>1.0</v>
      </c>
      <c r="AD848" s="26"/>
      <c r="AE848" s="26"/>
      <c r="AF848" s="32">
        <v>7.0</v>
      </c>
      <c r="AG848" s="37">
        <v>1.560300317381E12</v>
      </c>
      <c r="AH848" s="37" t="s">
        <v>597</v>
      </c>
      <c r="AI848" s="38" t="s">
        <v>4946</v>
      </c>
    </row>
    <row r="849" ht="38.25" hidden="1" customHeight="1">
      <c r="A849" s="32">
        <v>843.0</v>
      </c>
      <c r="B849" s="26" t="s">
        <v>2692</v>
      </c>
      <c r="C849" s="26" t="s">
        <v>6403</v>
      </c>
      <c r="D849" s="26" t="s">
        <v>6404</v>
      </c>
      <c r="E849" s="26" t="s">
        <v>6405</v>
      </c>
      <c r="F849" s="26" t="s">
        <v>4628</v>
      </c>
      <c r="G849" s="77" t="s">
        <v>1110</v>
      </c>
      <c r="H849" s="27" t="s">
        <v>1110</v>
      </c>
      <c r="I849" s="29">
        <v>4362.0</v>
      </c>
      <c r="J849" s="29" t="s">
        <v>1535</v>
      </c>
      <c r="K849" s="27" t="s">
        <v>1137</v>
      </c>
      <c r="L849" s="25">
        <v>1.0</v>
      </c>
      <c r="M849" s="27" t="s">
        <v>1137</v>
      </c>
      <c r="N849" s="80" t="s">
        <v>1174</v>
      </c>
      <c r="O849" s="76" t="s">
        <v>5032</v>
      </c>
      <c r="P849" s="76" t="str">
        <f t="shared" si="124"/>
        <v>แพทย์แผนไทยและการแพทย์ทางเลือก</v>
      </c>
      <c r="Q849" s="76" t="str">
        <f t="shared" si="125"/>
        <v>กลุ่มงานการแพทย์แผนไทยและการแพทย์ทางเลือก</v>
      </c>
      <c r="R849" s="76" t="str">
        <f t="shared" ref="R849:R871" si="126">+W849</f>
        <v>ภารกิจด้านบริการปฐมภูมิ</v>
      </c>
      <c r="S849" s="26" t="str">
        <f t="shared" si="123"/>
        <v>กลุ่มงานการแพทย์แผนไทยและการแพทย์ทางเลือก</v>
      </c>
      <c r="T849" s="26" t="s">
        <v>3242</v>
      </c>
      <c r="U849" s="26" t="s">
        <v>1302</v>
      </c>
      <c r="V849" s="98" t="s">
        <v>3935</v>
      </c>
      <c r="W849" s="26" t="s">
        <v>4064</v>
      </c>
      <c r="X849" s="25" t="s">
        <v>3935</v>
      </c>
      <c r="Y849" s="31">
        <v>5.0</v>
      </c>
      <c r="Z849" s="31">
        <v>5.0</v>
      </c>
      <c r="AA849" s="63">
        <v>66.0</v>
      </c>
      <c r="AB849" s="31">
        <v>5.0</v>
      </c>
      <c r="AC849" s="32">
        <v>1.0</v>
      </c>
      <c r="AD849" s="26"/>
      <c r="AE849" s="26"/>
      <c r="AF849" s="32">
        <v>2.0</v>
      </c>
      <c r="AG849" s="33">
        <v>1.501101117242E12</v>
      </c>
      <c r="AH849" s="33" t="s">
        <v>2054</v>
      </c>
      <c r="AI849" s="34" t="s">
        <v>6406</v>
      </c>
    </row>
    <row r="850" ht="38.25" hidden="1" customHeight="1">
      <c r="A850" s="32">
        <v>844.0</v>
      </c>
      <c r="B850" s="26" t="s">
        <v>1037</v>
      </c>
      <c r="C850" s="26" t="s">
        <v>6407</v>
      </c>
      <c r="D850" s="26" t="s">
        <v>6408</v>
      </c>
      <c r="E850" s="26" t="s">
        <v>6405</v>
      </c>
      <c r="F850" s="26" t="s">
        <v>4628</v>
      </c>
      <c r="G850" s="77" t="s">
        <v>1110</v>
      </c>
      <c r="H850" s="27" t="s">
        <v>1110</v>
      </c>
      <c r="I850" s="29">
        <v>4361.0</v>
      </c>
      <c r="J850" s="29" t="s">
        <v>1535</v>
      </c>
      <c r="K850" s="27" t="s">
        <v>1137</v>
      </c>
      <c r="L850" s="25">
        <v>1.0</v>
      </c>
      <c r="M850" s="27" t="s">
        <v>1137</v>
      </c>
      <c r="N850" s="80" t="s">
        <v>1174</v>
      </c>
      <c r="O850" s="76" t="s">
        <v>5032</v>
      </c>
      <c r="P850" s="76" t="str">
        <f t="shared" si="124"/>
        <v>แพทย์แผนไทยและการแพทย์ทางเลือก</v>
      </c>
      <c r="Q850" s="76" t="str">
        <f t="shared" si="125"/>
        <v>กลุ่มงานการแพทย์แผนไทยและการแพทย์ทางเลือก</v>
      </c>
      <c r="R850" s="76" t="str">
        <f t="shared" si="126"/>
        <v>ภารกิจด้านบริการปฐมภูมิ</v>
      </c>
      <c r="S850" s="26" t="str">
        <f t="shared" si="123"/>
        <v>กลุ่มงานการแพทย์แผนไทยและการแพทย์ทางเลือก</v>
      </c>
      <c r="T850" s="26" t="s">
        <v>3242</v>
      </c>
      <c r="U850" s="26" t="s">
        <v>1302</v>
      </c>
      <c r="V850" s="98" t="s">
        <v>3935</v>
      </c>
      <c r="W850" s="26" t="s">
        <v>4064</v>
      </c>
      <c r="X850" s="25" t="s">
        <v>3935</v>
      </c>
      <c r="Y850" s="31">
        <v>5.0</v>
      </c>
      <c r="Z850" s="31">
        <v>5.0</v>
      </c>
      <c r="AA850" s="63">
        <v>66.0</v>
      </c>
      <c r="AB850" s="31">
        <v>5.0</v>
      </c>
      <c r="AC850" s="32">
        <v>1.0</v>
      </c>
      <c r="AD850" s="26"/>
      <c r="AE850" s="26"/>
      <c r="AF850" s="32">
        <v>2.0</v>
      </c>
      <c r="AG850" s="37">
        <v>1.103702620394E12</v>
      </c>
      <c r="AH850" s="37" t="s">
        <v>1757</v>
      </c>
      <c r="AI850" s="44">
        <v>234402.0</v>
      </c>
    </row>
    <row r="851" ht="38.25" hidden="1" customHeight="1">
      <c r="A851" s="32">
        <v>845.0</v>
      </c>
      <c r="B851" s="26" t="s">
        <v>1037</v>
      </c>
      <c r="C851" s="26" t="s">
        <v>6409</v>
      </c>
      <c r="D851" s="26" t="s">
        <v>4527</v>
      </c>
      <c r="E851" s="26" t="s">
        <v>6405</v>
      </c>
      <c r="F851" s="26" t="s">
        <v>4628</v>
      </c>
      <c r="G851" s="77" t="s">
        <v>1110</v>
      </c>
      <c r="H851" s="27" t="s">
        <v>1110</v>
      </c>
      <c r="I851" s="28" t="s">
        <v>6410</v>
      </c>
      <c r="J851" s="29" t="s">
        <v>3949</v>
      </c>
      <c r="K851" s="27" t="s">
        <v>1137</v>
      </c>
      <c r="L851" s="25">
        <v>1.0</v>
      </c>
      <c r="M851" s="27" t="s">
        <v>1137</v>
      </c>
      <c r="N851" s="80" t="s">
        <v>1174</v>
      </c>
      <c r="O851" s="76" t="s">
        <v>5032</v>
      </c>
      <c r="P851" s="76" t="str">
        <f t="shared" si="124"/>
        <v>แพทย์แผนไทยและการแพทย์ทางเลือก</v>
      </c>
      <c r="Q851" s="76" t="str">
        <f t="shared" si="125"/>
        <v>กลุ่มงานการแพทย์แผนไทยและการแพทย์ทางเลือก</v>
      </c>
      <c r="R851" s="76" t="str">
        <f t="shared" si="126"/>
        <v>ภารกิจด้านบริการปฐมภูมิ</v>
      </c>
      <c r="S851" s="26" t="str">
        <f t="shared" si="123"/>
        <v>กลุ่มงานการแพทย์แผนไทยและการแพทย์ทางเลือก</v>
      </c>
      <c r="T851" s="26" t="s">
        <v>3242</v>
      </c>
      <c r="U851" s="26" t="s">
        <v>1302</v>
      </c>
      <c r="V851" s="98" t="s">
        <v>3935</v>
      </c>
      <c r="W851" s="26" t="s">
        <v>4064</v>
      </c>
      <c r="X851" s="25" t="s">
        <v>3935</v>
      </c>
      <c r="Y851" s="31">
        <v>5.0</v>
      </c>
      <c r="Z851" s="31">
        <v>5.0</v>
      </c>
      <c r="AA851" s="63">
        <v>66.0</v>
      </c>
      <c r="AB851" s="31">
        <v>5.0</v>
      </c>
      <c r="AC851" s="32">
        <v>1.0</v>
      </c>
      <c r="AD851" s="26"/>
      <c r="AE851" s="26"/>
      <c r="AF851" s="32">
        <v>2.0</v>
      </c>
      <c r="AG851" s="37">
        <v>1.96050027889E12</v>
      </c>
      <c r="AH851" s="37" t="s">
        <v>857</v>
      </c>
      <c r="AI851" s="38" t="s">
        <v>6411</v>
      </c>
    </row>
    <row r="852" ht="38.25" hidden="1" customHeight="1">
      <c r="A852" s="32">
        <v>846.0</v>
      </c>
      <c r="B852" s="26" t="s">
        <v>806</v>
      </c>
      <c r="C852" s="26" t="s">
        <v>6412</v>
      </c>
      <c r="D852" s="26" t="s">
        <v>6413</v>
      </c>
      <c r="E852" s="26" t="s">
        <v>6405</v>
      </c>
      <c r="F852" s="26" t="s">
        <v>6401</v>
      </c>
      <c r="G852" s="27" t="s">
        <v>4220</v>
      </c>
      <c r="H852" s="27" t="s">
        <v>4629</v>
      </c>
      <c r="I852" s="29">
        <v>108469.0</v>
      </c>
      <c r="J852" s="29" t="s">
        <v>1125</v>
      </c>
      <c r="K852" s="27" t="s">
        <v>1137</v>
      </c>
      <c r="L852" s="25">
        <v>1.0</v>
      </c>
      <c r="M852" s="27" t="s">
        <v>1137</v>
      </c>
      <c r="N852" s="30" t="s">
        <v>1174</v>
      </c>
      <c r="O852" s="26" t="s">
        <v>5032</v>
      </c>
      <c r="P852" s="26" t="str">
        <f t="shared" si="124"/>
        <v>แพทย์แผนไทยและการแพทย์ทางเลือก</v>
      </c>
      <c r="Q852" s="26" t="str">
        <f t="shared" si="125"/>
        <v>กลุ่มงานการแพทย์แผนไทยและการแพทย์ทางเลือก</v>
      </c>
      <c r="R852" s="26" t="str">
        <f t="shared" si="126"/>
        <v>ภารกิจด้านบริการปฐมภูมิ</v>
      </c>
      <c r="S852" s="26" t="str">
        <f t="shared" si="123"/>
        <v>กลุ่มงานการแพทย์แผนไทยและการแพทย์ทางเลือก</v>
      </c>
      <c r="T852" s="26" t="s">
        <v>3242</v>
      </c>
      <c r="U852" s="26" t="s">
        <v>1302</v>
      </c>
      <c r="V852" s="98" t="s">
        <v>3935</v>
      </c>
      <c r="W852" s="26" t="s">
        <v>4064</v>
      </c>
      <c r="X852" s="25" t="s">
        <v>3935</v>
      </c>
      <c r="Y852" s="31">
        <v>5.0</v>
      </c>
      <c r="Z852" s="31">
        <v>5.0</v>
      </c>
      <c r="AA852" s="63">
        <v>66.0</v>
      </c>
      <c r="AB852" s="31">
        <v>5.0</v>
      </c>
      <c r="AC852" s="32">
        <v>1.0</v>
      </c>
      <c r="AD852" s="26"/>
      <c r="AE852" s="26"/>
      <c r="AF852" s="32">
        <v>7.0</v>
      </c>
      <c r="AG852" s="33">
        <v>3.430600355757E12</v>
      </c>
      <c r="AH852" s="33" t="s">
        <v>3546</v>
      </c>
      <c r="AI852" s="34" t="s">
        <v>6414</v>
      </c>
    </row>
    <row r="853" ht="38.25" hidden="1" customHeight="1">
      <c r="A853" s="32">
        <v>847.0</v>
      </c>
      <c r="B853" s="26" t="s">
        <v>806</v>
      </c>
      <c r="C853" s="26" t="s">
        <v>6415</v>
      </c>
      <c r="D853" s="26" t="s">
        <v>6416</v>
      </c>
      <c r="E853" s="26" t="s">
        <v>6417</v>
      </c>
      <c r="F853" s="26" t="s">
        <v>6417</v>
      </c>
      <c r="G853" s="27" t="s">
        <v>4226</v>
      </c>
      <c r="H853" s="27" t="s">
        <v>6418</v>
      </c>
      <c r="I853" s="29">
        <v>107115.0</v>
      </c>
      <c r="J853" s="29" t="s">
        <v>1125</v>
      </c>
      <c r="K853" s="27" t="s">
        <v>1137</v>
      </c>
      <c r="L853" s="25">
        <v>1.0</v>
      </c>
      <c r="M853" s="27" t="s">
        <v>1137</v>
      </c>
      <c r="N853" s="30" t="s">
        <v>1174</v>
      </c>
      <c r="O853" s="26" t="str">
        <f t="shared" ref="O853:O871" si="127">+T853</f>
        <v>กลุ่มงานเภสัชกรรม</v>
      </c>
      <c r="P853" s="26" t="s">
        <v>4160</v>
      </c>
      <c r="Q853" s="26" t="str">
        <f t="shared" si="125"/>
        <v>กลุ่มงานเภสัชกรรม</v>
      </c>
      <c r="R853" s="26" t="str">
        <f t="shared" si="126"/>
        <v>ภารกิจด้านบริการทุติยภูมิและตติยภูมิ</v>
      </c>
      <c r="S853" s="26" t="str">
        <f t="shared" si="123"/>
        <v>กลุ่มงานเภสัชกรรม</v>
      </c>
      <c r="T853" s="26" t="s">
        <v>4161</v>
      </c>
      <c r="U853" s="26" t="s">
        <v>1302</v>
      </c>
      <c r="V853" s="25">
        <v>19.0</v>
      </c>
      <c r="W853" s="26" t="s">
        <v>4054</v>
      </c>
      <c r="X853" s="25" t="s">
        <v>3978</v>
      </c>
      <c r="Y853" s="31">
        <v>30.0</v>
      </c>
      <c r="Z853" s="31">
        <v>45.0</v>
      </c>
      <c r="AA853" s="31">
        <v>199.0</v>
      </c>
      <c r="AB853" s="31">
        <v>30.0</v>
      </c>
      <c r="AC853" s="32">
        <v>1.0</v>
      </c>
      <c r="AD853" s="26"/>
      <c r="AE853" s="26" t="s">
        <v>6419</v>
      </c>
      <c r="AF853" s="32">
        <v>4.0</v>
      </c>
      <c r="AG853" s="37">
        <v>3.501300616768E12</v>
      </c>
      <c r="AH853" s="37" t="s">
        <v>3542</v>
      </c>
      <c r="AI853" s="39">
        <v>224576.0</v>
      </c>
    </row>
    <row r="854" ht="38.25" hidden="1" customHeight="1">
      <c r="A854" s="32">
        <v>848.0</v>
      </c>
      <c r="B854" s="26" t="s">
        <v>1037</v>
      </c>
      <c r="C854" s="26" t="s">
        <v>6420</v>
      </c>
      <c r="D854" s="26" t="s">
        <v>6421</v>
      </c>
      <c r="E854" s="26" t="s">
        <v>6417</v>
      </c>
      <c r="F854" s="26" t="s">
        <v>6417</v>
      </c>
      <c r="G854" s="27" t="s">
        <v>4220</v>
      </c>
      <c r="H854" s="27" t="s">
        <v>6418</v>
      </c>
      <c r="I854" s="29">
        <v>106549.0</v>
      </c>
      <c r="J854" s="29" t="s">
        <v>1125</v>
      </c>
      <c r="K854" s="27" t="s">
        <v>1137</v>
      </c>
      <c r="L854" s="25">
        <v>1.0</v>
      </c>
      <c r="M854" s="27" t="s">
        <v>1137</v>
      </c>
      <c r="N854" s="30" t="s">
        <v>1174</v>
      </c>
      <c r="O854" s="26" t="str">
        <f t="shared" si="127"/>
        <v>กลุ่มงานเภสัชกรรม</v>
      </c>
      <c r="P854" s="26" t="s">
        <v>4160</v>
      </c>
      <c r="Q854" s="26" t="str">
        <f t="shared" si="125"/>
        <v>กลุ่มงานเภสัชกรรม</v>
      </c>
      <c r="R854" s="26" t="str">
        <f t="shared" si="126"/>
        <v>ภารกิจด้านบริการทุติยภูมิและตติยภูมิ</v>
      </c>
      <c r="S854" s="26" t="str">
        <f t="shared" si="123"/>
        <v>กลุ่มงานเภสัชกรรม</v>
      </c>
      <c r="T854" s="26" t="s">
        <v>4161</v>
      </c>
      <c r="U854" s="26" t="s">
        <v>1302</v>
      </c>
      <c r="V854" s="25">
        <v>19.0</v>
      </c>
      <c r="W854" s="26" t="s">
        <v>4054</v>
      </c>
      <c r="X854" s="25" t="s">
        <v>3978</v>
      </c>
      <c r="Y854" s="31">
        <v>30.0</v>
      </c>
      <c r="Z854" s="31">
        <v>45.0</v>
      </c>
      <c r="AA854" s="31">
        <v>199.0</v>
      </c>
      <c r="AB854" s="31">
        <v>30.0</v>
      </c>
      <c r="AC854" s="32">
        <v>1.0</v>
      </c>
      <c r="AD854" s="26"/>
      <c r="AE854" s="26"/>
      <c r="AF854" s="32">
        <v>4.0</v>
      </c>
      <c r="AG854" s="33">
        <v>3.549900102509E12</v>
      </c>
      <c r="AH854" s="33" t="s">
        <v>3528</v>
      </c>
      <c r="AI854" s="34" t="s">
        <v>6422</v>
      </c>
    </row>
    <row r="855" ht="38.25" hidden="1" customHeight="1">
      <c r="A855" s="32">
        <v>849.0</v>
      </c>
      <c r="B855" s="26" t="s">
        <v>1037</v>
      </c>
      <c r="C855" s="26" t="s">
        <v>6137</v>
      </c>
      <c r="D855" s="26" t="s">
        <v>6423</v>
      </c>
      <c r="E855" s="26" t="s">
        <v>6417</v>
      </c>
      <c r="F855" s="26" t="s">
        <v>6417</v>
      </c>
      <c r="G855" s="27" t="s">
        <v>4220</v>
      </c>
      <c r="H855" s="27" t="s">
        <v>6418</v>
      </c>
      <c r="I855" s="29">
        <v>106615.0</v>
      </c>
      <c r="J855" s="29" t="s">
        <v>1125</v>
      </c>
      <c r="K855" s="27" t="s">
        <v>1137</v>
      </c>
      <c r="L855" s="25">
        <v>1.0</v>
      </c>
      <c r="M855" s="27" t="s">
        <v>1137</v>
      </c>
      <c r="N855" s="30" t="s">
        <v>1174</v>
      </c>
      <c r="O855" s="26" t="str">
        <f t="shared" si="127"/>
        <v>กลุ่มงานเภสัชกรรม</v>
      </c>
      <c r="P855" s="26" t="s">
        <v>4160</v>
      </c>
      <c r="Q855" s="26" t="str">
        <f t="shared" si="125"/>
        <v>กลุ่มงานเภสัชกรรม</v>
      </c>
      <c r="R855" s="26" t="str">
        <f t="shared" si="126"/>
        <v>ภารกิจด้านบริการทุติยภูมิและตติยภูมิ</v>
      </c>
      <c r="S855" s="26" t="str">
        <f t="shared" si="123"/>
        <v>กลุ่มงานเภสัชกรรม</v>
      </c>
      <c r="T855" s="26" t="s">
        <v>4161</v>
      </c>
      <c r="U855" s="26" t="s">
        <v>1302</v>
      </c>
      <c r="V855" s="25">
        <v>19.0</v>
      </c>
      <c r="W855" s="26" t="s">
        <v>4054</v>
      </c>
      <c r="X855" s="25" t="s">
        <v>3978</v>
      </c>
      <c r="Y855" s="31">
        <v>30.0</v>
      </c>
      <c r="Z855" s="31">
        <v>45.0</v>
      </c>
      <c r="AA855" s="31">
        <v>199.0</v>
      </c>
      <c r="AB855" s="31">
        <v>30.0</v>
      </c>
      <c r="AC855" s="32">
        <v>1.0</v>
      </c>
      <c r="AD855" s="26"/>
      <c r="AE855" s="26"/>
      <c r="AF855" s="32">
        <v>4.0</v>
      </c>
      <c r="AG855" s="37">
        <v>3.560300258429E12</v>
      </c>
      <c r="AH855" s="37" t="s">
        <v>3532</v>
      </c>
      <c r="AI855" s="44">
        <v>225663.0</v>
      </c>
    </row>
    <row r="856" ht="38.25" hidden="1" customHeight="1">
      <c r="A856" s="32">
        <v>850.0</v>
      </c>
      <c r="B856" s="26" t="s">
        <v>1037</v>
      </c>
      <c r="C856" s="26" t="s">
        <v>5789</v>
      </c>
      <c r="D856" s="26" t="s">
        <v>6424</v>
      </c>
      <c r="E856" s="26" t="s">
        <v>6417</v>
      </c>
      <c r="F856" s="26" t="s">
        <v>6417</v>
      </c>
      <c r="G856" s="27" t="s">
        <v>4220</v>
      </c>
      <c r="H856" s="27" t="s">
        <v>6418</v>
      </c>
      <c r="I856" s="29">
        <v>107307.0</v>
      </c>
      <c r="J856" s="29" t="s">
        <v>1125</v>
      </c>
      <c r="K856" s="27" t="s">
        <v>1137</v>
      </c>
      <c r="L856" s="25">
        <v>1.0</v>
      </c>
      <c r="M856" s="27" t="s">
        <v>1137</v>
      </c>
      <c r="N856" s="30" t="s">
        <v>1174</v>
      </c>
      <c r="O856" s="26" t="str">
        <f t="shared" si="127"/>
        <v>กลุ่มงานเภสัชกรรม</v>
      </c>
      <c r="P856" s="26" t="s">
        <v>4160</v>
      </c>
      <c r="Q856" s="26" t="str">
        <f t="shared" si="125"/>
        <v>กลุ่มงานเภสัชกรรม</v>
      </c>
      <c r="R856" s="26" t="str">
        <f t="shared" si="126"/>
        <v>ภารกิจด้านบริการทุติยภูมิและตติยภูมิ</v>
      </c>
      <c r="S856" s="26" t="str">
        <f t="shared" si="123"/>
        <v>กลุ่มงานเภสัชกรรม</v>
      </c>
      <c r="T856" s="26" t="s">
        <v>4161</v>
      </c>
      <c r="U856" s="26" t="s">
        <v>1302</v>
      </c>
      <c r="V856" s="25">
        <v>19.0</v>
      </c>
      <c r="W856" s="26" t="s">
        <v>4054</v>
      </c>
      <c r="X856" s="25" t="s">
        <v>3978</v>
      </c>
      <c r="Y856" s="31">
        <v>30.0</v>
      </c>
      <c r="Z856" s="31">
        <v>45.0</v>
      </c>
      <c r="AA856" s="31">
        <v>199.0</v>
      </c>
      <c r="AB856" s="31">
        <v>30.0</v>
      </c>
      <c r="AC856" s="32">
        <v>1.0</v>
      </c>
      <c r="AD856" s="26"/>
      <c r="AE856" s="26"/>
      <c r="AF856" s="32">
        <v>4.0</v>
      </c>
      <c r="AG856" s="33">
        <v>3.500500357749E12</v>
      </c>
      <c r="AH856" s="33" t="s">
        <v>3537</v>
      </c>
      <c r="AI856" s="34" t="s">
        <v>6425</v>
      </c>
    </row>
    <row r="857" ht="38.25" hidden="1" customHeight="1">
      <c r="A857" s="32">
        <v>851.0</v>
      </c>
      <c r="B857" s="26" t="s">
        <v>806</v>
      </c>
      <c r="C857" s="26" t="s">
        <v>6426</v>
      </c>
      <c r="D857" s="26" t="s">
        <v>4627</v>
      </c>
      <c r="E857" s="26" t="s">
        <v>6417</v>
      </c>
      <c r="F857" s="26" t="s">
        <v>6417</v>
      </c>
      <c r="G857" s="27" t="s">
        <v>4220</v>
      </c>
      <c r="H857" s="27" t="s">
        <v>6418</v>
      </c>
      <c r="I857" s="29">
        <v>107506.0</v>
      </c>
      <c r="J857" s="29" t="s">
        <v>1125</v>
      </c>
      <c r="K857" s="27" t="s">
        <v>1137</v>
      </c>
      <c r="L857" s="25">
        <v>1.0</v>
      </c>
      <c r="M857" s="27" t="s">
        <v>1137</v>
      </c>
      <c r="N857" s="30" t="s">
        <v>1174</v>
      </c>
      <c r="O857" s="26" t="str">
        <f t="shared" si="127"/>
        <v>กลุ่มงานเภสัชกรรม</v>
      </c>
      <c r="P857" s="26" t="s">
        <v>4160</v>
      </c>
      <c r="Q857" s="26" t="str">
        <f t="shared" si="125"/>
        <v>กลุ่มงานเภสัชกรรม</v>
      </c>
      <c r="R857" s="26" t="str">
        <f t="shared" si="126"/>
        <v>ภารกิจด้านบริการทุติยภูมิและตติยภูมิ</v>
      </c>
      <c r="S857" s="26" t="str">
        <f t="shared" si="123"/>
        <v>กลุ่มงานเภสัชกรรม</v>
      </c>
      <c r="T857" s="26" t="s">
        <v>4161</v>
      </c>
      <c r="U857" s="26" t="s">
        <v>1302</v>
      </c>
      <c r="V857" s="25">
        <v>19.0</v>
      </c>
      <c r="W857" s="26" t="s">
        <v>4054</v>
      </c>
      <c r="X857" s="25" t="s">
        <v>3978</v>
      </c>
      <c r="Y857" s="31">
        <v>30.0</v>
      </c>
      <c r="Z857" s="31">
        <v>45.0</v>
      </c>
      <c r="AA857" s="31">
        <v>199.0</v>
      </c>
      <c r="AB857" s="31">
        <v>30.0</v>
      </c>
      <c r="AC857" s="32">
        <v>1.0</v>
      </c>
      <c r="AD857" s="26"/>
      <c r="AE857" s="26"/>
      <c r="AF857" s="32">
        <v>4.0</v>
      </c>
      <c r="AG857" s="37">
        <v>3.501400135401E12</v>
      </c>
      <c r="AH857" s="37" t="s">
        <v>3496</v>
      </c>
      <c r="AI857" s="44">
        <v>226094.0</v>
      </c>
    </row>
    <row r="858" ht="38.25" hidden="1" customHeight="1">
      <c r="A858" s="32">
        <v>852.0</v>
      </c>
      <c r="B858" s="26" t="s">
        <v>806</v>
      </c>
      <c r="C858" s="26" t="s">
        <v>6427</v>
      </c>
      <c r="D858" s="26" t="s">
        <v>6428</v>
      </c>
      <c r="E858" s="26" t="s">
        <v>6417</v>
      </c>
      <c r="F858" s="26" t="s">
        <v>6417</v>
      </c>
      <c r="G858" s="27" t="s">
        <v>4220</v>
      </c>
      <c r="H858" s="27" t="s">
        <v>6418</v>
      </c>
      <c r="I858" s="29">
        <v>110024.0</v>
      </c>
      <c r="J858" s="29" t="s">
        <v>1125</v>
      </c>
      <c r="K858" s="27" t="s">
        <v>1137</v>
      </c>
      <c r="L858" s="25">
        <v>1.0</v>
      </c>
      <c r="M858" s="27" t="s">
        <v>1137</v>
      </c>
      <c r="N858" s="30" t="s">
        <v>1174</v>
      </c>
      <c r="O858" s="26" t="str">
        <f t="shared" si="127"/>
        <v>กลุ่มงานเภสัชกรรม</v>
      </c>
      <c r="P858" s="26" t="s">
        <v>4160</v>
      </c>
      <c r="Q858" s="26" t="str">
        <f t="shared" si="125"/>
        <v>กลุ่มงานเภสัชกรรม</v>
      </c>
      <c r="R858" s="26" t="str">
        <f t="shared" si="126"/>
        <v>ภารกิจด้านบริการทุติยภูมิและตติยภูมิ</v>
      </c>
      <c r="S858" s="26" t="str">
        <f t="shared" si="123"/>
        <v>กลุ่มงานเภสัชกรรม</v>
      </c>
      <c r="T858" s="26" t="s">
        <v>4161</v>
      </c>
      <c r="U858" s="26" t="s">
        <v>1302</v>
      </c>
      <c r="V858" s="25">
        <v>19.0</v>
      </c>
      <c r="W858" s="26" t="s">
        <v>4054</v>
      </c>
      <c r="X858" s="25" t="s">
        <v>3978</v>
      </c>
      <c r="Y858" s="31">
        <v>30.0</v>
      </c>
      <c r="Z858" s="31">
        <v>45.0</v>
      </c>
      <c r="AA858" s="31">
        <v>199.0</v>
      </c>
      <c r="AB858" s="31">
        <v>30.0</v>
      </c>
      <c r="AC858" s="32">
        <v>1.0</v>
      </c>
      <c r="AD858" s="26"/>
      <c r="AE858" s="26"/>
      <c r="AF858" s="32">
        <v>4.0</v>
      </c>
      <c r="AG858" s="33">
        <v>1.509900852901E12</v>
      </c>
      <c r="AH858" s="33" t="s">
        <v>3501</v>
      </c>
      <c r="AI858" s="34" t="s">
        <v>4776</v>
      </c>
    </row>
    <row r="859" ht="38.25" hidden="1" customHeight="1">
      <c r="A859" s="32">
        <v>853.0</v>
      </c>
      <c r="B859" s="26" t="s">
        <v>1037</v>
      </c>
      <c r="C859" s="26" t="s">
        <v>6429</v>
      </c>
      <c r="D859" s="26" t="s">
        <v>6430</v>
      </c>
      <c r="E859" s="26" t="s">
        <v>6417</v>
      </c>
      <c r="F859" s="26" t="s">
        <v>6417</v>
      </c>
      <c r="G859" s="27" t="s">
        <v>4220</v>
      </c>
      <c r="H859" s="27" t="s">
        <v>6418</v>
      </c>
      <c r="I859" s="29">
        <v>150145.0</v>
      </c>
      <c r="J859" s="29" t="s">
        <v>1125</v>
      </c>
      <c r="K859" s="27" t="s">
        <v>1137</v>
      </c>
      <c r="L859" s="25">
        <v>1.0</v>
      </c>
      <c r="M859" s="27" t="s">
        <v>1137</v>
      </c>
      <c r="N859" s="30" t="s">
        <v>1174</v>
      </c>
      <c r="O859" s="26" t="str">
        <f t="shared" si="127"/>
        <v>กลุ่มงานเภสัชกรรม</v>
      </c>
      <c r="P859" s="26" t="s">
        <v>4160</v>
      </c>
      <c r="Q859" s="26" t="str">
        <f t="shared" si="125"/>
        <v>กลุ่มงานเภสัชกรรม</v>
      </c>
      <c r="R859" s="26" t="str">
        <f t="shared" si="126"/>
        <v>ภารกิจด้านบริการทุติยภูมิและตติยภูมิ</v>
      </c>
      <c r="S859" s="26" t="str">
        <f t="shared" si="123"/>
        <v>กลุ่มงานเภสัชกรรม</v>
      </c>
      <c r="T859" s="26" t="s">
        <v>4161</v>
      </c>
      <c r="U859" s="26" t="s">
        <v>1302</v>
      </c>
      <c r="V859" s="25">
        <v>19.0</v>
      </c>
      <c r="W859" s="26" t="s">
        <v>4054</v>
      </c>
      <c r="X859" s="25" t="s">
        <v>3978</v>
      </c>
      <c r="Y859" s="31">
        <v>30.0</v>
      </c>
      <c r="Z859" s="31">
        <v>45.0</v>
      </c>
      <c r="AA859" s="31">
        <v>199.0</v>
      </c>
      <c r="AB859" s="31">
        <v>30.0</v>
      </c>
      <c r="AC859" s="32">
        <v>1.0</v>
      </c>
      <c r="AD859" s="26"/>
      <c r="AE859" s="26"/>
      <c r="AF859" s="32">
        <v>4.0</v>
      </c>
      <c r="AG859" s="37">
        <v>3.819900132952E12</v>
      </c>
      <c r="AH859" s="37" t="s">
        <v>3510</v>
      </c>
      <c r="AI859" s="44">
        <v>227668.0</v>
      </c>
    </row>
    <row r="860" ht="38.25" hidden="1" customHeight="1">
      <c r="A860" s="32">
        <v>854.0</v>
      </c>
      <c r="B860" s="26" t="s">
        <v>1037</v>
      </c>
      <c r="C860" s="26" t="s">
        <v>6431</v>
      </c>
      <c r="D860" s="26" t="s">
        <v>6432</v>
      </c>
      <c r="E860" s="26" t="s">
        <v>6417</v>
      </c>
      <c r="F860" s="26" t="s">
        <v>6417</v>
      </c>
      <c r="G860" s="27" t="s">
        <v>4249</v>
      </c>
      <c r="H860" s="27" t="s">
        <v>1110</v>
      </c>
      <c r="I860" s="29">
        <v>150451.0</v>
      </c>
      <c r="J860" s="29" t="s">
        <v>1125</v>
      </c>
      <c r="K860" s="27" t="s">
        <v>1137</v>
      </c>
      <c r="L860" s="25">
        <v>1.0</v>
      </c>
      <c r="M860" s="27" t="s">
        <v>1137</v>
      </c>
      <c r="N860" s="30" t="s">
        <v>1174</v>
      </c>
      <c r="O860" s="26" t="str">
        <f t="shared" si="127"/>
        <v>กลุ่มงานเภสัชกรรม</v>
      </c>
      <c r="P860" s="26" t="s">
        <v>4160</v>
      </c>
      <c r="Q860" s="26" t="str">
        <f t="shared" si="125"/>
        <v>กลุ่มงานเภสัชกรรม</v>
      </c>
      <c r="R860" s="26" t="str">
        <f t="shared" si="126"/>
        <v>ภารกิจด้านบริการทุติยภูมิและตติยภูมิ</v>
      </c>
      <c r="S860" s="26" t="str">
        <f t="shared" si="123"/>
        <v>กลุ่มงานเภสัชกรรม</v>
      </c>
      <c r="T860" s="26" t="s">
        <v>4161</v>
      </c>
      <c r="U860" s="26" t="s">
        <v>1302</v>
      </c>
      <c r="V860" s="25">
        <v>19.0</v>
      </c>
      <c r="W860" s="26" t="s">
        <v>4054</v>
      </c>
      <c r="X860" s="25" t="s">
        <v>3978</v>
      </c>
      <c r="Y860" s="31">
        <v>30.0</v>
      </c>
      <c r="Z860" s="31">
        <v>45.0</v>
      </c>
      <c r="AA860" s="31">
        <v>199.0</v>
      </c>
      <c r="AB860" s="31">
        <v>30.0</v>
      </c>
      <c r="AC860" s="32">
        <v>1.0</v>
      </c>
      <c r="AD860" s="26"/>
      <c r="AE860" s="26"/>
      <c r="AF860" s="32">
        <v>4.0</v>
      </c>
      <c r="AG860" s="33">
        <v>3.501400584426E12</v>
      </c>
      <c r="AH860" s="33" t="s">
        <v>3506</v>
      </c>
      <c r="AI860" s="40">
        <v>227761.0</v>
      </c>
    </row>
    <row r="861" ht="38.25" hidden="1" customHeight="1">
      <c r="A861" s="32">
        <v>855.0</v>
      </c>
      <c r="B861" s="26" t="s">
        <v>1037</v>
      </c>
      <c r="C861" s="26" t="s">
        <v>6433</v>
      </c>
      <c r="D861" s="26" t="s">
        <v>6434</v>
      </c>
      <c r="E861" s="26" t="s">
        <v>6417</v>
      </c>
      <c r="F861" s="26" t="s">
        <v>6417</v>
      </c>
      <c r="G861" s="27" t="s">
        <v>4220</v>
      </c>
      <c r="H861" s="27" t="s">
        <v>6418</v>
      </c>
      <c r="I861" s="29">
        <v>155328.0</v>
      </c>
      <c r="J861" s="29" t="s">
        <v>1125</v>
      </c>
      <c r="K861" s="27" t="s">
        <v>1137</v>
      </c>
      <c r="L861" s="25">
        <v>1.0</v>
      </c>
      <c r="M861" s="27" t="s">
        <v>1137</v>
      </c>
      <c r="N861" s="30" t="s">
        <v>1174</v>
      </c>
      <c r="O861" s="26" t="str">
        <f t="shared" si="127"/>
        <v>กลุ่มงานเภสัชกรรม</v>
      </c>
      <c r="P861" s="26" t="s">
        <v>4160</v>
      </c>
      <c r="Q861" s="26" t="str">
        <f t="shared" si="125"/>
        <v>กลุ่มงานเภสัชกรรม</v>
      </c>
      <c r="R861" s="26" t="str">
        <f t="shared" si="126"/>
        <v>ภารกิจด้านบริการทุติยภูมิและตติยภูมิ</v>
      </c>
      <c r="S861" s="26" t="str">
        <f t="shared" si="123"/>
        <v>กลุ่มงานเภสัชกรรม</v>
      </c>
      <c r="T861" s="26" t="s">
        <v>4161</v>
      </c>
      <c r="U861" s="26" t="s">
        <v>1302</v>
      </c>
      <c r="V861" s="25">
        <v>19.0</v>
      </c>
      <c r="W861" s="26" t="s">
        <v>4054</v>
      </c>
      <c r="X861" s="25" t="s">
        <v>3978</v>
      </c>
      <c r="Y861" s="31">
        <v>30.0</v>
      </c>
      <c r="Z861" s="31">
        <v>45.0</v>
      </c>
      <c r="AA861" s="31">
        <v>199.0</v>
      </c>
      <c r="AB861" s="31">
        <v>30.0</v>
      </c>
      <c r="AC861" s="32">
        <v>1.0</v>
      </c>
      <c r="AD861" s="26"/>
      <c r="AE861" s="26"/>
      <c r="AF861" s="32">
        <v>4.0</v>
      </c>
      <c r="AG861" s="37">
        <v>3.509901357144E12</v>
      </c>
      <c r="AH861" s="37" t="s">
        <v>3524</v>
      </c>
      <c r="AI861" s="44">
        <v>227190.0</v>
      </c>
    </row>
    <row r="862" ht="38.25" hidden="1" customHeight="1">
      <c r="A862" s="32">
        <v>856.0</v>
      </c>
      <c r="B862" s="26" t="s">
        <v>806</v>
      </c>
      <c r="C862" s="26" t="s">
        <v>5771</v>
      </c>
      <c r="D862" s="26" t="s">
        <v>6435</v>
      </c>
      <c r="E862" s="26" t="s">
        <v>6417</v>
      </c>
      <c r="F862" s="26" t="s">
        <v>6417</v>
      </c>
      <c r="G862" s="27" t="s">
        <v>4220</v>
      </c>
      <c r="H862" s="27" t="s">
        <v>6418</v>
      </c>
      <c r="I862" s="29">
        <v>160429.0</v>
      </c>
      <c r="J862" s="29" t="s">
        <v>1125</v>
      </c>
      <c r="K862" s="27" t="s">
        <v>1137</v>
      </c>
      <c r="L862" s="25">
        <v>1.0</v>
      </c>
      <c r="M862" s="27" t="s">
        <v>1137</v>
      </c>
      <c r="N862" s="30" t="s">
        <v>1174</v>
      </c>
      <c r="O862" s="26" t="str">
        <f t="shared" si="127"/>
        <v>กลุ่มงานเภสัชกรรม</v>
      </c>
      <c r="P862" s="26" t="s">
        <v>4160</v>
      </c>
      <c r="Q862" s="26" t="str">
        <f t="shared" si="125"/>
        <v>กลุ่มงานเภสัชกรรม</v>
      </c>
      <c r="R862" s="26" t="str">
        <f t="shared" si="126"/>
        <v>ภารกิจด้านบริการทุติยภูมิและตติยภูมิ</v>
      </c>
      <c r="S862" s="26" t="str">
        <f t="shared" si="123"/>
        <v>กลุ่มงานเภสัชกรรม</v>
      </c>
      <c r="T862" s="26" t="s">
        <v>4161</v>
      </c>
      <c r="U862" s="26" t="s">
        <v>1302</v>
      </c>
      <c r="V862" s="25">
        <v>19.0</v>
      </c>
      <c r="W862" s="26" t="s">
        <v>4054</v>
      </c>
      <c r="X862" s="25" t="s">
        <v>3978</v>
      </c>
      <c r="Y862" s="31">
        <v>30.0</v>
      </c>
      <c r="Z862" s="31">
        <v>45.0</v>
      </c>
      <c r="AA862" s="31">
        <v>199.0</v>
      </c>
      <c r="AB862" s="31">
        <v>30.0</v>
      </c>
      <c r="AC862" s="32">
        <v>1.0</v>
      </c>
      <c r="AD862" s="26"/>
      <c r="AE862" s="26"/>
      <c r="AF862" s="32">
        <v>4.0</v>
      </c>
      <c r="AG862" s="33">
        <v>3.501200060521E12</v>
      </c>
      <c r="AH862" s="33" t="s">
        <v>3515</v>
      </c>
      <c r="AI862" s="34" t="s">
        <v>6436</v>
      </c>
    </row>
    <row r="863" ht="38.25" hidden="1" customHeight="1">
      <c r="A863" s="32">
        <v>857.0</v>
      </c>
      <c r="B863" s="26" t="s">
        <v>806</v>
      </c>
      <c r="C863" s="26" t="s">
        <v>6437</v>
      </c>
      <c r="D863" s="26" t="s">
        <v>6438</v>
      </c>
      <c r="E863" s="26" t="s">
        <v>6417</v>
      </c>
      <c r="F863" s="26" t="s">
        <v>6417</v>
      </c>
      <c r="G863" s="27" t="s">
        <v>4220</v>
      </c>
      <c r="H863" s="27" t="s">
        <v>6418</v>
      </c>
      <c r="I863" s="29">
        <v>160730.0</v>
      </c>
      <c r="J863" s="29" t="s">
        <v>1125</v>
      </c>
      <c r="K863" s="27" t="s">
        <v>1137</v>
      </c>
      <c r="L863" s="25">
        <v>1.0</v>
      </c>
      <c r="M863" s="27" t="s">
        <v>1137</v>
      </c>
      <c r="N863" s="30" t="s">
        <v>1174</v>
      </c>
      <c r="O863" s="26" t="str">
        <f t="shared" si="127"/>
        <v>กลุ่มงานเภสัชกรรม</v>
      </c>
      <c r="P863" s="26" t="s">
        <v>4160</v>
      </c>
      <c r="Q863" s="26" t="str">
        <f t="shared" si="125"/>
        <v>กลุ่มงานเภสัชกรรม</v>
      </c>
      <c r="R863" s="26" t="str">
        <f t="shared" si="126"/>
        <v>ภารกิจด้านบริการทุติยภูมิและตติยภูมิ</v>
      </c>
      <c r="S863" s="26" t="str">
        <f t="shared" si="123"/>
        <v>กลุ่มงานเภสัชกรรม</v>
      </c>
      <c r="T863" s="26" t="s">
        <v>4161</v>
      </c>
      <c r="U863" s="26" t="s">
        <v>1302</v>
      </c>
      <c r="V863" s="25">
        <v>19.0</v>
      </c>
      <c r="W863" s="26" t="s">
        <v>4054</v>
      </c>
      <c r="X863" s="25" t="s">
        <v>3978</v>
      </c>
      <c r="Y863" s="31">
        <v>30.0</v>
      </c>
      <c r="Z863" s="31">
        <v>45.0</v>
      </c>
      <c r="AA863" s="31">
        <v>199.0</v>
      </c>
      <c r="AB863" s="31">
        <v>30.0</v>
      </c>
      <c r="AC863" s="32">
        <v>1.0</v>
      </c>
      <c r="AD863" s="26"/>
      <c r="AE863" s="26"/>
      <c r="AF863" s="32">
        <v>4.0</v>
      </c>
      <c r="AG863" s="37">
        <v>5.501400018338E12</v>
      </c>
      <c r="AH863" s="37" t="s">
        <v>3520</v>
      </c>
      <c r="AI863" s="38" t="s">
        <v>6439</v>
      </c>
    </row>
    <row r="864" ht="38.25" hidden="1" customHeight="1">
      <c r="A864" s="32">
        <v>858.0</v>
      </c>
      <c r="B864" s="26" t="s">
        <v>806</v>
      </c>
      <c r="C864" s="26" t="s">
        <v>6440</v>
      </c>
      <c r="D864" s="26" t="s">
        <v>6441</v>
      </c>
      <c r="E864" s="26" t="s">
        <v>6417</v>
      </c>
      <c r="F864" s="26" t="s">
        <v>6417</v>
      </c>
      <c r="G864" s="27" t="s">
        <v>4220</v>
      </c>
      <c r="H864" s="27" t="s">
        <v>6418</v>
      </c>
      <c r="I864" s="29">
        <v>173569.0</v>
      </c>
      <c r="J864" s="29" t="s">
        <v>1125</v>
      </c>
      <c r="K864" s="27" t="s">
        <v>1137</v>
      </c>
      <c r="L864" s="25">
        <v>1.0</v>
      </c>
      <c r="M864" s="27" t="s">
        <v>1137</v>
      </c>
      <c r="N864" s="30" t="s">
        <v>1174</v>
      </c>
      <c r="O864" s="26" t="str">
        <f t="shared" si="127"/>
        <v>กลุ่มงานเภสัชกรรม</v>
      </c>
      <c r="P864" s="26" t="s">
        <v>4160</v>
      </c>
      <c r="Q864" s="26" t="str">
        <f t="shared" si="125"/>
        <v>กลุ่มงานเภสัชกรรม</v>
      </c>
      <c r="R864" s="26" t="str">
        <f t="shared" si="126"/>
        <v>ภารกิจด้านบริการทุติยภูมิและตติยภูมิ</v>
      </c>
      <c r="S864" s="26" t="str">
        <f t="shared" si="123"/>
        <v>กลุ่มงานเภสัชกรรม</v>
      </c>
      <c r="T864" s="26" t="s">
        <v>4161</v>
      </c>
      <c r="U864" s="26" t="s">
        <v>1302</v>
      </c>
      <c r="V864" s="25">
        <v>19.0</v>
      </c>
      <c r="W864" s="26" t="s">
        <v>4054</v>
      </c>
      <c r="X864" s="25" t="s">
        <v>3978</v>
      </c>
      <c r="Y864" s="31">
        <v>30.0</v>
      </c>
      <c r="Z864" s="31">
        <v>45.0</v>
      </c>
      <c r="AA864" s="31">
        <v>199.0</v>
      </c>
      <c r="AB864" s="31">
        <v>30.0</v>
      </c>
      <c r="AC864" s="32">
        <v>1.0</v>
      </c>
      <c r="AD864" s="26"/>
      <c r="AE864" s="26"/>
      <c r="AF864" s="32">
        <v>4.0</v>
      </c>
      <c r="AG864" s="33">
        <v>5.540300032397E12</v>
      </c>
      <c r="AH864" s="33" t="s">
        <v>3492</v>
      </c>
      <c r="AI864" s="34" t="s">
        <v>6442</v>
      </c>
    </row>
    <row r="865" ht="38.25" hidden="1" customHeight="1">
      <c r="A865" s="32">
        <v>859.0</v>
      </c>
      <c r="B865" s="26" t="s">
        <v>1037</v>
      </c>
      <c r="C865" s="26" t="s">
        <v>6443</v>
      </c>
      <c r="D865" s="26" t="s">
        <v>6444</v>
      </c>
      <c r="E865" s="26" t="s">
        <v>6417</v>
      </c>
      <c r="F865" s="26" t="s">
        <v>6417</v>
      </c>
      <c r="G865" s="27" t="s">
        <v>4220</v>
      </c>
      <c r="H865" s="27" t="s">
        <v>6418</v>
      </c>
      <c r="I865" s="29">
        <v>99465.0</v>
      </c>
      <c r="J865" s="29" t="s">
        <v>1125</v>
      </c>
      <c r="K865" s="27" t="s">
        <v>1137</v>
      </c>
      <c r="L865" s="25">
        <v>1.0</v>
      </c>
      <c r="M865" s="27" t="s">
        <v>1137</v>
      </c>
      <c r="N865" s="30" t="s">
        <v>1174</v>
      </c>
      <c r="O865" s="26" t="str">
        <f t="shared" si="127"/>
        <v>กลุ่มงานเภสัชกรรม</v>
      </c>
      <c r="P865" s="26" t="s">
        <v>4160</v>
      </c>
      <c r="Q865" s="26" t="str">
        <f t="shared" si="125"/>
        <v>กลุ่มงานเภสัชกรรม</v>
      </c>
      <c r="R865" s="26" t="str">
        <f t="shared" si="126"/>
        <v>ภารกิจด้านบริการทุติยภูมิและตติยภูมิ</v>
      </c>
      <c r="S865" s="26" t="str">
        <f t="shared" si="123"/>
        <v>กลุ่มงานเภสัชกรรม</v>
      </c>
      <c r="T865" s="26" t="s">
        <v>4161</v>
      </c>
      <c r="U865" s="26" t="s">
        <v>1302</v>
      </c>
      <c r="V865" s="25">
        <v>19.0</v>
      </c>
      <c r="W865" s="26" t="s">
        <v>4054</v>
      </c>
      <c r="X865" s="25" t="s">
        <v>3978</v>
      </c>
      <c r="Y865" s="31">
        <v>30.0</v>
      </c>
      <c r="Z865" s="31">
        <v>45.0</v>
      </c>
      <c r="AA865" s="31">
        <v>199.0</v>
      </c>
      <c r="AB865" s="31">
        <v>30.0</v>
      </c>
      <c r="AC865" s="32">
        <v>1.0</v>
      </c>
      <c r="AD865" s="26"/>
      <c r="AE865" s="26"/>
      <c r="AF865" s="32">
        <v>4.0</v>
      </c>
      <c r="AG865" s="37">
        <v>3.969900127168E12</v>
      </c>
      <c r="AH865" s="37" t="s">
        <v>2247</v>
      </c>
      <c r="AI865" s="38" t="s">
        <v>6445</v>
      </c>
    </row>
    <row r="866" ht="38.25" hidden="1" customHeight="1">
      <c r="A866" s="32">
        <v>860.0</v>
      </c>
      <c r="B866" s="26" t="s">
        <v>806</v>
      </c>
      <c r="C866" s="26" t="s">
        <v>5669</v>
      </c>
      <c r="D866" s="26" t="s">
        <v>6446</v>
      </c>
      <c r="E866" s="26" t="s">
        <v>6417</v>
      </c>
      <c r="F866" s="26" t="s">
        <v>6417</v>
      </c>
      <c r="G866" s="27" t="s">
        <v>4220</v>
      </c>
      <c r="H866" s="27" t="s">
        <v>6418</v>
      </c>
      <c r="I866" s="29">
        <v>182756.0</v>
      </c>
      <c r="J866" s="29" t="s">
        <v>1125</v>
      </c>
      <c r="K866" s="27" t="s">
        <v>1137</v>
      </c>
      <c r="L866" s="25">
        <v>1.0</v>
      </c>
      <c r="M866" s="27" t="s">
        <v>1137</v>
      </c>
      <c r="N866" s="30" t="s">
        <v>1174</v>
      </c>
      <c r="O866" s="26" t="str">
        <f t="shared" si="127"/>
        <v>กลุ่มงานเภสัชกรรม</v>
      </c>
      <c r="P866" s="26" t="s">
        <v>4160</v>
      </c>
      <c r="Q866" s="26" t="str">
        <f t="shared" si="125"/>
        <v>กลุ่มงานเภสัชกรรม</v>
      </c>
      <c r="R866" s="26" t="str">
        <f t="shared" si="126"/>
        <v>ภารกิจด้านบริการทุติยภูมิและตติยภูมิ</v>
      </c>
      <c r="S866" s="26" t="str">
        <f t="shared" si="123"/>
        <v>กลุ่มงานเภสัชกรรม</v>
      </c>
      <c r="T866" s="26" t="s">
        <v>4161</v>
      </c>
      <c r="U866" s="26" t="s">
        <v>1302</v>
      </c>
      <c r="V866" s="25">
        <v>19.0</v>
      </c>
      <c r="W866" s="26" t="s">
        <v>4054</v>
      </c>
      <c r="X866" s="25" t="s">
        <v>3978</v>
      </c>
      <c r="Y866" s="31">
        <v>30.0</v>
      </c>
      <c r="Z866" s="31">
        <v>45.0</v>
      </c>
      <c r="AA866" s="31">
        <v>199.0</v>
      </c>
      <c r="AB866" s="31">
        <v>30.0</v>
      </c>
      <c r="AC866" s="32">
        <v>1.0</v>
      </c>
      <c r="AD866" s="26"/>
      <c r="AE866" s="26"/>
      <c r="AF866" s="32">
        <v>4.0</v>
      </c>
      <c r="AG866" s="33">
        <v>1.5099008334E12</v>
      </c>
      <c r="AH866" s="33" t="s">
        <v>2242</v>
      </c>
      <c r="AI866" s="40">
        <v>231506.0</v>
      </c>
    </row>
    <row r="867" ht="38.25" hidden="1" customHeight="1">
      <c r="A867" s="32">
        <v>861.0</v>
      </c>
      <c r="B867" s="26" t="s">
        <v>1037</v>
      </c>
      <c r="C867" s="26" t="s">
        <v>6447</v>
      </c>
      <c r="D867" s="26" t="s">
        <v>6448</v>
      </c>
      <c r="E867" s="26" t="s">
        <v>6417</v>
      </c>
      <c r="F867" s="26" t="s">
        <v>6417</v>
      </c>
      <c r="G867" s="27" t="s">
        <v>4220</v>
      </c>
      <c r="H867" s="27" t="s">
        <v>6418</v>
      </c>
      <c r="I867" s="29">
        <v>107180.0</v>
      </c>
      <c r="J867" s="29" t="s">
        <v>1125</v>
      </c>
      <c r="K867" s="27" t="s">
        <v>1137</v>
      </c>
      <c r="L867" s="25">
        <v>1.0</v>
      </c>
      <c r="M867" s="27" t="s">
        <v>1137</v>
      </c>
      <c r="N867" s="30" t="s">
        <v>1174</v>
      </c>
      <c r="O867" s="26" t="str">
        <f t="shared" si="127"/>
        <v>กลุ่มงานเภสัชกรรม</v>
      </c>
      <c r="P867" s="26" t="s">
        <v>4160</v>
      </c>
      <c r="Q867" s="26" t="str">
        <f t="shared" si="125"/>
        <v>กลุ่มงานเภสัชกรรม</v>
      </c>
      <c r="R867" s="26" t="str">
        <f t="shared" si="126"/>
        <v>ภารกิจด้านบริการทุติยภูมิและตติยภูมิ</v>
      </c>
      <c r="S867" s="26" t="str">
        <f t="shared" si="123"/>
        <v>กลุ่มงานเภสัชกรรม</v>
      </c>
      <c r="T867" s="26" t="s">
        <v>4161</v>
      </c>
      <c r="U867" s="26" t="s">
        <v>1302</v>
      </c>
      <c r="V867" s="25">
        <v>19.0</v>
      </c>
      <c r="W867" s="26" t="s">
        <v>4054</v>
      </c>
      <c r="X867" s="25" t="s">
        <v>3978</v>
      </c>
      <c r="Y867" s="31">
        <v>30.0</v>
      </c>
      <c r="Z867" s="31">
        <v>45.0</v>
      </c>
      <c r="AA867" s="31">
        <v>199.0</v>
      </c>
      <c r="AB867" s="31">
        <v>30.0</v>
      </c>
      <c r="AC867" s="32">
        <v>1.0</v>
      </c>
      <c r="AD867" s="26"/>
      <c r="AE867" s="26"/>
      <c r="AF867" s="32">
        <v>4.0</v>
      </c>
      <c r="AG867" s="37">
        <v>1.509900510465E12</v>
      </c>
      <c r="AH867" s="61"/>
      <c r="AI867" s="38" t="s">
        <v>6449</v>
      </c>
    </row>
    <row r="868" ht="38.25" hidden="1" customHeight="1">
      <c r="A868" s="32">
        <v>862.0</v>
      </c>
      <c r="B868" s="26" t="s">
        <v>1037</v>
      </c>
      <c r="C868" s="26" t="s">
        <v>6450</v>
      </c>
      <c r="D868" s="26" t="s">
        <v>6423</v>
      </c>
      <c r="E868" s="26" t="s">
        <v>6417</v>
      </c>
      <c r="F868" s="26" t="s">
        <v>6417</v>
      </c>
      <c r="G868" s="27" t="s">
        <v>4249</v>
      </c>
      <c r="H868" s="27" t="s">
        <v>1110</v>
      </c>
      <c r="I868" s="29">
        <v>179574.0</v>
      </c>
      <c r="J868" s="29" t="s">
        <v>1125</v>
      </c>
      <c r="K868" s="27" t="s">
        <v>1137</v>
      </c>
      <c r="L868" s="25">
        <v>1.0</v>
      </c>
      <c r="M868" s="27" t="s">
        <v>1137</v>
      </c>
      <c r="N868" s="30" t="s">
        <v>1174</v>
      </c>
      <c r="O868" s="26" t="str">
        <f t="shared" si="127"/>
        <v>กลุ่มงานเภสัชกรรม</v>
      </c>
      <c r="P868" s="26" t="s">
        <v>4160</v>
      </c>
      <c r="Q868" s="26" t="str">
        <f t="shared" si="125"/>
        <v>กลุ่มงานเภสัชกรรม</v>
      </c>
      <c r="R868" s="26" t="str">
        <f t="shared" si="126"/>
        <v>ภารกิจด้านบริการทุติยภูมิและตติยภูมิ</v>
      </c>
      <c r="S868" s="26" t="str">
        <f t="shared" si="123"/>
        <v>กลุ่มงานเภสัชกรรม</v>
      </c>
      <c r="T868" s="26" t="s">
        <v>4161</v>
      </c>
      <c r="U868" s="26" t="s">
        <v>1302</v>
      </c>
      <c r="V868" s="25">
        <v>19.0</v>
      </c>
      <c r="W868" s="26" t="s">
        <v>4054</v>
      </c>
      <c r="X868" s="25" t="s">
        <v>3978</v>
      </c>
      <c r="Y868" s="31">
        <v>30.0</v>
      </c>
      <c r="Z868" s="31">
        <v>45.0</v>
      </c>
      <c r="AA868" s="31">
        <v>199.0</v>
      </c>
      <c r="AB868" s="31">
        <v>30.0</v>
      </c>
      <c r="AC868" s="32">
        <v>1.0</v>
      </c>
      <c r="AD868" s="26"/>
      <c r="AE868" s="26"/>
      <c r="AF868" s="32">
        <v>4.0</v>
      </c>
      <c r="AG868" s="33">
        <v>1.509900710111E12</v>
      </c>
      <c r="AH868" s="46"/>
      <c r="AI868" s="34" t="s">
        <v>4495</v>
      </c>
    </row>
    <row r="869" ht="38.25" hidden="1" customHeight="1">
      <c r="A869" s="32">
        <v>863.0</v>
      </c>
      <c r="B869" s="26" t="s">
        <v>2692</v>
      </c>
      <c r="C869" s="26" t="s">
        <v>6451</v>
      </c>
      <c r="D869" s="26" t="s">
        <v>6452</v>
      </c>
      <c r="E869" s="26" t="s">
        <v>6417</v>
      </c>
      <c r="F869" s="26" t="s">
        <v>6417</v>
      </c>
      <c r="G869" s="27" t="s">
        <v>4220</v>
      </c>
      <c r="H869" s="27" t="s">
        <v>6418</v>
      </c>
      <c r="I869" s="29">
        <v>173764.0</v>
      </c>
      <c r="J869" s="29" t="s">
        <v>1125</v>
      </c>
      <c r="K869" s="27" t="s">
        <v>1137</v>
      </c>
      <c r="L869" s="25">
        <v>1.0</v>
      </c>
      <c r="M869" s="27" t="s">
        <v>1137</v>
      </c>
      <c r="N869" s="30" t="s">
        <v>1174</v>
      </c>
      <c r="O869" s="26" t="str">
        <f t="shared" si="127"/>
        <v>กลุ่มงานเภสัชกรรม</v>
      </c>
      <c r="P869" s="26" t="s">
        <v>4160</v>
      </c>
      <c r="Q869" s="26" t="str">
        <f t="shared" si="125"/>
        <v>กลุ่มงานเภสัชกรรม</v>
      </c>
      <c r="R869" s="26" t="str">
        <f t="shared" si="126"/>
        <v>ภารกิจด้านบริการทุติยภูมิและตติยภูมิ</v>
      </c>
      <c r="S869" s="26" t="str">
        <f t="shared" si="123"/>
        <v>กลุ่มงานเภสัชกรรม</v>
      </c>
      <c r="T869" s="26" t="s">
        <v>4161</v>
      </c>
      <c r="U869" s="26" t="s">
        <v>1302</v>
      </c>
      <c r="V869" s="25">
        <v>19.0</v>
      </c>
      <c r="W869" s="26" t="s">
        <v>4054</v>
      </c>
      <c r="X869" s="25" t="s">
        <v>3978</v>
      </c>
      <c r="Y869" s="31">
        <v>30.0</v>
      </c>
      <c r="Z869" s="31">
        <v>45.0</v>
      </c>
      <c r="AA869" s="31">
        <v>199.0</v>
      </c>
      <c r="AB869" s="31">
        <v>30.0</v>
      </c>
      <c r="AC869" s="32">
        <v>1.0</v>
      </c>
      <c r="AD869" s="26"/>
      <c r="AE869" s="26"/>
      <c r="AF869" s="32">
        <v>4.0</v>
      </c>
      <c r="AG869" s="37">
        <v>1.509900648351E12</v>
      </c>
      <c r="AH869" s="37" t="s">
        <v>1673</v>
      </c>
      <c r="AI869" s="38" t="s">
        <v>6453</v>
      </c>
    </row>
    <row r="870" ht="38.25" hidden="1" customHeight="1">
      <c r="A870" s="32">
        <v>864.0</v>
      </c>
      <c r="B870" s="26" t="s">
        <v>2692</v>
      </c>
      <c r="C870" s="26" t="s">
        <v>6454</v>
      </c>
      <c r="D870" s="26" t="s">
        <v>6455</v>
      </c>
      <c r="E870" s="26" t="s">
        <v>6417</v>
      </c>
      <c r="F870" s="26" t="s">
        <v>6417</v>
      </c>
      <c r="G870" s="27" t="s">
        <v>4249</v>
      </c>
      <c r="H870" s="27" t="s">
        <v>1110</v>
      </c>
      <c r="I870" s="29">
        <v>173766.0</v>
      </c>
      <c r="J870" s="29" t="s">
        <v>1125</v>
      </c>
      <c r="K870" s="27" t="s">
        <v>1137</v>
      </c>
      <c r="L870" s="25">
        <v>1.0</v>
      </c>
      <c r="M870" s="27" t="s">
        <v>1137</v>
      </c>
      <c r="N870" s="30" t="s">
        <v>1174</v>
      </c>
      <c r="O870" s="26" t="str">
        <f t="shared" si="127"/>
        <v>กลุ่มงานเภสัชกรรม</v>
      </c>
      <c r="P870" s="26" t="s">
        <v>4160</v>
      </c>
      <c r="Q870" s="26" t="str">
        <f t="shared" si="125"/>
        <v>กลุ่มงานเภสัชกรรม</v>
      </c>
      <c r="R870" s="26" t="str">
        <f t="shared" si="126"/>
        <v>ภารกิจด้านบริการทุติยภูมิและตติยภูมิ</v>
      </c>
      <c r="S870" s="26" t="str">
        <f t="shared" si="123"/>
        <v>กลุ่มงานเภสัชกรรม</v>
      </c>
      <c r="T870" s="26" t="s">
        <v>4161</v>
      </c>
      <c r="U870" s="26" t="s">
        <v>1302</v>
      </c>
      <c r="V870" s="25">
        <v>19.0</v>
      </c>
      <c r="W870" s="26" t="s">
        <v>4054</v>
      </c>
      <c r="X870" s="25" t="s">
        <v>3978</v>
      </c>
      <c r="Y870" s="31">
        <v>30.0</v>
      </c>
      <c r="Z870" s="31">
        <v>45.0</v>
      </c>
      <c r="AA870" s="31">
        <v>199.0</v>
      </c>
      <c r="AB870" s="31">
        <v>30.0</v>
      </c>
      <c r="AC870" s="32">
        <v>1.0</v>
      </c>
      <c r="AD870" s="26"/>
      <c r="AE870" s="26"/>
      <c r="AF870" s="32">
        <v>4.0</v>
      </c>
      <c r="AG870" s="33">
        <v>1.559900125359E12</v>
      </c>
      <c r="AH870" s="33" t="s">
        <v>1318</v>
      </c>
      <c r="AI870" s="34" t="s">
        <v>6456</v>
      </c>
    </row>
    <row r="871" ht="38.25" hidden="1" customHeight="1">
      <c r="A871" s="32">
        <v>865.0</v>
      </c>
      <c r="B871" s="26" t="s">
        <v>806</v>
      </c>
      <c r="C871" s="26" t="s">
        <v>6457</v>
      </c>
      <c r="D871" s="26" t="s">
        <v>6458</v>
      </c>
      <c r="E871" s="26" t="s">
        <v>6417</v>
      </c>
      <c r="F871" s="26" t="s">
        <v>6417</v>
      </c>
      <c r="G871" s="27" t="s">
        <v>4220</v>
      </c>
      <c r="H871" s="27" t="s">
        <v>6418</v>
      </c>
      <c r="I871" s="29">
        <v>170782.0</v>
      </c>
      <c r="J871" s="29" t="s">
        <v>1125</v>
      </c>
      <c r="K871" s="27" t="s">
        <v>1137</v>
      </c>
      <c r="L871" s="25">
        <v>1.0</v>
      </c>
      <c r="M871" s="27" t="s">
        <v>1137</v>
      </c>
      <c r="N871" s="30" t="s">
        <v>1174</v>
      </c>
      <c r="O871" s="26" t="str">
        <f t="shared" si="127"/>
        <v>กลุ่มงานเภสัชกรรม</v>
      </c>
      <c r="P871" s="26" t="s">
        <v>4160</v>
      </c>
      <c r="Q871" s="26" t="str">
        <f t="shared" si="125"/>
        <v>กลุ่มงานเภสัชกรรม</v>
      </c>
      <c r="R871" s="26" t="str">
        <f t="shared" si="126"/>
        <v>ภารกิจด้านบริการทุติยภูมิและตติยภูมิ</v>
      </c>
      <c r="S871" s="26" t="str">
        <f t="shared" si="123"/>
        <v>กลุ่มงานเภสัชกรรม</v>
      </c>
      <c r="T871" s="26" t="s">
        <v>4161</v>
      </c>
      <c r="U871" s="26" t="s">
        <v>1302</v>
      </c>
      <c r="V871" s="25">
        <v>19.0</v>
      </c>
      <c r="W871" s="26" t="s">
        <v>4054</v>
      </c>
      <c r="X871" s="25" t="s">
        <v>3978</v>
      </c>
      <c r="Y871" s="31">
        <v>30.0</v>
      </c>
      <c r="Z871" s="31">
        <v>45.0</v>
      </c>
      <c r="AA871" s="31">
        <v>199.0</v>
      </c>
      <c r="AB871" s="31">
        <v>30.0</v>
      </c>
      <c r="AC871" s="32">
        <v>1.0</v>
      </c>
      <c r="AD871" s="26"/>
      <c r="AE871" s="26"/>
      <c r="AF871" s="32">
        <v>4.0</v>
      </c>
      <c r="AG871" s="37">
        <v>1.509900510473E12</v>
      </c>
      <c r="AH871" s="37" t="s">
        <v>1314</v>
      </c>
      <c r="AI871" s="38" t="s">
        <v>6449</v>
      </c>
    </row>
    <row r="872" ht="38.25" hidden="1" customHeight="1">
      <c r="A872" s="32">
        <v>866.0</v>
      </c>
      <c r="B872" s="26" t="s">
        <v>1037</v>
      </c>
      <c r="C872" s="26" t="s">
        <v>6459</v>
      </c>
      <c r="D872" s="26" t="s">
        <v>6460</v>
      </c>
      <c r="E872" s="26" t="s">
        <v>6417</v>
      </c>
      <c r="F872" s="26" t="s">
        <v>6417</v>
      </c>
      <c r="G872" s="27" t="s">
        <v>4249</v>
      </c>
      <c r="H872" s="27" t="s">
        <v>1110</v>
      </c>
      <c r="I872" s="29">
        <v>29340.0</v>
      </c>
      <c r="J872" s="29" t="s">
        <v>1125</v>
      </c>
      <c r="K872" s="27" t="s">
        <v>1137</v>
      </c>
      <c r="L872" s="25">
        <v>1.0</v>
      </c>
      <c r="M872" s="27" t="s">
        <v>1137</v>
      </c>
      <c r="N872" s="30" t="s">
        <v>1174</v>
      </c>
      <c r="O872" s="26" t="s">
        <v>4161</v>
      </c>
      <c r="P872" s="26" t="s">
        <v>4160</v>
      </c>
      <c r="Q872" s="26" t="s">
        <v>4161</v>
      </c>
      <c r="R872" s="26" t="s">
        <v>4054</v>
      </c>
      <c r="S872" s="26" t="str">
        <f t="shared" si="123"/>
        <v>กลุ่มงานเภสัชกรรม</v>
      </c>
      <c r="T872" s="26" t="s">
        <v>4161</v>
      </c>
      <c r="U872" s="26" t="s">
        <v>1302</v>
      </c>
      <c r="V872" s="25">
        <v>19.0</v>
      </c>
      <c r="W872" s="26" t="s">
        <v>4054</v>
      </c>
      <c r="X872" s="25" t="s">
        <v>3978</v>
      </c>
      <c r="Y872" s="31">
        <v>30.0</v>
      </c>
      <c r="Z872" s="31">
        <v>45.0</v>
      </c>
      <c r="AA872" s="31">
        <v>199.0</v>
      </c>
      <c r="AB872" s="31">
        <v>30.0</v>
      </c>
      <c r="AC872" s="32">
        <v>1.0</v>
      </c>
      <c r="AD872" s="26"/>
      <c r="AE872" s="26"/>
      <c r="AF872" s="32">
        <v>4.0</v>
      </c>
      <c r="AG872" s="37">
        <v>1.909800787445E12</v>
      </c>
      <c r="AH872" s="37" t="s">
        <v>1328</v>
      </c>
      <c r="AI872" s="38" t="s">
        <v>6461</v>
      </c>
    </row>
    <row r="873" ht="38.25" hidden="1" customHeight="1">
      <c r="A873" s="32">
        <v>867.0</v>
      </c>
      <c r="B873" s="26" t="s">
        <v>1037</v>
      </c>
      <c r="C873" s="26" t="s">
        <v>6462</v>
      </c>
      <c r="D873" s="26" t="s">
        <v>6463</v>
      </c>
      <c r="E873" s="26" t="s">
        <v>6417</v>
      </c>
      <c r="F873" s="26" t="s">
        <v>6417</v>
      </c>
      <c r="G873" s="27" t="s">
        <v>4220</v>
      </c>
      <c r="H873" s="27" t="s">
        <v>6418</v>
      </c>
      <c r="I873" s="29">
        <v>170803.0</v>
      </c>
      <c r="J873" s="29" t="s">
        <v>1125</v>
      </c>
      <c r="K873" s="27" t="s">
        <v>1137</v>
      </c>
      <c r="L873" s="25">
        <v>1.0</v>
      </c>
      <c r="M873" s="27" t="s">
        <v>1137</v>
      </c>
      <c r="N873" s="59" t="s">
        <v>3981</v>
      </c>
      <c r="O873" s="26" t="s">
        <v>6464</v>
      </c>
      <c r="P873" s="26" t="s">
        <v>6464</v>
      </c>
      <c r="Q873" s="26" t="s">
        <v>6464</v>
      </c>
      <c r="R873" s="26" t="s">
        <v>6464</v>
      </c>
      <c r="S873" s="26" t="str">
        <f t="shared" si="123"/>
        <v>กลุ่มงานเภสัชกรรม</v>
      </c>
      <c r="T873" s="26" t="s">
        <v>4161</v>
      </c>
      <c r="U873" s="26" t="s">
        <v>1302</v>
      </c>
      <c r="V873" s="25">
        <v>19.0</v>
      </c>
      <c r="W873" s="26" t="s">
        <v>4054</v>
      </c>
      <c r="X873" s="25" t="s">
        <v>3978</v>
      </c>
      <c r="Y873" s="31">
        <v>30.0</v>
      </c>
      <c r="Z873" s="31">
        <v>45.0</v>
      </c>
      <c r="AA873" s="31">
        <v>199.0</v>
      </c>
      <c r="AB873" s="31">
        <v>30.0</v>
      </c>
      <c r="AC873" s="32">
        <v>4.0</v>
      </c>
      <c r="AD873" s="26" t="s">
        <v>6464</v>
      </c>
      <c r="AE873" s="26"/>
      <c r="AF873" s="32">
        <v>4.0</v>
      </c>
      <c r="AG873" s="33">
        <v>1.659900255243E12</v>
      </c>
      <c r="AH873" s="33" t="s">
        <v>3487</v>
      </c>
      <c r="AI873" s="34" t="s">
        <v>6465</v>
      </c>
    </row>
    <row r="874" ht="38.25" hidden="1" customHeight="1">
      <c r="A874" s="32">
        <v>868.0</v>
      </c>
      <c r="B874" s="26" t="s">
        <v>1037</v>
      </c>
      <c r="C874" s="26" t="s">
        <v>6466</v>
      </c>
      <c r="D874" s="26" t="s">
        <v>6467</v>
      </c>
      <c r="E874" s="26" t="s">
        <v>6417</v>
      </c>
      <c r="F874" s="26" t="s">
        <v>6417</v>
      </c>
      <c r="G874" s="27" t="s">
        <v>1110</v>
      </c>
      <c r="H874" s="27" t="s">
        <v>1110</v>
      </c>
      <c r="I874" s="29">
        <v>16388.0</v>
      </c>
      <c r="J874" s="29" t="s">
        <v>4301</v>
      </c>
      <c r="K874" s="27" t="s">
        <v>1137</v>
      </c>
      <c r="L874" s="25">
        <v>1.0</v>
      </c>
      <c r="M874" s="27" t="s">
        <v>1137</v>
      </c>
      <c r="N874" s="30" t="s">
        <v>1174</v>
      </c>
      <c r="O874" s="26" t="str">
        <f t="shared" ref="O874:O875" si="128">+T874</f>
        <v>กลุ่มงานเภสัชกรรม</v>
      </c>
      <c r="P874" s="26" t="s">
        <v>4160</v>
      </c>
      <c r="Q874" s="26" t="str">
        <f t="shared" ref="Q874:Q875" si="129">+T874</f>
        <v>กลุ่มงานเภสัชกรรม</v>
      </c>
      <c r="R874" s="26" t="str">
        <f t="shared" ref="R874:R875" si="130">+W874</f>
        <v>ภารกิจด้านบริการทุติยภูมิและตติยภูมิ</v>
      </c>
      <c r="S874" s="26" t="str">
        <f t="shared" si="123"/>
        <v>กลุ่มงานเภสัชกรรม</v>
      </c>
      <c r="T874" s="26" t="s">
        <v>4161</v>
      </c>
      <c r="U874" s="26" t="s">
        <v>1302</v>
      </c>
      <c r="V874" s="25">
        <v>19.0</v>
      </c>
      <c r="W874" s="26" t="s">
        <v>4054</v>
      </c>
      <c r="X874" s="25" t="s">
        <v>3978</v>
      </c>
      <c r="Y874" s="31">
        <v>30.0</v>
      </c>
      <c r="Z874" s="31">
        <v>45.0</v>
      </c>
      <c r="AA874" s="31">
        <v>199.0</v>
      </c>
      <c r="AB874" s="31">
        <v>30.0</v>
      </c>
      <c r="AC874" s="32">
        <v>1.0</v>
      </c>
      <c r="AD874" s="26"/>
      <c r="AE874" s="26"/>
      <c r="AF874" s="32">
        <v>4.0</v>
      </c>
      <c r="AG874" s="33">
        <v>1.550500174761E12</v>
      </c>
      <c r="AH874" s="46"/>
      <c r="AI874" s="34" t="s">
        <v>6468</v>
      </c>
    </row>
    <row r="875" ht="38.25" hidden="1" customHeight="1">
      <c r="A875" s="32">
        <v>869.0</v>
      </c>
      <c r="B875" s="26" t="s">
        <v>1037</v>
      </c>
      <c r="C875" s="26" t="s">
        <v>6296</v>
      </c>
      <c r="D875" s="26" t="s">
        <v>4766</v>
      </c>
      <c r="E875" s="26" t="s">
        <v>6417</v>
      </c>
      <c r="F875" s="26" t="s">
        <v>6417</v>
      </c>
      <c r="G875" s="27" t="s">
        <v>1110</v>
      </c>
      <c r="H875" s="27" t="s">
        <v>1110</v>
      </c>
      <c r="I875" s="29" t="s">
        <v>6469</v>
      </c>
      <c r="J875" s="29" t="s">
        <v>3963</v>
      </c>
      <c r="K875" s="27" t="s">
        <v>1137</v>
      </c>
      <c r="L875" s="25">
        <v>1.0</v>
      </c>
      <c r="M875" s="27" t="s">
        <v>1137</v>
      </c>
      <c r="N875" s="30" t="s">
        <v>1174</v>
      </c>
      <c r="O875" s="26" t="str">
        <f t="shared" si="128"/>
        <v>กลุ่มงานเภสัชกรรม</v>
      </c>
      <c r="P875" s="26" t="s">
        <v>4160</v>
      </c>
      <c r="Q875" s="26" t="str">
        <f t="shared" si="129"/>
        <v>กลุ่มงานเภสัชกรรม</v>
      </c>
      <c r="R875" s="26" t="str">
        <f t="shared" si="130"/>
        <v>ภารกิจด้านบริการทุติยภูมิและตติยภูมิ</v>
      </c>
      <c r="S875" s="26" t="str">
        <f t="shared" si="123"/>
        <v>กลุ่มงานเภสัชกรรม</v>
      </c>
      <c r="T875" s="26" t="s">
        <v>4161</v>
      </c>
      <c r="U875" s="26" t="s">
        <v>1302</v>
      </c>
      <c r="V875" s="25">
        <v>19.0</v>
      </c>
      <c r="W875" s="26" t="s">
        <v>4054</v>
      </c>
      <c r="X875" s="25" t="s">
        <v>3978</v>
      </c>
      <c r="Y875" s="31">
        <v>30.0</v>
      </c>
      <c r="Z875" s="31">
        <v>45.0</v>
      </c>
      <c r="AA875" s="31">
        <v>199.0</v>
      </c>
      <c r="AB875" s="31">
        <v>30.0</v>
      </c>
      <c r="AC875" s="32">
        <v>1.0</v>
      </c>
      <c r="AD875" s="26"/>
      <c r="AE875" s="26"/>
      <c r="AF875" s="32">
        <v>4.0</v>
      </c>
      <c r="AG875" s="37">
        <v>1.500701294756E12</v>
      </c>
      <c r="AH875" s="37" t="s">
        <v>228</v>
      </c>
      <c r="AI875" s="38" t="s">
        <v>6470</v>
      </c>
    </row>
    <row r="876" ht="38.25" hidden="1" customHeight="1">
      <c r="A876" s="32">
        <v>870.0</v>
      </c>
      <c r="B876" s="70"/>
      <c r="C876" s="70"/>
      <c r="D876" s="64">
        <v>1.0</v>
      </c>
      <c r="E876" s="70" t="s">
        <v>6417</v>
      </c>
      <c r="F876" s="70" t="s">
        <v>6417</v>
      </c>
      <c r="G876" s="71" t="s">
        <v>1110</v>
      </c>
      <c r="H876" s="71" t="s">
        <v>1110</v>
      </c>
      <c r="I876" s="72" t="s">
        <v>6471</v>
      </c>
      <c r="J876" s="72" t="s">
        <v>3963</v>
      </c>
      <c r="K876" s="71" t="s">
        <v>1137</v>
      </c>
      <c r="L876" s="73">
        <v>1.0</v>
      </c>
      <c r="M876" s="71" t="s">
        <v>1137</v>
      </c>
      <c r="N876" s="73" t="s">
        <v>1174</v>
      </c>
      <c r="O876" s="70" t="s">
        <v>4161</v>
      </c>
      <c r="P876" s="70" t="s">
        <v>4160</v>
      </c>
      <c r="Q876" s="70" t="s">
        <v>4161</v>
      </c>
      <c r="R876" s="70" t="s">
        <v>4054</v>
      </c>
      <c r="S876" s="70" t="str">
        <f t="shared" si="123"/>
        <v>กลุ่มงานเภสัชกรรม</v>
      </c>
      <c r="T876" s="70" t="s">
        <v>4161</v>
      </c>
      <c r="U876" s="70" t="s">
        <v>1302</v>
      </c>
      <c r="V876" s="73">
        <v>19.0</v>
      </c>
      <c r="W876" s="70" t="s">
        <v>4054</v>
      </c>
      <c r="X876" s="73" t="s">
        <v>3978</v>
      </c>
      <c r="Y876" s="74">
        <v>30.0</v>
      </c>
      <c r="Z876" s="74">
        <v>45.0</v>
      </c>
      <c r="AA876" s="74">
        <v>199.0</v>
      </c>
      <c r="AB876" s="74">
        <v>30.0</v>
      </c>
      <c r="AC876" s="32">
        <v>0.0</v>
      </c>
      <c r="AD876" s="70" t="s">
        <v>4155</v>
      </c>
      <c r="AE876" s="70"/>
      <c r="AF876" s="75">
        <v>4.0</v>
      </c>
      <c r="AG876" s="65"/>
      <c r="AH876" s="65"/>
      <c r="AI876" s="66"/>
    </row>
    <row r="877" ht="38.25" hidden="1" customHeight="1">
      <c r="A877" s="32">
        <v>871.0</v>
      </c>
      <c r="B877" s="70"/>
      <c r="C877" s="70"/>
      <c r="D877" s="64">
        <v>1.0</v>
      </c>
      <c r="E877" s="70" t="s">
        <v>6417</v>
      </c>
      <c r="F877" s="70" t="s">
        <v>6417</v>
      </c>
      <c r="G877" s="71" t="s">
        <v>1110</v>
      </c>
      <c r="H877" s="71" t="s">
        <v>1110</v>
      </c>
      <c r="I877" s="72" t="s">
        <v>6472</v>
      </c>
      <c r="J877" s="72" t="s">
        <v>3963</v>
      </c>
      <c r="K877" s="71" t="s">
        <v>1137</v>
      </c>
      <c r="L877" s="73">
        <v>1.0</v>
      </c>
      <c r="M877" s="71" t="s">
        <v>1137</v>
      </c>
      <c r="N877" s="73" t="s">
        <v>1174</v>
      </c>
      <c r="O877" s="70" t="s">
        <v>4161</v>
      </c>
      <c r="P877" s="70" t="s">
        <v>4160</v>
      </c>
      <c r="Q877" s="70" t="s">
        <v>4161</v>
      </c>
      <c r="R877" s="70" t="s">
        <v>4054</v>
      </c>
      <c r="S877" s="70" t="str">
        <f t="shared" si="123"/>
        <v>กลุ่มงานเภสัชกรรม</v>
      </c>
      <c r="T877" s="70" t="s">
        <v>4161</v>
      </c>
      <c r="U877" s="70" t="s">
        <v>1302</v>
      </c>
      <c r="V877" s="73">
        <v>19.0</v>
      </c>
      <c r="W877" s="70" t="s">
        <v>4054</v>
      </c>
      <c r="X877" s="73" t="s">
        <v>3978</v>
      </c>
      <c r="Y877" s="74">
        <v>30.0</v>
      </c>
      <c r="Z877" s="74">
        <v>45.0</v>
      </c>
      <c r="AA877" s="74">
        <v>199.0</v>
      </c>
      <c r="AB877" s="74">
        <v>30.0</v>
      </c>
      <c r="AC877" s="32">
        <v>0.0</v>
      </c>
      <c r="AD877" s="70" t="s">
        <v>4155</v>
      </c>
      <c r="AE877" s="70"/>
      <c r="AF877" s="75">
        <v>4.0</v>
      </c>
      <c r="AG877" s="65"/>
      <c r="AH877" s="65"/>
      <c r="AI877" s="66"/>
    </row>
    <row r="878" ht="38.25" hidden="1" customHeight="1">
      <c r="A878" s="32">
        <v>872.0</v>
      </c>
      <c r="B878" s="26" t="s">
        <v>2692</v>
      </c>
      <c r="C878" s="26" t="s">
        <v>6473</v>
      </c>
      <c r="D878" s="26" t="s">
        <v>6474</v>
      </c>
      <c r="E878" s="26" t="s">
        <v>6475</v>
      </c>
      <c r="F878" s="26" t="s">
        <v>6476</v>
      </c>
      <c r="G878" s="27" t="s">
        <v>1110</v>
      </c>
      <c r="H878" s="27" t="s">
        <v>1110</v>
      </c>
      <c r="I878" s="29" t="s">
        <v>6477</v>
      </c>
      <c r="J878" s="29" t="s">
        <v>3949</v>
      </c>
      <c r="K878" s="27" t="s">
        <v>1137</v>
      </c>
      <c r="L878" s="25">
        <v>3.0</v>
      </c>
      <c r="M878" s="27" t="s">
        <v>1137</v>
      </c>
      <c r="N878" s="30" t="s">
        <v>1174</v>
      </c>
      <c r="O878" s="26" t="s">
        <v>4090</v>
      </c>
      <c r="P878" s="26" t="s">
        <v>4090</v>
      </c>
      <c r="Q878" s="26" t="str">
        <f>+T878</f>
        <v>กลุ่มงานโครงสร้างพื้นฐานและวิศวกรรมทางการแพทย์</v>
      </c>
      <c r="R878" s="26" t="str">
        <f>+W878</f>
        <v>ภารกิจด้านอำนวยการ</v>
      </c>
      <c r="S878" s="26" t="str">
        <f t="shared" si="123"/>
        <v>กลุ่มงานโครงสร้างพื้นฐานและวิศวกรรมทางการแพทย์</v>
      </c>
      <c r="T878" s="26" t="s">
        <v>4091</v>
      </c>
      <c r="U878" s="26" t="s">
        <v>1302</v>
      </c>
      <c r="V878" s="25" t="s">
        <v>21</v>
      </c>
      <c r="W878" s="26" t="s">
        <v>1323</v>
      </c>
      <c r="X878" s="25" t="s">
        <v>46</v>
      </c>
      <c r="Y878" s="31">
        <v>2.0</v>
      </c>
      <c r="Z878" s="31">
        <v>20.0</v>
      </c>
      <c r="AA878" s="31">
        <v>85.0</v>
      </c>
      <c r="AB878" s="31">
        <v>2.0</v>
      </c>
      <c r="AC878" s="32">
        <v>1.0</v>
      </c>
      <c r="AD878" s="26"/>
      <c r="AE878" s="26"/>
      <c r="AF878" s="32">
        <v>23.0</v>
      </c>
      <c r="AG878" s="33">
        <v>1.659901963292E12</v>
      </c>
      <c r="AH878" s="33" t="s">
        <v>1008</v>
      </c>
      <c r="AI878" s="34" t="s">
        <v>6478</v>
      </c>
    </row>
    <row r="879" ht="38.25" customHeight="1">
      <c r="A879" s="32"/>
      <c r="B879" s="64" t="s">
        <v>1037</v>
      </c>
      <c r="C879" s="64" t="s">
        <v>6479</v>
      </c>
      <c r="D879" s="64" t="s">
        <v>6480</v>
      </c>
      <c r="E879" s="64" t="s">
        <v>5683</v>
      </c>
      <c r="F879" s="64" t="s">
        <v>5683</v>
      </c>
      <c r="G879" s="278" t="s">
        <v>6481</v>
      </c>
      <c r="H879" s="278" t="s">
        <v>1110</v>
      </c>
      <c r="I879" s="29"/>
      <c r="J879" s="90" t="s">
        <v>1125</v>
      </c>
      <c r="K879" s="27" t="s">
        <v>1137</v>
      </c>
      <c r="L879" s="32">
        <v>1.0</v>
      </c>
      <c r="M879" s="27" t="s">
        <v>1137</v>
      </c>
      <c r="N879" s="263" t="s">
        <v>3981</v>
      </c>
      <c r="O879" s="64" t="s">
        <v>4517</v>
      </c>
      <c r="P879" s="64" t="s">
        <v>4522</v>
      </c>
      <c r="Q879" s="26" t="s">
        <v>4063</v>
      </c>
      <c r="R879" s="26" t="s">
        <v>4064</v>
      </c>
      <c r="S879" s="64" t="s">
        <v>6482</v>
      </c>
      <c r="T879" s="64" t="s">
        <v>6482</v>
      </c>
      <c r="U879" s="64" t="s">
        <v>6483</v>
      </c>
      <c r="V879" s="151" t="s">
        <v>5844</v>
      </c>
      <c r="W879" s="26"/>
      <c r="X879" s="25" t="s">
        <v>3935</v>
      </c>
      <c r="Y879" s="154">
        <v>25.0</v>
      </c>
      <c r="Z879" s="154">
        <v>25.0</v>
      </c>
      <c r="AA879" s="63">
        <v>66.0</v>
      </c>
      <c r="AB879" s="154">
        <v>295.0</v>
      </c>
      <c r="AC879" s="32">
        <v>1.0</v>
      </c>
      <c r="AD879" s="26"/>
      <c r="AE879" s="26"/>
      <c r="AF879" s="32"/>
      <c r="AG879" s="279"/>
      <c r="AH879" s="279"/>
      <c r="AI879" s="280"/>
    </row>
  </sheetData>
  <conditionalFormatting sqref="A2:AI879">
    <cfRule type="expression" dxfId="5" priority="1" stopIfTrue="1">
      <formula>AND($A2&lt;&gt;"", OR($AC2=0, $C2=""))</formula>
    </cfRule>
  </conditionalFormatting>
  <dataValidations>
    <dataValidation type="list" allowBlank="1" showErrorMessage="1" sqref="B170 B552:B556 B572:B574 B605:B606 B610:B613 B623 B670:B674 B681:B698 B709:B721 B723:B738 B753:B754 B756:B757 B773 B775:B790 B793:B799 B801 B803:B804 B806:B807 B809:B810 B812:B831 B834 B836:B877">
      <formula1>"นาง,นางสาว,นาย,น.ส."</formula1>
    </dataValidation>
    <dataValidation type="list" allowBlank="1" showErrorMessage="1" sqref="J170:K170 J552:K553 J555:K556 J572:K574 J605:K606 J610:K613 J623:K623 J658:J663 J670:K674 J680 J681:K698 J709:J710 J711:K721 J723:K738 J753 J754:K754 J755:J756 J757:K757 J773:K773 J775:K788 J789 J790:K790 J793:K798 J799 J801:K801 J803:K804 J806:K807 J809:K810 J812:K831 J834:K834 J836:K877">
      <formula1>"พกส.,รายเดือน,รายวัน,ลูกจ้างประจำ"</formula1>
    </dataValidation>
    <dataValidation type="list" allowBlank="1" showErrorMessage="1" sqref="Q11:R11 Q15:R15 Q50:R53 R54 Q55:R63 Q167:R167 Q169:R169 Q301:R301 Q307:R307 Q318:R318 Q333:R333 Q366:R371 Q384:R384 Q393:R393 Q401:R401 Q407:R407 Q417:R417 Q421:R421 Q427:R427 Q450:R450 Q453:R453 Q457:R457 Q468:R468 Q477:R477 Q480:R480 Q483:R483 Q486:R486 Q489:R496 R497:R498 Q499:R503 Q507:R514 R515:R518 Q519:R519 R520 Q521:R521 R522:R527 Q528:R529 R530 Q531:R537 R538 Q539:R551 P552:R552 Q553 Q554:R554 Q557:R571 Q572:Q573 Q575:R604 Q606 Q607:R609 Q610 Q613 Q614:R614 Q619:R622 Q624:R633 R634 Q635:R653 R654 Q655:R668 Q671:Q674 Q675:R676 R677 Q678:R680 Q683 Q685 Q689:Q690 Q693:Q695 Q699:R710 Q711:Q712 Q714:Q715 Q718:Q719 Q721 R722 Q729 Q734:Q736 Q739:R753 Q754 R755 Q756:R756 Q758:R772 Q780:Q781 Q783 Q789:R789 Q791:R792 Q796:R796 Q797:Q798 Q799:R800 Q802:R802 Q804 Q808:R808 Q809:Q810 Q811:R811 Q813 Q815 Q817:Q818 Q825:R825 Q827 Q832:R833 Q835:R835 Q838:R838 Q840:Q842 Q847 Q849 Q854:Q861 Q876:Q877">
      <formula1>"กลุ่มงานการพยาบาลผู้ป่วยอุบัติเหตุและฉุกเฉิน,กลุ่มงานการพยาบาลผู้ป่วยนอก,กลุ่มงานการพยาบาลผู้ป่วยหนัก,กลุ่มงานการพยาบาลผู้คลอด,กลุ่มงานการพยาบาลผู้ป่วยห้องผ่าตัด,กลุ่มงานการพยาบาลวิสัญญี,กลุ่มงานการพยาบาลผู้ป่วยอายุรกรรม,กลุ่มงานการพยาบาลผู้ป่วยศัลยกรรม,ก"&amp;"ลุ่มงานการพยาบาลผู้ป่วยสูติ-นรีเวช,กลุ่มงานการพยาบาลจิตเวช,กลุ่มงานการพยาบาลผู้ป่วยกุมารเวชกรรม,กลุ่มงานการพยาบาลผู้ป่วยออร์โธปิดิกส์,กลุ่มงานการพยาบาลผู้ป่วย โสต ศอ นาสิก จักษุ,กลุ่มงานการพยาบาลด้านการควบคุมและป้องการการติดเชื้อ,กลุ่มงานการพยาบาลตรวจรักษ"&amp;"าพิเศษ,กลุ่มงานวิจัยและพัฒนาการพยาบาล"</formula1>
    </dataValidation>
    <dataValidation type="list" allowBlank="1" showErrorMessage="1" sqref="G170 G552:G553 G555:G556 G572:G574 G605:G606 G610:G613 G623 G658:G663 G670:G674 G680:G698 G709:G721 G723:G738 G753:G757 G773 G775:G790 G793:G799 G801 G803:G804 G806:G807 G809:G810 G812:G831 G834 G836:G877">
      <formula1>"ไม่มี,ส3"</formula1>
    </dataValidation>
    <dataValidation type="list" allowBlank="1" showErrorMessage="1" sqref="H11 H15 H51:H52 H56 H170 H301 H307 H318 H366 H368 H384 H401 H407 H417 H421 H468 H480 H483 H489:H490 H492 H494 H496:H502 H508:H523 H527 H531 H541 H551:H552 H555:H556 H563 H566:H569 H571:H574 H597 H600:H604 H612:H613 H632 H637:H638 H648:H650 H656:H667 H674 H678 H680:H681 H688 H690:H697 H702 H708:H711 H716:H730 H732:H735 H737:H738 H747:H748 H752 H755 H758 H767:H771 H775:H781 H786 H788:H792 H795:H798 H803:H804 H806 H808 H812:H814 H817 H819 H824 H826:H829 H831 H833 H836 H838 H840:H842 H848 H851 H855:H856 H859:H861 H865 H867:H870 H872:H874 H876:H877">
      <formula1>"ด้านการพยาบาล,ด้านการตรวจรักษาพิเศษ,ไม่มี"</formula1>
    </dataValidation>
  </dataValidations>
  <printOptions/>
  <pageMargins bottom="0.75" footer="0.0" header="0.0" left="0.7" right="0.7" top="0.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3.5"/>
    <col customWidth="1" min="3" max="3" width="23.75"/>
    <col customWidth="1" min="4" max="4" width="3.38"/>
    <col customWidth="1" min="5" max="5" width="11.75"/>
    <col customWidth="1" min="6" max="6" width="9.25"/>
    <col customWidth="1" min="7" max="7" width="5.88"/>
    <col customWidth="1" min="8" max="8" width="2.88"/>
    <col customWidth="1" min="9" max="9" width="5.75"/>
    <col customWidth="1" min="10" max="10" width="10.88"/>
    <col customWidth="1" min="11" max="11" width="4.25"/>
    <col customWidth="1" min="12" max="12" width="14.25"/>
    <col customWidth="1" min="13" max="13" width="13.13"/>
    <col customWidth="1" min="14" max="14" width="11.13"/>
    <col customWidth="1" min="15" max="26" width="6.0"/>
  </cols>
  <sheetData>
    <row r="1" ht="15.0" customHeight="1">
      <c r="A1" s="4" t="s">
        <v>2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5" t="s">
        <v>13</v>
      </c>
      <c r="L1" s="4" t="s">
        <v>14</v>
      </c>
      <c r="M1" s="4" t="s">
        <v>15</v>
      </c>
      <c r="N1" s="4" t="s">
        <v>16</v>
      </c>
    </row>
    <row r="2" ht="19.5" customHeight="1">
      <c r="A2" s="6" t="s">
        <v>17</v>
      </c>
      <c r="B2" s="7" t="s">
        <v>6</v>
      </c>
      <c r="C2" s="7" t="s">
        <v>19</v>
      </c>
      <c r="D2" s="7" t="s">
        <v>6</v>
      </c>
      <c r="E2" s="7" t="s">
        <v>20</v>
      </c>
      <c r="F2" s="6" t="s">
        <v>21</v>
      </c>
      <c r="G2" s="7" t="s">
        <v>22</v>
      </c>
      <c r="H2" s="7" t="s">
        <v>23</v>
      </c>
      <c r="I2" s="6" t="s">
        <v>24</v>
      </c>
      <c r="J2" s="7" t="s">
        <v>25</v>
      </c>
      <c r="K2" s="6" t="s">
        <v>26</v>
      </c>
      <c r="L2" s="7" t="s">
        <v>27</v>
      </c>
      <c r="M2" s="7" t="s">
        <v>28</v>
      </c>
      <c r="N2" s="9">
        <v>34209.0</v>
      </c>
    </row>
    <row r="3" ht="19.5" customHeight="1">
      <c r="A3" s="6" t="s">
        <v>29</v>
      </c>
      <c r="B3" s="7" t="s">
        <v>6</v>
      </c>
      <c r="C3" s="7" t="s">
        <v>30</v>
      </c>
      <c r="D3" s="7" t="s">
        <v>6</v>
      </c>
      <c r="E3" s="7" t="s">
        <v>20</v>
      </c>
      <c r="F3" s="6" t="s">
        <v>21</v>
      </c>
      <c r="G3" s="7" t="s">
        <v>31</v>
      </c>
      <c r="H3" s="7" t="s">
        <v>23</v>
      </c>
      <c r="I3" s="6" t="s">
        <v>32</v>
      </c>
      <c r="J3" s="7" t="s">
        <v>33</v>
      </c>
      <c r="K3" s="6" t="s">
        <v>26</v>
      </c>
      <c r="L3" s="7" t="s">
        <v>34</v>
      </c>
      <c r="M3" s="7" t="s">
        <v>35</v>
      </c>
      <c r="N3" s="9">
        <v>27917.0</v>
      </c>
    </row>
    <row r="4" ht="19.5" customHeight="1">
      <c r="A4" s="6" t="s">
        <v>36</v>
      </c>
      <c r="B4" s="7" t="s">
        <v>6</v>
      </c>
      <c r="C4" s="7" t="s">
        <v>37</v>
      </c>
      <c r="D4" s="7" t="s">
        <v>6</v>
      </c>
      <c r="E4" s="7" t="s">
        <v>20</v>
      </c>
      <c r="F4" s="6" t="s">
        <v>21</v>
      </c>
      <c r="G4" s="7" t="s">
        <v>38</v>
      </c>
      <c r="H4" s="7" t="s">
        <v>23</v>
      </c>
      <c r="I4" s="6" t="s">
        <v>39</v>
      </c>
      <c r="J4" s="7" t="s">
        <v>40</v>
      </c>
      <c r="K4" s="6" t="s">
        <v>26</v>
      </c>
      <c r="L4" s="7" t="s">
        <v>41</v>
      </c>
      <c r="M4" s="7" t="s">
        <v>42</v>
      </c>
      <c r="N4" s="9">
        <v>30181.0</v>
      </c>
    </row>
    <row r="5" ht="19.5" customHeight="1">
      <c r="A5" s="6" t="s">
        <v>43</v>
      </c>
      <c r="B5" s="7" t="s">
        <v>6</v>
      </c>
      <c r="C5" s="7" t="s">
        <v>44</v>
      </c>
      <c r="D5" s="7" t="s">
        <v>6</v>
      </c>
      <c r="E5" s="7" t="s">
        <v>45</v>
      </c>
      <c r="F5" s="6" t="s">
        <v>46</v>
      </c>
      <c r="G5" s="7" t="s">
        <v>47</v>
      </c>
      <c r="H5" s="7" t="s">
        <v>48</v>
      </c>
      <c r="I5" s="6" t="s">
        <v>49</v>
      </c>
      <c r="J5" s="7" t="s">
        <v>50</v>
      </c>
      <c r="K5" s="6" t="s">
        <v>26</v>
      </c>
      <c r="L5" s="7" t="s">
        <v>51</v>
      </c>
      <c r="M5" s="7" t="s">
        <v>52</v>
      </c>
      <c r="N5" s="9">
        <v>37130.0</v>
      </c>
    </row>
    <row r="6" ht="19.5" customHeight="1">
      <c r="A6" s="6" t="s">
        <v>53</v>
      </c>
      <c r="B6" s="7" t="s">
        <v>6</v>
      </c>
      <c r="C6" s="7" t="s">
        <v>54</v>
      </c>
      <c r="D6" s="7" t="s">
        <v>6</v>
      </c>
      <c r="E6" s="7" t="s">
        <v>45</v>
      </c>
      <c r="F6" s="6" t="s">
        <v>46</v>
      </c>
      <c r="G6" s="7" t="s">
        <v>47</v>
      </c>
      <c r="H6" s="7" t="s">
        <v>48</v>
      </c>
      <c r="I6" s="6" t="s">
        <v>55</v>
      </c>
      <c r="J6" s="7" t="s">
        <v>56</v>
      </c>
      <c r="K6" s="6" t="s">
        <v>26</v>
      </c>
      <c r="L6" s="7" t="s">
        <v>57</v>
      </c>
      <c r="M6" s="7" t="s">
        <v>58</v>
      </c>
      <c r="N6" s="9">
        <v>39269.0</v>
      </c>
    </row>
    <row r="7" ht="19.5" customHeight="1">
      <c r="A7" s="6" t="s">
        <v>59</v>
      </c>
      <c r="B7" s="7" t="s">
        <v>6</v>
      </c>
      <c r="C7" s="7" t="s">
        <v>60</v>
      </c>
      <c r="D7" s="7" t="s">
        <v>6</v>
      </c>
      <c r="E7" s="7" t="s">
        <v>45</v>
      </c>
      <c r="F7" s="6" t="s">
        <v>46</v>
      </c>
      <c r="G7" s="7" t="s">
        <v>47</v>
      </c>
      <c r="H7" s="7" t="s">
        <v>48</v>
      </c>
      <c r="I7" s="6" t="s">
        <v>61</v>
      </c>
      <c r="J7" s="7" t="s">
        <v>62</v>
      </c>
      <c r="K7" s="6" t="s">
        <v>26</v>
      </c>
      <c r="L7" s="7" t="s">
        <v>63</v>
      </c>
      <c r="M7" s="7" t="s">
        <v>64</v>
      </c>
      <c r="N7" s="9">
        <v>38093.0</v>
      </c>
    </row>
    <row r="8" ht="19.5" customHeight="1">
      <c r="A8" s="6" t="s">
        <v>65</v>
      </c>
      <c r="B8" s="7" t="s">
        <v>6</v>
      </c>
      <c r="C8" s="7" t="s">
        <v>66</v>
      </c>
      <c r="D8" s="7" t="s">
        <v>6</v>
      </c>
      <c r="E8" s="7" t="s">
        <v>45</v>
      </c>
      <c r="F8" s="6" t="s">
        <v>46</v>
      </c>
      <c r="G8" s="7" t="s">
        <v>47</v>
      </c>
      <c r="H8" s="7" t="s">
        <v>48</v>
      </c>
      <c r="I8" s="6" t="s">
        <v>67</v>
      </c>
      <c r="J8" s="7" t="s">
        <v>68</v>
      </c>
      <c r="K8" s="6" t="s">
        <v>26</v>
      </c>
      <c r="L8" s="7" t="s">
        <v>69</v>
      </c>
      <c r="M8" s="7" t="s">
        <v>70</v>
      </c>
      <c r="N8" s="9">
        <v>37723.0</v>
      </c>
    </row>
    <row r="9" ht="19.5" customHeight="1">
      <c r="A9" s="6" t="s">
        <v>71</v>
      </c>
      <c r="B9" s="7" t="s">
        <v>6</v>
      </c>
      <c r="C9" s="7" t="s">
        <v>72</v>
      </c>
      <c r="D9" s="7" t="s">
        <v>6</v>
      </c>
      <c r="E9" s="7" t="s">
        <v>45</v>
      </c>
      <c r="F9" s="6" t="s">
        <v>46</v>
      </c>
      <c r="G9" s="7" t="s">
        <v>73</v>
      </c>
      <c r="H9" s="7" t="s">
        <v>48</v>
      </c>
      <c r="I9" s="6" t="s">
        <v>55</v>
      </c>
      <c r="J9" s="7" t="s">
        <v>56</v>
      </c>
      <c r="K9" s="6" t="s">
        <v>26</v>
      </c>
      <c r="L9" s="7" t="s">
        <v>74</v>
      </c>
      <c r="M9" s="7" t="s">
        <v>75</v>
      </c>
      <c r="N9" s="9">
        <v>39210.0</v>
      </c>
    </row>
    <row r="10" ht="19.5" customHeight="1">
      <c r="A10" s="6" t="s">
        <v>76</v>
      </c>
      <c r="B10" s="7" t="s">
        <v>6</v>
      </c>
      <c r="C10" s="7" t="s">
        <v>77</v>
      </c>
      <c r="D10" s="7" t="s">
        <v>6</v>
      </c>
      <c r="E10" s="7" t="s">
        <v>45</v>
      </c>
      <c r="F10" s="6" t="s">
        <v>46</v>
      </c>
      <c r="G10" s="7" t="s">
        <v>78</v>
      </c>
      <c r="H10" s="7" t="s">
        <v>48</v>
      </c>
      <c r="I10" s="6" t="s">
        <v>79</v>
      </c>
      <c r="J10" s="7" t="s">
        <v>80</v>
      </c>
      <c r="K10" s="6" t="s">
        <v>81</v>
      </c>
      <c r="L10" s="7" t="s">
        <v>82</v>
      </c>
      <c r="M10" s="7" t="s">
        <v>6</v>
      </c>
      <c r="N10" s="9" t="s">
        <v>83</v>
      </c>
    </row>
    <row r="11" ht="19.5" customHeight="1">
      <c r="A11" s="6" t="s">
        <v>84</v>
      </c>
      <c r="B11" s="7" t="s">
        <v>6</v>
      </c>
      <c r="C11" s="7" t="s">
        <v>85</v>
      </c>
      <c r="D11" s="7" t="s">
        <v>6</v>
      </c>
      <c r="E11" s="7" t="s">
        <v>45</v>
      </c>
      <c r="F11" s="6" t="s">
        <v>46</v>
      </c>
      <c r="G11" s="7" t="s">
        <v>86</v>
      </c>
      <c r="H11" s="7" t="s">
        <v>48</v>
      </c>
      <c r="I11" s="6" t="s">
        <v>87</v>
      </c>
      <c r="J11" s="7" t="s">
        <v>88</v>
      </c>
      <c r="K11" s="6" t="s">
        <v>26</v>
      </c>
      <c r="L11" s="7" t="s">
        <v>89</v>
      </c>
      <c r="M11" s="7" t="s">
        <v>6</v>
      </c>
      <c r="N11" s="9">
        <v>27108.0</v>
      </c>
    </row>
    <row r="12" ht="19.5" customHeight="1">
      <c r="A12" s="6" t="s">
        <v>87</v>
      </c>
      <c r="B12" s="7" t="s">
        <v>6</v>
      </c>
      <c r="C12" s="7" t="s">
        <v>90</v>
      </c>
      <c r="D12" s="7" t="s">
        <v>6</v>
      </c>
      <c r="E12" s="7" t="s">
        <v>45</v>
      </c>
      <c r="F12" s="6" t="s">
        <v>46</v>
      </c>
      <c r="G12" s="7" t="s">
        <v>91</v>
      </c>
      <c r="H12" s="7" t="s">
        <v>48</v>
      </c>
      <c r="I12" s="6" t="s">
        <v>92</v>
      </c>
      <c r="J12" s="7" t="s">
        <v>93</v>
      </c>
      <c r="K12" s="6" t="s">
        <v>26</v>
      </c>
      <c r="L12" s="7" t="s">
        <v>94</v>
      </c>
      <c r="M12" s="7" t="s">
        <v>95</v>
      </c>
      <c r="N12" s="9">
        <v>35987.0</v>
      </c>
    </row>
    <row r="13" ht="19.5" customHeight="1">
      <c r="A13" s="6" t="s">
        <v>96</v>
      </c>
      <c r="B13" s="7" t="s">
        <v>6</v>
      </c>
      <c r="C13" s="7" t="s">
        <v>97</v>
      </c>
      <c r="D13" s="7" t="s">
        <v>6</v>
      </c>
      <c r="E13" s="7" t="s">
        <v>45</v>
      </c>
      <c r="F13" s="6" t="s">
        <v>46</v>
      </c>
      <c r="G13" s="7" t="s">
        <v>98</v>
      </c>
      <c r="H13" s="7" t="s">
        <v>48</v>
      </c>
      <c r="I13" s="6" t="s">
        <v>99</v>
      </c>
      <c r="J13" s="7" t="s">
        <v>100</v>
      </c>
      <c r="K13" s="6" t="s">
        <v>26</v>
      </c>
      <c r="L13" s="7" t="s">
        <v>101</v>
      </c>
      <c r="M13" s="7" t="s">
        <v>102</v>
      </c>
      <c r="N13" s="9">
        <v>39477.0</v>
      </c>
    </row>
    <row r="14" ht="19.5" customHeight="1">
      <c r="A14" s="6" t="s">
        <v>32</v>
      </c>
      <c r="B14" s="7" t="s">
        <v>6</v>
      </c>
      <c r="C14" s="7" t="s">
        <v>103</v>
      </c>
      <c r="D14" s="7" t="s">
        <v>6</v>
      </c>
      <c r="E14" s="7" t="s">
        <v>45</v>
      </c>
      <c r="F14" s="6" t="s">
        <v>46</v>
      </c>
      <c r="G14" s="7" t="s">
        <v>104</v>
      </c>
      <c r="H14" s="7" t="s">
        <v>48</v>
      </c>
      <c r="I14" s="6" t="s">
        <v>105</v>
      </c>
      <c r="J14" s="7" t="s">
        <v>106</v>
      </c>
      <c r="K14" s="6" t="s">
        <v>26</v>
      </c>
      <c r="L14" s="7" t="s">
        <v>107</v>
      </c>
      <c r="M14" s="7" t="s">
        <v>108</v>
      </c>
      <c r="N14" s="9">
        <v>38820.0</v>
      </c>
    </row>
    <row r="15" ht="19.5" customHeight="1">
      <c r="A15" s="6" t="s">
        <v>109</v>
      </c>
      <c r="B15" s="7" t="s">
        <v>6</v>
      </c>
      <c r="C15" s="7" t="s">
        <v>110</v>
      </c>
      <c r="D15" s="7" t="s">
        <v>6</v>
      </c>
      <c r="E15" s="7" t="s">
        <v>45</v>
      </c>
      <c r="F15" s="6" t="s">
        <v>46</v>
      </c>
      <c r="G15" s="7" t="s">
        <v>111</v>
      </c>
      <c r="H15" s="7" t="s">
        <v>48</v>
      </c>
      <c r="I15" s="6" t="s">
        <v>112</v>
      </c>
      <c r="J15" s="7" t="s">
        <v>113</v>
      </c>
      <c r="K15" s="6" t="s">
        <v>81</v>
      </c>
      <c r="L15" s="7" t="s">
        <v>114</v>
      </c>
      <c r="M15" s="7" t="s">
        <v>115</v>
      </c>
      <c r="N15" s="9">
        <v>32499.0</v>
      </c>
    </row>
    <row r="16" ht="19.5" customHeight="1">
      <c r="A16" s="6" t="s">
        <v>116</v>
      </c>
      <c r="B16" s="7" t="s">
        <v>6</v>
      </c>
      <c r="C16" s="7" t="s">
        <v>117</v>
      </c>
      <c r="D16" s="7" t="s">
        <v>6</v>
      </c>
      <c r="E16" s="7" t="s">
        <v>45</v>
      </c>
      <c r="F16" s="6" t="s">
        <v>46</v>
      </c>
      <c r="G16" s="7" t="s">
        <v>118</v>
      </c>
      <c r="H16" s="7" t="s">
        <v>48</v>
      </c>
      <c r="I16" s="6" t="s">
        <v>92</v>
      </c>
      <c r="J16" s="7" t="s">
        <v>93</v>
      </c>
      <c r="K16" s="6" t="s">
        <v>81</v>
      </c>
      <c r="L16" s="7" t="s">
        <v>119</v>
      </c>
      <c r="M16" s="7" t="s">
        <v>120</v>
      </c>
      <c r="N16" s="9">
        <v>35749.0</v>
      </c>
    </row>
    <row r="17" ht="19.5" customHeight="1">
      <c r="A17" s="6" t="s">
        <v>121</v>
      </c>
      <c r="B17" s="7" t="s">
        <v>6</v>
      </c>
      <c r="C17" s="7" t="s">
        <v>122</v>
      </c>
      <c r="D17" s="7" t="s">
        <v>6</v>
      </c>
      <c r="E17" s="7" t="s">
        <v>45</v>
      </c>
      <c r="F17" s="6" t="s">
        <v>46</v>
      </c>
      <c r="G17" s="7" t="s">
        <v>123</v>
      </c>
      <c r="H17" s="7" t="s">
        <v>48</v>
      </c>
      <c r="I17" s="6" t="s">
        <v>124</v>
      </c>
      <c r="J17" s="7" t="s">
        <v>125</v>
      </c>
      <c r="K17" s="6" t="s">
        <v>26</v>
      </c>
      <c r="L17" s="7" t="s">
        <v>126</v>
      </c>
      <c r="M17" s="7" t="s">
        <v>127</v>
      </c>
      <c r="N17" s="9">
        <v>32919.0</v>
      </c>
    </row>
    <row r="18" ht="19.5" customHeight="1">
      <c r="A18" s="6" t="s">
        <v>128</v>
      </c>
      <c r="B18" s="7" t="s">
        <v>6</v>
      </c>
      <c r="C18" s="7" t="s">
        <v>129</v>
      </c>
      <c r="D18" s="7" t="s">
        <v>6</v>
      </c>
      <c r="E18" s="7" t="s">
        <v>45</v>
      </c>
      <c r="F18" s="6" t="s">
        <v>46</v>
      </c>
      <c r="G18" s="7" t="s">
        <v>130</v>
      </c>
      <c r="H18" s="7" t="s">
        <v>48</v>
      </c>
      <c r="I18" s="6" t="s">
        <v>131</v>
      </c>
      <c r="J18" s="7" t="s">
        <v>132</v>
      </c>
      <c r="K18" s="6" t="s">
        <v>26</v>
      </c>
      <c r="L18" s="7" t="s">
        <v>133</v>
      </c>
      <c r="M18" s="7" t="s">
        <v>134</v>
      </c>
      <c r="N18" s="9">
        <v>36248.0</v>
      </c>
    </row>
    <row r="19" ht="19.5" customHeight="1">
      <c r="A19" s="6" t="s">
        <v>135</v>
      </c>
      <c r="B19" s="7" t="s">
        <v>6</v>
      </c>
      <c r="C19" s="7" t="s">
        <v>136</v>
      </c>
      <c r="D19" s="7" t="s">
        <v>6</v>
      </c>
      <c r="E19" s="7" t="s">
        <v>45</v>
      </c>
      <c r="F19" s="6" t="s">
        <v>46</v>
      </c>
      <c r="G19" s="7" t="s">
        <v>137</v>
      </c>
      <c r="H19" s="7" t="s">
        <v>48</v>
      </c>
      <c r="I19" s="6" t="s">
        <v>49</v>
      </c>
      <c r="J19" s="7" t="s">
        <v>50</v>
      </c>
      <c r="K19" s="6" t="s">
        <v>26</v>
      </c>
      <c r="L19" s="7" t="s">
        <v>138</v>
      </c>
      <c r="M19" s="7" t="s">
        <v>139</v>
      </c>
      <c r="N19" s="9">
        <v>37052.0</v>
      </c>
    </row>
    <row r="20" ht="19.5" customHeight="1">
      <c r="A20" s="6" t="s">
        <v>140</v>
      </c>
      <c r="B20" s="7" t="s">
        <v>6</v>
      </c>
      <c r="C20" s="7" t="s">
        <v>141</v>
      </c>
      <c r="D20" s="7" t="s">
        <v>6</v>
      </c>
      <c r="E20" s="7" t="s">
        <v>45</v>
      </c>
      <c r="F20" s="6" t="s">
        <v>46</v>
      </c>
      <c r="G20" s="7" t="s">
        <v>47</v>
      </c>
      <c r="H20" s="7" t="s">
        <v>48</v>
      </c>
      <c r="I20" s="6" t="s">
        <v>49</v>
      </c>
      <c r="J20" s="7" t="s">
        <v>50</v>
      </c>
      <c r="K20" s="6" t="s">
        <v>26</v>
      </c>
      <c r="L20" s="7" t="s">
        <v>142</v>
      </c>
      <c r="M20" s="7" t="s">
        <v>6</v>
      </c>
      <c r="N20" s="9">
        <v>37124.0</v>
      </c>
    </row>
    <row r="21" ht="19.5" customHeight="1">
      <c r="A21" s="6" t="s">
        <v>143</v>
      </c>
      <c r="B21" s="7" t="s">
        <v>6</v>
      </c>
      <c r="C21" s="7" t="s">
        <v>144</v>
      </c>
      <c r="D21" s="7" t="s">
        <v>6</v>
      </c>
      <c r="E21" s="7" t="s">
        <v>45</v>
      </c>
      <c r="F21" s="6" t="s">
        <v>46</v>
      </c>
      <c r="G21" s="7" t="s">
        <v>47</v>
      </c>
      <c r="H21" s="7" t="s">
        <v>48</v>
      </c>
      <c r="I21" s="6" t="s">
        <v>145</v>
      </c>
      <c r="J21" s="7" t="s">
        <v>146</v>
      </c>
      <c r="K21" s="6" t="s">
        <v>26</v>
      </c>
      <c r="L21" s="7" t="s">
        <v>147</v>
      </c>
      <c r="M21" s="7" t="s">
        <v>6</v>
      </c>
      <c r="N21" s="9">
        <v>37426.0</v>
      </c>
    </row>
    <row r="22" ht="19.5" customHeight="1">
      <c r="A22" s="6" t="s">
        <v>148</v>
      </c>
      <c r="B22" s="7" t="s">
        <v>6</v>
      </c>
      <c r="C22" s="7" t="s">
        <v>149</v>
      </c>
      <c r="D22" s="7" t="s">
        <v>6</v>
      </c>
      <c r="E22" s="7" t="s">
        <v>45</v>
      </c>
      <c r="F22" s="6" t="s">
        <v>46</v>
      </c>
      <c r="G22" s="7" t="s">
        <v>150</v>
      </c>
      <c r="H22" s="7" t="s">
        <v>48</v>
      </c>
      <c r="I22" s="6" t="s">
        <v>84</v>
      </c>
      <c r="J22" s="7" t="s">
        <v>151</v>
      </c>
      <c r="K22" s="6" t="s">
        <v>26</v>
      </c>
      <c r="L22" s="7" t="s">
        <v>152</v>
      </c>
      <c r="M22" s="7" t="s">
        <v>153</v>
      </c>
      <c r="N22" s="9">
        <v>26920.0</v>
      </c>
    </row>
    <row r="23" ht="19.5" customHeight="1">
      <c r="A23" s="6" t="s">
        <v>154</v>
      </c>
      <c r="B23" s="7" t="s">
        <v>6</v>
      </c>
      <c r="C23" s="7" t="s">
        <v>155</v>
      </c>
      <c r="D23" s="7" t="s">
        <v>6</v>
      </c>
      <c r="E23" s="7" t="s">
        <v>45</v>
      </c>
      <c r="F23" s="6" t="s">
        <v>46</v>
      </c>
      <c r="G23" s="7" t="s">
        <v>156</v>
      </c>
      <c r="H23" s="7" t="s">
        <v>48</v>
      </c>
      <c r="I23" s="6" t="s">
        <v>105</v>
      </c>
      <c r="J23" s="7" t="s">
        <v>106</v>
      </c>
      <c r="K23" s="6" t="s">
        <v>81</v>
      </c>
      <c r="L23" s="7" t="s">
        <v>157</v>
      </c>
      <c r="M23" s="7" t="s">
        <v>158</v>
      </c>
      <c r="N23" s="9">
        <v>38668.0</v>
      </c>
    </row>
    <row r="24" ht="19.5" customHeight="1">
      <c r="A24" s="6" t="s">
        <v>159</v>
      </c>
      <c r="B24" s="7" t="s">
        <v>6</v>
      </c>
      <c r="C24" s="7" t="s">
        <v>160</v>
      </c>
      <c r="D24" s="7" t="s">
        <v>6</v>
      </c>
      <c r="E24" s="7" t="s">
        <v>45</v>
      </c>
      <c r="F24" s="6" t="s">
        <v>46</v>
      </c>
      <c r="G24" s="7" t="s">
        <v>161</v>
      </c>
      <c r="H24" s="7" t="s">
        <v>48</v>
      </c>
      <c r="I24" s="6" t="s">
        <v>67</v>
      </c>
      <c r="J24" s="7" t="s">
        <v>68</v>
      </c>
      <c r="K24" s="6" t="s">
        <v>26</v>
      </c>
      <c r="L24" s="7" t="s">
        <v>162</v>
      </c>
      <c r="M24" s="7" t="s">
        <v>163</v>
      </c>
      <c r="N24" s="9">
        <v>37729.0</v>
      </c>
    </row>
    <row r="25" ht="19.5" customHeight="1">
      <c r="A25" s="6" t="s">
        <v>124</v>
      </c>
      <c r="B25" s="7" t="s">
        <v>6</v>
      </c>
      <c r="C25" s="7" t="s">
        <v>164</v>
      </c>
      <c r="D25" s="7" t="s">
        <v>6</v>
      </c>
      <c r="E25" s="7" t="s">
        <v>45</v>
      </c>
      <c r="F25" s="6" t="s">
        <v>46</v>
      </c>
      <c r="G25" s="7" t="s">
        <v>165</v>
      </c>
      <c r="H25" s="7" t="s">
        <v>48</v>
      </c>
      <c r="I25" s="6" t="s">
        <v>166</v>
      </c>
      <c r="J25" s="7" t="s">
        <v>167</v>
      </c>
      <c r="K25" s="6" t="s">
        <v>26</v>
      </c>
      <c r="L25" s="7" t="s">
        <v>168</v>
      </c>
      <c r="M25" s="7" t="s">
        <v>169</v>
      </c>
      <c r="N25" s="9">
        <v>36625.0</v>
      </c>
    </row>
    <row r="26" ht="19.5" customHeight="1">
      <c r="A26" s="6" t="s">
        <v>170</v>
      </c>
      <c r="B26" s="7" t="s">
        <v>6</v>
      </c>
      <c r="C26" s="7" t="s">
        <v>171</v>
      </c>
      <c r="D26" s="7" t="s">
        <v>6</v>
      </c>
      <c r="E26" s="7" t="s">
        <v>45</v>
      </c>
      <c r="F26" s="6" t="s">
        <v>46</v>
      </c>
      <c r="G26" s="7" t="s">
        <v>172</v>
      </c>
      <c r="H26" s="7" t="s">
        <v>48</v>
      </c>
      <c r="I26" s="6" t="s">
        <v>140</v>
      </c>
      <c r="J26" s="7" t="s">
        <v>173</v>
      </c>
      <c r="K26" s="6" t="s">
        <v>81</v>
      </c>
      <c r="L26" s="7" t="s">
        <v>174</v>
      </c>
      <c r="M26" s="7" t="s">
        <v>175</v>
      </c>
      <c r="N26" s="9">
        <v>30296.0</v>
      </c>
    </row>
    <row r="27" ht="19.5" customHeight="1">
      <c r="A27" s="6" t="s">
        <v>176</v>
      </c>
      <c r="B27" s="7" t="s">
        <v>6</v>
      </c>
      <c r="C27" s="7" t="s">
        <v>177</v>
      </c>
      <c r="D27" s="7" t="s">
        <v>6</v>
      </c>
      <c r="E27" s="7" t="s">
        <v>45</v>
      </c>
      <c r="F27" s="6" t="s">
        <v>46</v>
      </c>
      <c r="G27" s="7" t="s">
        <v>178</v>
      </c>
      <c r="H27" s="7" t="s">
        <v>48</v>
      </c>
      <c r="I27" s="6" t="s">
        <v>49</v>
      </c>
      <c r="J27" s="7" t="s">
        <v>50</v>
      </c>
      <c r="K27" s="6" t="s">
        <v>26</v>
      </c>
      <c r="L27" s="7" t="s">
        <v>179</v>
      </c>
      <c r="M27" s="7" t="s">
        <v>180</v>
      </c>
      <c r="N27" s="9">
        <v>37124.0</v>
      </c>
    </row>
    <row r="28" ht="19.5" customHeight="1">
      <c r="A28" s="6" t="s">
        <v>24</v>
      </c>
      <c r="B28" s="7" t="s">
        <v>6</v>
      </c>
      <c r="C28" s="7" t="s">
        <v>181</v>
      </c>
      <c r="D28" s="7" t="s">
        <v>6</v>
      </c>
      <c r="E28" s="7" t="s">
        <v>45</v>
      </c>
      <c r="F28" s="6" t="s">
        <v>46</v>
      </c>
      <c r="G28" s="7" t="s">
        <v>47</v>
      </c>
      <c r="H28" s="7" t="s">
        <v>48</v>
      </c>
      <c r="I28" s="6" t="s">
        <v>148</v>
      </c>
      <c r="J28" s="7" t="s">
        <v>182</v>
      </c>
      <c r="K28" s="6" t="s">
        <v>26</v>
      </c>
      <c r="L28" s="7" t="s">
        <v>183</v>
      </c>
      <c r="M28" s="7" t="s">
        <v>6</v>
      </c>
      <c r="N28" s="9">
        <v>31270.0</v>
      </c>
    </row>
    <row r="29" ht="19.5" customHeight="1">
      <c r="A29" s="6" t="s">
        <v>184</v>
      </c>
      <c r="B29" s="7" t="s">
        <v>6</v>
      </c>
      <c r="C29" s="7" t="s">
        <v>185</v>
      </c>
      <c r="D29" s="7" t="s">
        <v>6</v>
      </c>
      <c r="E29" s="7" t="s">
        <v>45</v>
      </c>
      <c r="F29" s="6" t="s">
        <v>46</v>
      </c>
      <c r="G29" s="7" t="s">
        <v>186</v>
      </c>
      <c r="H29" s="7" t="s">
        <v>48</v>
      </c>
      <c r="I29" s="6" t="s">
        <v>105</v>
      </c>
      <c r="J29" s="7" t="s">
        <v>106</v>
      </c>
      <c r="K29" s="6" t="s">
        <v>26</v>
      </c>
      <c r="L29" s="7" t="s">
        <v>187</v>
      </c>
      <c r="M29" s="7" t="s">
        <v>188</v>
      </c>
      <c r="N29" s="9">
        <v>38890.0</v>
      </c>
    </row>
    <row r="30" ht="19.5" customHeight="1">
      <c r="A30" s="6" t="s">
        <v>189</v>
      </c>
      <c r="B30" s="7" t="s">
        <v>6</v>
      </c>
      <c r="C30" s="7" t="s">
        <v>190</v>
      </c>
      <c r="D30" s="7" t="s">
        <v>6</v>
      </c>
      <c r="E30" s="7" t="s">
        <v>45</v>
      </c>
      <c r="F30" s="6" t="s">
        <v>46</v>
      </c>
      <c r="G30" s="7" t="s">
        <v>191</v>
      </c>
      <c r="H30" s="7" t="s">
        <v>48</v>
      </c>
      <c r="I30" s="6" t="s">
        <v>131</v>
      </c>
      <c r="J30" s="7" t="s">
        <v>132</v>
      </c>
      <c r="K30" s="6" t="s">
        <v>26</v>
      </c>
      <c r="L30" s="7" t="s">
        <v>192</v>
      </c>
      <c r="M30" s="7" t="s">
        <v>6</v>
      </c>
      <c r="N30" s="9">
        <v>36299.0</v>
      </c>
    </row>
    <row r="31" ht="19.5" customHeight="1">
      <c r="A31" s="6" t="s">
        <v>193</v>
      </c>
      <c r="B31" s="7" t="s">
        <v>6</v>
      </c>
      <c r="C31" s="7" t="s">
        <v>194</v>
      </c>
      <c r="D31" s="7" t="s">
        <v>6</v>
      </c>
      <c r="E31" s="7" t="s">
        <v>45</v>
      </c>
      <c r="F31" s="6" t="s">
        <v>46</v>
      </c>
      <c r="G31" s="7" t="s">
        <v>195</v>
      </c>
      <c r="H31" s="7" t="s">
        <v>48</v>
      </c>
      <c r="I31" s="6" t="s">
        <v>145</v>
      </c>
      <c r="J31" s="7" t="s">
        <v>146</v>
      </c>
      <c r="K31" s="6" t="s">
        <v>26</v>
      </c>
      <c r="L31" s="7" t="s">
        <v>196</v>
      </c>
      <c r="M31" s="7" t="s">
        <v>197</v>
      </c>
      <c r="N31" s="9">
        <v>37514.0</v>
      </c>
    </row>
    <row r="32" ht="19.5" customHeight="1">
      <c r="A32" s="6" t="s">
        <v>198</v>
      </c>
      <c r="B32" s="7" t="s">
        <v>6</v>
      </c>
      <c r="C32" s="7" t="s">
        <v>199</v>
      </c>
      <c r="D32" s="7" t="s">
        <v>6</v>
      </c>
      <c r="E32" s="7" t="s">
        <v>45</v>
      </c>
      <c r="F32" s="6" t="s">
        <v>46</v>
      </c>
      <c r="G32" s="7" t="s">
        <v>47</v>
      </c>
      <c r="H32" s="7" t="s">
        <v>48</v>
      </c>
      <c r="I32" s="6" t="s">
        <v>193</v>
      </c>
      <c r="J32" s="7" t="s">
        <v>200</v>
      </c>
      <c r="K32" s="6" t="s">
        <v>26</v>
      </c>
      <c r="L32" s="7" t="s">
        <v>201</v>
      </c>
      <c r="M32" s="7" t="s">
        <v>202</v>
      </c>
      <c r="N32" s="9">
        <v>35114.0</v>
      </c>
    </row>
    <row r="33" ht="19.5" customHeight="1">
      <c r="A33" s="6" t="s">
        <v>131</v>
      </c>
      <c r="B33" s="7" t="s">
        <v>6</v>
      </c>
      <c r="C33" s="7" t="s">
        <v>203</v>
      </c>
      <c r="D33" s="7" t="s">
        <v>6</v>
      </c>
      <c r="E33" s="7" t="s">
        <v>45</v>
      </c>
      <c r="F33" s="6" t="s">
        <v>46</v>
      </c>
      <c r="G33" s="7" t="s">
        <v>47</v>
      </c>
      <c r="H33" s="7" t="s">
        <v>48</v>
      </c>
      <c r="I33" s="6" t="s">
        <v>67</v>
      </c>
      <c r="J33" s="7" t="s">
        <v>68</v>
      </c>
      <c r="K33" s="6" t="s">
        <v>26</v>
      </c>
      <c r="L33" s="7" t="s">
        <v>204</v>
      </c>
      <c r="M33" s="7" t="s">
        <v>205</v>
      </c>
      <c r="N33" s="9">
        <v>37876.0</v>
      </c>
    </row>
    <row r="34" ht="19.5" customHeight="1">
      <c r="A34" s="6" t="s">
        <v>166</v>
      </c>
      <c r="B34" s="7" t="s">
        <v>6</v>
      </c>
      <c r="C34" s="7" t="s">
        <v>206</v>
      </c>
      <c r="D34" s="7" t="s">
        <v>6</v>
      </c>
      <c r="E34" s="7" t="s">
        <v>45</v>
      </c>
      <c r="F34" s="6" t="s">
        <v>46</v>
      </c>
      <c r="G34" s="7" t="s">
        <v>47</v>
      </c>
      <c r="H34" s="7" t="s">
        <v>48</v>
      </c>
      <c r="I34" s="6" t="s">
        <v>99</v>
      </c>
      <c r="J34" s="7" t="s">
        <v>100</v>
      </c>
      <c r="K34" s="6" t="s">
        <v>26</v>
      </c>
      <c r="L34" s="7" t="s">
        <v>207</v>
      </c>
      <c r="M34" s="7" t="s">
        <v>208</v>
      </c>
      <c r="N34" s="9">
        <v>39528.0</v>
      </c>
    </row>
    <row r="35" ht="19.5" customHeight="1">
      <c r="A35" s="6" t="s">
        <v>49</v>
      </c>
      <c r="B35" s="7" t="s">
        <v>6</v>
      </c>
      <c r="C35" s="7" t="s">
        <v>209</v>
      </c>
      <c r="D35" s="7" t="s">
        <v>6</v>
      </c>
      <c r="E35" s="7" t="s">
        <v>45</v>
      </c>
      <c r="F35" s="6" t="s">
        <v>46</v>
      </c>
      <c r="G35" s="7" t="s">
        <v>47</v>
      </c>
      <c r="H35" s="7" t="s">
        <v>48</v>
      </c>
      <c r="I35" s="6" t="s">
        <v>189</v>
      </c>
      <c r="J35" s="7" t="s">
        <v>210</v>
      </c>
      <c r="K35" s="6" t="s">
        <v>26</v>
      </c>
      <c r="L35" s="7" t="s">
        <v>211</v>
      </c>
      <c r="M35" s="7" t="s">
        <v>6</v>
      </c>
      <c r="N35" s="9">
        <v>34715.0</v>
      </c>
    </row>
    <row r="36" ht="19.5" customHeight="1">
      <c r="A36" s="6" t="s">
        <v>145</v>
      </c>
      <c r="B36" s="7" t="s">
        <v>6</v>
      </c>
      <c r="C36" s="7" t="s">
        <v>212</v>
      </c>
      <c r="D36" s="7" t="s">
        <v>6</v>
      </c>
      <c r="E36" s="7" t="s">
        <v>45</v>
      </c>
      <c r="F36" s="6" t="s">
        <v>46</v>
      </c>
      <c r="G36" s="7" t="s">
        <v>213</v>
      </c>
      <c r="H36" s="7" t="s">
        <v>48</v>
      </c>
      <c r="I36" s="6" t="s">
        <v>61</v>
      </c>
      <c r="J36" s="7" t="s">
        <v>62</v>
      </c>
      <c r="K36" s="6" t="s">
        <v>81</v>
      </c>
      <c r="L36" s="7" t="s">
        <v>214</v>
      </c>
      <c r="M36" s="7" t="s">
        <v>215</v>
      </c>
      <c r="N36" s="9">
        <v>37911.0</v>
      </c>
    </row>
    <row r="37" ht="19.5" customHeight="1">
      <c r="A37" s="6" t="s">
        <v>67</v>
      </c>
      <c r="B37" s="7" t="s">
        <v>6</v>
      </c>
      <c r="C37" s="7" t="s">
        <v>216</v>
      </c>
      <c r="D37" s="7" t="s">
        <v>6</v>
      </c>
      <c r="E37" s="7" t="s">
        <v>45</v>
      </c>
      <c r="F37" s="6" t="s">
        <v>46</v>
      </c>
      <c r="G37" s="7" t="s">
        <v>217</v>
      </c>
      <c r="H37" s="7" t="s">
        <v>48</v>
      </c>
      <c r="I37" s="6" t="s">
        <v>61</v>
      </c>
      <c r="J37" s="7" t="s">
        <v>62</v>
      </c>
      <c r="K37" s="6" t="s">
        <v>26</v>
      </c>
      <c r="L37" s="7" t="s">
        <v>218</v>
      </c>
      <c r="M37" s="7" t="s">
        <v>219</v>
      </c>
      <c r="N37" s="9">
        <v>38096.0</v>
      </c>
    </row>
    <row r="38" ht="19.5" customHeight="1">
      <c r="A38" s="6" t="s">
        <v>61</v>
      </c>
      <c r="B38" s="7" t="s">
        <v>6</v>
      </c>
      <c r="C38" s="7" t="s">
        <v>220</v>
      </c>
      <c r="D38" s="7" t="s">
        <v>6</v>
      </c>
      <c r="E38" s="7" t="s">
        <v>45</v>
      </c>
      <c r="F38" s="6" t="s">
        <v>46</v>
      </c>
      <c r="G38" s="7" t="s">
        <v>221</v>
      </c>
      <c r="H38" s="7" t="s">
        <v>48</v>
      </c>
      <c r="I38" s="6" t="s">
        <v>131</v>
      </c>
      <c r="J38" s="7" t="s">
        <v>132</v>
      </c>
      <c r="K38" s="6" t="s">
        <v>26</v>
      </c>
      <c r="L38" s="7" t="s">
        <v>222</v>
      </c>
      <c r="M38" s="7" t="s">
        <v>223</v>
      </c>
      <c r="N38" s="9">
        <v>36221.0</v>
      </c>
    </row>
    <row r="39" ht="19.5" customHeight="1">
      <c r="A39" s="6" t="s">
        <v>224</v>
      </c>
      <c r="B39" s="7" t="s">
        <v>6</v>
      </c>
      <c r="C39" s="7" t="s">
        <v>225</v>
      </c>
      <c r="D39" s="7" t="s">
        <v>6</v>
      </c>
      <c r="E39" s="7" t="s">
        <v>45</v>
      </c>
      <c r="F39" s="6" t="s">
        <v>46</v>
      </c>
      <c r="G39" s="7" t="s">
        <v>226</v>
      </c>
      <c r="H39" s="7" t="s">
        <v>48</v>
      </c>
      <c r="I39" s="6" t="s">
        <v>145</v>
      </c>
      <c r="J39" s="7" t="s">
        <v>146</v>
      </c>
      <c r="K39" s="6" t="s">
        <v>26</v>
      </c>
      <c r="L39" s="7" t="s">
        <v>227</v>
      </c>
      <c r="M39" s="7" t="s">
        <v>228</v>
      </c>
      <c r="N39" s="9">
        <v>37270.0</v>
      </c>
    </row>
    <row r="40" ht="19.5" customHeight="1">
      <c r="A40" s="6" t="s">
        <v>105</v>
      </c>
      <c r="B40" s="7" t="s">
        <v>6</v>
      </c>
      <c r="C40" s="7" t="s">
        <v>229</v>
      </c>
      <c r="D40" s="7" t="s">
        <v>6</v>
      </c>
      <c r="E40" s="7" t="s">
        <v>45</v>
      </c>
      <c r="F40" s="6" t="s">
        <v>46</v>
      </c>
      <c r="G40" s="7" t="s">
        <v>230</v>
      </c>
      <c r="H40" s="7" t="s">
        <v>48</v>
      </c>
      <c r="I40" s="6" t="s">
        <v>67</v>
      </c>
      <c r="J40" s="7" t="s">
        <v>68</v>
      </c>
      <c r="K40" s="6" t="s">
        <v>81</v>
      </c>
      <c r="L40" s="7" t="s">
        <v>231</v>
      </c>
      <c r="M40" s="7" t="s">
        <v>232</v>
      </c>
      <c r="N40" s="9">
        <v>37569.0</v>
      </c>
    </row>
    <row r="41" ht="19.5" customHeight="1">
      <c r="A41" s="6" t="s">
        <v>55</v>
      </c>
      <c r="B41" s="7" t="s">
        <v>6</v>
      </c>
      <c r="C41" s="7" t="s">
        <v>233</v>
      </c>
      <c r="D41" s="7" t="s">
        <v>6</v>
      </c>
      <c r="E41" s="7" t="s">
        <v>45</v>
      </c>
      <c r="F41" s="6" t="s">
        <v>46</v>
      </c>
      <c r="G41" s="7" t="s">
        <v>230</v>
      </c>
      <c r="H41" s="7" t="s">
        <v>48</v>
      </c>
      <c r="I41" s="6" t="s">
        <v>193</v>
      </c>
      <c r="J41" s="7" t="s">
        <v>200</v>
      </c>
      <c r="K41" s="6" t="s">
        <v>81</v>
      </c>
      <c r="L41" s="7" t="s">
        <v>234</v>
      </c>
      <c r="M41" s="7" t="s">
        <v>235</v>
      </c>
      <c r="N41" s="9">
        <v>35055.0</v>
      </c>
    </row>
    <row r="42" ht="19.5" customHeight="1">
      <c r="A42" s="6" t="s">
        <v>99</v>
      </c>
      <c r="B42" s="7" t="s">
        <v>6</v>
      </c>
      <c r="C42" s="7" t="s">
        <v>236</v>
      </c>
      <c r="D42" s="7" t="s">
        <v>6</v>
      </c>
      <c r="E42" s="7" t="s">
        <v>45</v>
      </c>
      <c r="F42" s="6" t="s">
        <v>46</v>
      </c>
      <c r="G42" s="7" t="s">
        <v>237</v>
      </c>
      <c r="H42" s="7" t="s">
        <v>48</v>
      </c>
      <c r="I42" s="6" t="s">
        <v>224</v>
      </c>
      <c r="J42" s="7" t="s">
        <v>238</v>
      </c>
      <c r="K42" s="6" t="s">
        <v>26</v>
      </c>
      <c r="L42" s="7" t="s">
        <v>239</v>
      </c>
      <c r="M42" s="7" t="s">
        <v>240</v>
      </c>
      <c r="N42" s="9">
        <v>38603.0</v>
      </c>
    </row>
    <row r="43" ht="19.5" customHeight="1">
      <c r="A43" s="6" t="s">
        <v>241</v>
      </c>
      <c r="B43" s="7" t="s">
        <v>6</v>
      </c>
      <c r="C43" s="7" t="s">
        <v>242</v>
      </c>
      <c r="D43" s="7" t="s">
        <v>6</v>
      </c>
      <c r="E43" s="7" t="s">
        <v>45</v>
      </c>
      <c r="F43" s="6" t="s">
        <v>46</v>
      </c>
      <c r="G43" s="7" t="s">
        <v>243</v>
      </c>
      <c r="H43" s="7" t="s">
        <v>48</v>
      </c>
      <c r="I43" s="6" t="s">
        <v>61</v>
      </c>
      <c r="J43" s="7" t="s">
        <v>62</v>
      </c>
      <c r="K43" s="6" t="s">
        <v>26</v>
      </c>
      <c r="L43" s="7" t="s">
        <v>244</v>
      </c>
      <c r="M43" s="7" t="s">
        <v>245</v>
      </c>
      <c r="N43" s="9">
        <v>38003.0</v>
      </c>
    </row>
    <row r="44" ht="19.5" customHeight="1">
      <c r="A44" s="6" t="s">
        <v>246</v>
      </c>
      <c r="B44" s="7" t="s">
        <v>6</v>
      </c>
      <c r="C44" s="7" t="s">
        <v>247</v>
      </c>
      <c r="D44" s="7" t="s">
        <v>6</v>
      </c>
      <c r="E44" s="7" t="s">
        <v>45</v>
      </c>
      <c r="F44" s="6" t="s">
        <v>46</v>
      </c>
      <c r="G44" s="7" t="s">
        <v>248</v>
      </c>
      <c r="H44" s="7" t="s">
        <v>48</v>
      </c>
      <c r="I44" s="6" t="s">
        <v>67</v>
      </c>
      <c r="J44" s="7" t="s">
        <v>68</v>
      </c>
      <c r="K44" s="6" t="s">
        <v>26</v>
      </c>
      <c r="L44" s="7" t="s">
        <v>249</v>
      </c>
      <c r="M44" s="7" t="s">
        <v>250</v>
      </c>
      <c r="N44" s="9">
        <v>37801.0</v>
      </c>
    </row>
    <row r="45" ht="19.5" customHeight="1">
      <c r="A45" s="6" t="s">
        <v>251</v>
      </c>
      <c r="B45" s="7" t="s">
        <v>6</v>
      </c>
      <c r="C45" s="7" t="s">
        <v>252</v>
      </c>
      <c r="D45" s="7" t="s">
        <v>6</v>
      </c>
      <c r="E45" s="7" t="s">
        <v>45</v>
      </c>
      <c r="F45" s="6" t="s">
        <v>46</v>
      </c>
      <c r="G45" s="7" t="s">
        <v>47</v>
      </c>
      <c r="H45" s="7" t="s">
        <v>48</v>
      </c>
      <c r="I45" s="6" t="s">
        <v>193</v>
      </c>
      <c r="J45" s="7" t="s">
        <v>200</v>
      </c>
      <c r="K45" s="6" t="s">
        <v>26</v>
      </c>
      <c r="L45" s="7" t="s">
        <v>253</v>
      </c>
      <c r="M45" s="7" t="s">
        <v>6</v>
      </c>
      <c r="N45" s="9">
        <v>35271.0</v>
      </c>
    </row>
    <row r="46" ht="19.5" customHeight="1">
      <c r="A46" s="6" t="s">
        <v>254</v>
      </c>
      <c r="B46" s="7" t="s">
        <v>6</v>
      </c>
      <c r="C46" s="7" t="s">
        <v>255</v>
      </c>
      <c r="D46" s="7" t="s">
        <v>6</v>
      </c>
      <c r="E46" s="7" t="s">
        <v>45</v>
      </c>
      <c r="F46" s="6" t="s">
        <v>46</v>
      </c>
      <c r="G46" s="7" t="s">
        <v>256</v>
      </c>
      <c r="H46" s="7" t="s">
        <v>48</v>
      </c>
      <c r="I46" s="6" t="s">
        <v>257</v>
      </c>
      <c r="J46" s="7" t="s">
        <v>258</v>
      </c>
      <c r="K46" s="6" t="s">
        <v>26</v>
      </c>
      <c r="L46" s="7" t="s">
        <v>259</v>
      </c>
      <c r="M46" s="7" t="s">
        <v>260</v>
      </c>
      <c r="N46" s="9" t="s">
        <v>261</v>
      </c>
    </row>
    <row r="47" ht="19.5" customHeight="1">
      <c r="A47" s="6" t="s">
        <v>262</v>
      </c>
      <c r="B47" s="7" t="s">
        <v>6</v>
      </c>
      <c r="C47" s="7" t="s">
        <v>263</v>
      </c>
      <c r="D47" s="7" t="s">
        <v>6</v>
      </c>
      <c r="E47" s="7" t="s">
        <v>45</v>
      </c>
      <c r="F47" s="6" t="s">
        <v>46</v>
      </c>
      <c r="G47" s="7" t="s">
        <v>264</v>
      </c>
      <c r="H47" s="7" t="s">
        <v>48</v>
      </c>
      <c r="I47" s="6" t="s">
        <v>257</v>
      </c>
      <c r="J47" s="7" t="s">
        <v>258</v>
      </c>
      <c r="K47" s="6" t="s">
        <v>26</v>
      </c>
      <c r="L47" s="7" t="s">
        <v>265</v>
      </c>
      <c r="M47" s="7" t="s">
        <v>266</v>
      </c>
      <c r="N47" s="9" t="s">
        <v>267</v>
      </c>
    </row>
    <row r="48" ht="19.5" customHeight="1">
      <c r="A48" s="6" t="s">
        <v>268</v>
      </c>
      <c r="B48" s="7" t="s">
        <v>6</v>
      </c>
      <c r="C48" s="7" t="s">
        <v>269</v>
      </c>
      <c r="D48" s="7" t="s">
        <v>6</v>
      </c>
      <c r="E48" s="7" t="s">
        <v>45</v>
      </c>
      <c r="F48" s="6" t="s">
        <v>46</v>
      </c>
      <c r="G48" s="7" t="s">
        <v>270</v>
      </c>
      <c r="H48" s="7" t="s">
        <v>48</v>
      </c>
      <c r="I48" s="6" t="s">
        <v>257</v>
      </c>
      <c r="J48" s="7" t="s">
        <v>258</v>
      </c>
      <c r="K48" s="6" t="s">
        <v>26</v>
      </c>
      <c r="L48" s="7" t="s">
        <v>271</v>
      </c>
      <c r="M48" s="7" t="s">
        <v>272</v>
      </c>
      <c r="N48" s="9" t="s">
        <v>273</v>
      </c>
    </row>
    <row r="49" ht="19.5" customHeight="1">
      <c r="A49" s="6" t="s">
        <v>274</v>
      </c>
      <c r="B49" s="7" t="s">
        <v>6</v>
      </c>
      <c r="C49" s="7" t="s">
        <v>275</v>
      </c>
      <c r="D49" s="7" t="s">
        <v>6</v>
      </c>
      <c r="E49" s="7" t="s">
        <v>45</v>
      </c>
      <c r="F49" s="6" t="s">
        <v>46</v>
      </c>
      <c r="G49" s="7" t="s">
        <v>276</v>
      </c>
      <c r="H49" s="7" t="s">
        <v>48</v>
      </c>
      <c r="I49" s="6" t="s">
        <v>277</v>
      </c>
      <c r="J49" s="7" t="s">
        <v>278</v>
      </c>
      <c r="K49" s="6" t="s">
        <v>26</v>
      </c>
      <c r="L49" s="7" t="s">
        <v>279</v>
      </c>
      <c r="M49" s="7" t="s">
        <v>280</v>
      </c>
      <c r="N49" s="9" t="s">
        <v>281</v>
      </c>
    </row>
    <row r="50" ht="19.5" customHeight="1">
      <c r="A50" s="6" t="s">
        <v>282</v>
      </c>
      <c r="B50" s="7" t="s">
        <v>6</v>
      </c>
      <c r="C50" s="7" t="s">
        <v>283</v>
      </c>
      <c r="D50" s="7" t="s">
        <v>6</v>
      </c>
      <c r="E50" s="7" t="s">
        <v>45</v>
      </c>
      <c r="F50" s="6" t="s">
        <v>46</v>
      </c>
      <c r="G50" s="7" t="s">
        <v>284</v>
      </c>
      <c r="H50" s="7" t="s">
        <v>48</v>
      </c>
      <c r="I50" s="6" t="s">
        <v>285</v>
      </c>
      <c r="J50" s="7" t="s">
        <v>286</v>
      </c>
      <c r="K50" s="6" t="s">
        <v>26</v>
      </c>
      <c r="L50" s="7" t="s">
        <v>287</v>
      </c>
      <c r="M50" s="7" t="s">
        <v>288</v>
      </c>
      <c r="N50" s="9" t="s">
        <v>289</v>
      </c>
    </row>
    <row r="51" ht="19.5" customHeight="1">
      <c r="A51" s="6" t="s">
        <v>290</v>
      </c>
      <c r="B51" s="7" t="s">
        <v>6</v>
      </c>
      <c r="C51" s="7" t="s">
        <v>291</v>
      </c>
      <c r="D51" s="7" t="s">
        <v>6</v>
      </c>
      <c r="E51" s="7" t="s">
        <v>45</v>
      </c>
      <c r="F51" s="6" t="s">
        <v>46</v>
      </c>
      <c r="G51" s="7" t="s">
        <v>47</v>
      </c>
      <c r="H51" s="7" t="s">
        <v>48</v>
      </c>
      <c r="I51" s="6" t="s">
        <v>124</v>
      </c>
      <c r="J51" s="7" t="s">
        <v>125</v>
      </c>
      <c r="K51" s="6" t="s">
        <v>26</v>
      </c>
      <c r="L51" s="7" t="s">
        <v>292</v>
      </c>
      <c r="M51" s="7" t="s">
        <v>293</v>
      </c>
      <c r="N51" s="9">
        <v>32979.0</v>
      </c>
    </row>
    <row r="52" ht="19.5" customHeight="1">
      <c r="A52" s="6" t="s">
        <v>294</v>
      </c>
      <c r="B52" s="7" t="s">
        <v>6</v>
      </c>
      <c r="C52" s="7" t="s">
        <v>295</v>
      </c>
      <c r="D52" s="7" t="s">
        <v>6</v>
      </c>
      <c r="E52" s="7" t="s">
        <v>45</v>
      </c>
      <c r="F52" s="6" t="s">
        <v>46</v>
      </c>
      <c r="G52" s="7" t="s">
        <v>47</v>
      </c>
      <c r="H52" s="7" t="s">
        <v>48</v>
      </c>
      <c r="I52" s="6" t="s">
        <v>131</v>
      </c>
      <c r="J52" s="7" t="s">
        <v>132</v>
      </c>
      <c r="K52" s="6" t="s">
        <v>81</v>
      </c>
      <c r="L52" s="7" t="s">
        <v>296</v>
      </c>
      <c r="M52" s="7" t="s">
        <v>6</v>
      </c>
      <c r="N52" s="9">
        <v>36118.0</v>
      </c>
    </row>
    <row r="53" ht="19.5" customHeight="1">
      <c r="A53" s="6" t="s">
        <v>297</v>
      </c>
      <c r="B53" s="7" t="s">
        <v>6</v>
      </c>
      <c r="C53" s="7" t="s">
        <v>298</v>
      </c>
      <c r="D53" s="7" t="s">
        <v>6</v>
      </c>
      <c r="E53" s="7" t="s">
        <v>45</v>
      </c>
      <c r="F53" s="6" t="s">
        <v>46</v>
      </c>
      <c r="G53" s="7" t="s">
        <v>299</v>
      </c>
      <c r="H53" s="7" t="s">
        <v>48</v>
      </c>
      <c r="I53" s="6" t="s">
        <v>145</v>
      </c>
      <c r="J53" s="7" t="s">
        <v>146</v>
      </c>
      <c r="K53" s="6" t="s">
        <v>26</v>
      </c>
      <c r="L53" s="7" t="s">
        <v>300</v>
      </c>
      <c r="M53" s="7" t="s">
        <v>301</v>
      </c>
      <c r="N53" s="9">
        <v>37436.0</v>
      </c>
    </row>
    <row r="54" ht="19.5" customHeight="1">
      <c r="A54" s="6" t="s">
        <v>302</v>
      </c>
      <c r="B54" s="7" t="s">
        <v>6</v>
      </c>
      <c r="C54" s="7" t="s">
        <v>303</v>
      </c>
      <c r="D54" s="7" t="s">
        <v>6</v>
      </c>
      <c r="E54" s="7" t="s">
        <v>45</v>
      </c>
      <c r="F54" s="6" t="s">
        <v>46</v>
      </c>
      <c r="G54" s="7" t="s">
        <v>304</v>
      </c>
      <c r="H54" s="7" t="s">
        <v>48</v>
      </c>
      <c r="I54" s="6" t="s">
        <v>99</v>
      </c>
      <c r="J54" s="7" t="s">
        <v>100</v>
      </c>
      <c r="K54" s="6" t="s">
        <v>26</v>
      </c>
      <c r="L54" s="7" t="s">
        <v>305</v>
      </c>
      <c r="M54" s="7" t="s">
        <v>6</v>
      </c>
      <c r="N54" s="9">
        <v>39492.0</v>
      </c>
    </row>
    <row r="55" ht="19.5" customHeight="1">
      <c r="A55" s="6" t="s">
        <v>306</v>
      </c>
      <c r="B55" s="7" t="s">
        <v>6</v>
      </c>
      <c r="C55" s="7" t="s">
        <v>307</v>
      </c>
      <c r="D55" s="7" t="s">
        <v>6</v>
      </c>
      <c r="E55" s="7" t="s">
        <v>45</v>
      </c>
      <c r="F55" s="6" t="s">
        <v>46</v>
      </c>
      <c r="G55" s="7" t="s">
        <v>308</v>
      </c>
      <c r="H55" s="7" t="s">
        <v>48</v>
      </c>
      <c r="I55" s="6" t="s">
        <v>67</v>
      </c>
      <c r="J55" s="7" t="s">
        <v>68</v>
      </c>
      <c r="K55" s="6" t="s">
        <v>26</v>
      </c>
      <c r="L55" s="7" t="s">
        <v>309</v>
      </c>
      <c r="M55" s="7" t="s">
        <v>310</v>
      </c>
      <c r="N55" s="9">
        <v>37652.0</v>
      </c>
    </row>
    <row r="56" ht="19.5" customHeight="1">
      <c r="A56" s="6" t="s">
        <v>311</v>
      </c>
      <c r="B56" s="7" t="s">
        <v>6</v>
      </c>
      <c r="C56" s="7" t="s">
        <v>312</v>
      </c>
      <c r="D56" s="7" t="s">
        <v>6</v>
      </c>
      <c r="E56" s="7" t="s">
        <v>45</v>
      </c>
      <c r="F56" s="6" t="s">
        <v>46</v>
      </c>
      <c r="G56" s="7" t="s">
        <v>47</v>
      </c>
      <c r="H56" s="7" t="s">
        <v>48</v>
      </c>
      <c r="I56" s="6" t="s">
        <v>61</v>
      </c>
      <c r="J56" s="7" t="s">
        <v>62</v>
      </c>
      <c r="K56" s="6" t="s">
        <v>26</v>
      </c>
      <c r="L56" s="7" t="s">
        <v>313</v>
      </c>
      <c r="M56" s="7" t="s">
        <v>314</v>
      </c>
      <c r="N56" s="9">
        <v>38132.0</v>
      </c>
    </row>
    <row r="57" ht="19.5" customHeight="1">
      <c r="A57" s="6" t="s">
        <v>315</v>
      </c>
      <c r="B57" s="7" t="s">
        <v>6</v>
      </c>
      <c r="C57" s="7" t="s">
        <v>316</v>
      </c>
      <c r="D57" s="7" t="s">
        <v>6</v>
      </c>
      <c r="E57" s="7" t="s">
        <v>45</v>
      </c>
      <c r="F57" s="6" t="s">
        <v>46</v>
      </c>
      <c r="G57" s="7" t="s">
        <v>317</v>
      </c>
      <c r="H57" s="7" t="s">
        <v>48</v>
      </c>
      <c r="I57" s="6" t="s">
        <v>67</v>
      </c>
      <c r="J57" s="7" t="s">
        <v>68</v>
      </c>
      <c r="K57" s="6" t="s">
        <v>26</v>
      </c>
      <c r="L57" s="7" t="s">
        <v>318</v>
      </c>
      <c r="M57" s="7" t="s">
        <v>319</v>
      </c>
      <c r="N57" s="9">
        <v>37878.0</v>
      </c>
    </row>
    <row r="58" ht="19.5" customHeight="1">
      <c r="A58" s="6" t="s">
        <v>320</v>
      </c>
      <c r="B58" s="7" t="s">
        <v>6</v>
      </c>
      <c r="C58" s="7" t="s">
        <v>321</v>
      </c>
      <c r="D58" s="7" t="s">
        <v>6</v>
      </c>
      <c r="E58" s="7" t="s">
        <v>45</v>
      </c>
      <c r="F58" s="6" t="s">
        <v>46</v>
      </c>
      <c r="G58" s="7" t="s">
        <v>47</v>
      </c>
      <c r="H58" s="7" t="s">
        <v>48</v>
      </c>
      <c r="I58" s="6" t="s">
        <v>67</v>
      </c>
      <c r="J58" s="7" t="s">
        <v>68</v>
      </c>
      <c r="K58" s="6" t="s">
        <v>26</v>
      </c>
      <c r="L58" s="7" t="s">
        <v>322</v>
      </c>
      <c r="M58" s="7" t="s">
        <v>323</v>
      </c>
      <c r="N58" s="9">
        <v>37865.0</v>
      </c>
    </row>
    <row r="59" ht="19.5" customHeight="1">
      <c r="A59" s="6" t="s">
        <v>324</v>
      </c>
      <c r="B59" s="7" t="s">
        <v>6</v>
      </c>
      <c r="C59" s="7" t="s">
        <v>325</v>
      </c>
      <c r="D59" s="7" t="s">
        <v>6</v>
      </c>
      <c r="E59" s="7" t="s">
        <v>45</v>
      </c>
      <c r="F59" s="6" t="s">
        <v>46</v>
      </c>
      <c r="G59" s="7" t="s">
        <v>326</v>
      </c>
      <c r="H59" s="7" t="s">
        <v>48</v>
      </c>
      <c r="I59" s="6" t="s">
        <v>61</v>
      </c>
      <c r="J59" s="7" t="s">
        <v>62</v>
      </c>
      <c r="K59" s="6" t="s">
        <v>81</v>
      </c>
      <c r="L59" s="7" t="s">
        <v>327</v>
      </c>
      <c r="M59" s="7" t="s">
        <v>328</v>
      </c>
      <c r="N59" s="9">
        <v>37913.0</v>
      </c>
    </row>
    <row r="60" ht="19.5" customHeight="1">
      <c r="A60" s="6" t="s">
        <v>329</v>
      </c>
      <c r="B60" s="7" t="s">
        <v>6</v>
      </c>
      <c r="C60" s="7" t="s">
        <v>330</v>
      </c>
      <c r="D60" s="7" t="s">
        <v>6</v>
      </c>
      <c r="E60" s="7" t="s">
        <v>45</v>
      </c>
      <c r="F60" s="6" t="s">
        <v>46</v>
      </c>
      <c r="G60" s="7" t="s">
        <v>331</v>
      </c>
      <c r="H60" s="7" t="s">
        <v>48</v>
      </c>
      <c r="I60" s="6" t="s">
        <v>67</v>
      </c>
      <c r="J60" s="7" t="s">
        <v>68</v>
      </c>
      <c r="K60" s="6" t="s">
        <v>26</v>
      </c>
      <c r="L60" s="7" t="s">
        <v>332</v>
      </c>
      <c r="M60" s="7" t="s">
        <v>333</v>
      </c>
      <c r="N60" s="9">
        <v>37810.0</v>
      </c>
    </row>
    <row r="61" ht="19.5" customHeight="1">
      <c r="A61" s="6" t="s">
        <v>334</v>
      </c>
      <c r="B61" s="7" t="s">
        <v>6</v>
      </c>
      <c r="C61" s="7" t="s">
        <v>335</v>
      </c>
      <c r="D61" s="7" t="s">
        <v>6</v>
      </c>
      <c r="E61" s="7" t="s">
        <v>45</v>
      </c>
      <c r="F61" s="6" t="s">
        <v>46</v>
      </c>
      <c r="G61" s="7" t="s">
        <v>336</v>
      </c>
      <c r="H61" s="7" t="s">
        <v>48</v>
      </c>
      <c r="I61" s="6" t="s">
        <v>198</v>
      </c>
      <c r="J61" s="7" t="s">
        <v>337</v>
      </c>
      <c r="K61" s="6" t="s">
        <v>26</v>
      </c>
      <c r="L61" s="7" t="s">
        <v>338</v>
      </c>
      <c r="M61" s="7" t="s">
        <v>339</v>
      </c>
      <c r="N61" s="9">
        <v>35432.0</v>
      </c>
    </row>
    <row r="62" ht="19.5" customHeight="1">
      <c r="A62" s="6" t="s">
        <v>340</v>
      </c>
      <c r="B62" s="7" t="s">
        <v>6</v>
      </c>
      <c r="C62" s="7" t="s">
        <v>341</v>
      </c>
      <c r="D62" s="7" t="s">
        <v>6</v>
      </c>
      <c r="E62" s="7" t="s">
        <v>45</v>
      </c>
      <c r="F62" s="6" t="s">
        <v>46</v>
      </c>
      <c r="G62" s="7" t="s">
        <v>342</v>
      </c>
      <c r="H62" s="7" t="s">
        <v>48</v>
      </c>
      <c r="I62" s="6" t="s">
        <v>61</v>
      </c>
      <c r="J62" s="7" t="s">
        <v>62</v>
      </c>
      <c r="K62" s="6" t="s">
        <v>26</v>
      </c>
      <c r="L62" s="7" t="s">
        <v>343</v>
      </c>
      <c r="M62" s="7" t="s">
        <v>344</v>
      </c>
      <c r="N62" s="9">
        <v>37987.0</v>
      </c>
    </row>
    <row r="63" ht="19.5" customHeight="1">
      <c r="A63" s="6" t="s">
        <v>345</v>
      </c>
      <c r="B63" s="7" t="s">
        <v>6</v>
      </c>
      <c r="C63" s="7" t="s">
        <v>346</v>
      </c>
      <c r="D63" s="7" t="s">
        <v>6</v>
      </c>
      <c r="E63" s="7" t="s">
        <v>45</v>
      </c>
      <c r="F63" s="6" t="s">
        <v>46</v>
      </c>
      <c r="G63" s="7" t="s">
        <v>347</v>
      </c>
      <c r="H63" s="7" t="s">
        <v>48</v>
      </c>
      <c r="I63" s="6" t="s">
        <v>67</v>
      </c>
      <c r="J63" s="7" t="s">
        <v>68</v>
      </c>
      <c r="K63" s="6" t="s">
        <v>26</v>
      </c>
      <c r="L63" s="7" t="s">
        <v>348</v>
      </c>
      <c r="M63" s="7" t="s">
        <v>6</v>
      </c>
      <c r="N63" s="9">
        <v>37625.0</v>
      </c>
    </row>
    <row r="64" ht="19.5" customHeight="1">
      <c r="A64" s="6" t="s">
        <v>349</v>
      </c>
      <c r="B64" s="7" t="s">
        <v>6</v>
      </c>
      <c r="C64" s="7" t="s">
        <v>350</v>
      </c>
      <c r="D64" s="7" t="s">
        <v>6</v>
      </c>
      <c r="E64" s="7" t="s">
        <v>45</v>
      </c>
      <c r="F64" s="6" t="s">
        <v>46</v>
      </c>
      <c r="G64" s="7" t="s">
        <v>47</v>
      </c>
      <c r="H64" s="7" t="s">
        <v>48</v>
      </c>
      <c r="I64" s="6" t="s">
        <v>166</v>
      </c>
      <c r="J64" s="7" t="s">
        <v>167</v>
      </c>
      <c r="K64" s="6" t="s">
        <v>26</v>
      </c>
      <c r="L64" s="7" t="s">
        <v>351</v>
      </c>
      <c r="M64" s="7" t="s">
        <v>6</v>
      </c>
      <c r="N64" s="9">
        <v>36736.0</v>
      </c>
    </row>
    <row r="65" ht="19.5" customHeight="1">
      <c r="A65" s="6" t="s">
        <v>352</v>
      </c>
      <c r="B65" s="7" t="s">
        <v>6</v>
      </c>
      <c r="C65" s="7" t="s">
        <v>353</v>
      </c>
      <c r="D65" s="7" t="s">
        <v>6</v>
      </c>
      <c r="E65" s="7" t="s">
        <v>45</v>
      </c>
      <c r="F65" s="6" t="s">
        <v>46</v>
      </c>
      <c r="G65" s="7" t="s">
        <v>47</v>
      </c>
      <c r="H65" s="7" t="s">
        <v>48</v>
      </c>
      <c r="I65" s="6" t="s">
        <v>67</v>
      </c>
      <c r="J65" s="7" t="s">
        <v>68</v>
      </c>
      <c r="K65" s="6" t="s">
        <v>26</v>
      </c>
      <c r="L65" s="7" t="s">
        <v>354</v>
      </c>
      <c r="M65" s="7" t="s">
        <v>355</v>
      </c>
      <c r="N65" s="9">
        <v>37696.0</v>
      </c>
    </row>
    <row r="66" ht="19.5" customHeight="1">
      <c r="A66" s="6" t="s">
        <v>356</v>
      </c>
      <c r="B66" s="7" t="s">
        <v>6</v>
      </c>
      <c r="C66" s="7" t="s">
        <v>357</v>
      </c>
      <c r="D66" s="7" t="s">
        <v>6</v>
      </c>
      <c r="E66" s="7" t="s">
        <v>45</v>
      </c>
      <c r="F66" s="6" t="s">
        <v>46</v>
      </c>
      <c r="G66" s="7" t="s">
        <v>358</v>
      </c>
      <c r="H66" s="7" t="s">
        <v>48</v>
      </c>
      <c r="I66" s="6" t="s">
        <v>67</v>
      </c>
      <c r="J66" s="7" t="s">
        <v>68</v>
      </c>
      <c r="K66" s="6" t="s">
        <v>26</v>
      </c>
      <c r="L66" s="7" t="s">
        <v>359</v>
      </c>
      <c r="M66" s="7" t="s">
        <v>6</v>
      </c>
      <c r="N66" s="9">
        <v>37733.0</v>
      </c>
    </row>
    <row r="67" ht="19.5" customHeight="1">
      <c r="A67" s="6" t="s">
        <v>360</v>
      </c>
      <c r="B67" s="7" t="s">
        <v>6</v>
      </c>
      <c r="C67" s="7" t="s">
        <v>361</v>
      </c>
      <c r="D67" s="7" t="s">
        <v>6</v>
      </c>
      <c r="E67" s="7" t="s">
        <v>45</v>
      </c>
      <c r="F67" s="6" t="s">
        <v>46</v>
      </c>
      <c r="G67" s="7" t="s">
        <v>47</v>
      </c>
      <c r="H67" s="7" t="s">
        <v>48</v>
      </c>
      <c r="I67" s="6" t="s">
        <v>67</v>
      </c>
      <c r="J67" s="7" t="s">
        <v>68</v>
      </c>
      <c r="K67" s="6" t="s">
        <v>26</v>
      </c>
      <c r="L67" s="7" t="s">
        <v>362</v>
      </c>
      <c r="M67" s="7" t="s">
        <v>363</v>
      </c>
      <c r="N67" s="9">
        <v>37805.0</v>
      </c>
    </row>
    <row r="68" ht="19.5" customHeight="1">
      <c r="A68" s="6" t="s">
        <v>364</v>
      </c>
      <c r="B68" s="7" t="s">
        <v>6</v>
      </c>
      <c r="C68" s="7" t="s">
        <v>365</v>
      </c>
      <c r="D68" s="7" t="s">
        <v>6</v>
      </c>
      <c r="E68" s="7" t="s">
        <v>45</v>
      </c>
      <c r="F68" s="6" t="s">
        <v>46</v>
      </c>
      <c r="G68" s="7" t="s">
        <v>47</v>
      </c>
      <c r="H68" s="7" t="s">
        <v>48</v>
      </c>
      <c r="I68" s="6" t="s">
        <v>61</v>
      </c>
      <c r="J68" s="7" t="s">
        <v>62</v>
      </c>
      <c r="K68" s="6" t="s">
        <v>26</v>
      </c>
      <c r="L68" s="7" t="s">
        <v>366</v>
      </c>
      <c r="M68" s="7" t="s">
        <v>367</v>
      </c>
      <c r="N68" s="9">
        <v>38048.0</v>
      </c>
    </row>
    <row r="69" ht="19.5" customHeight="1">
      <c r="A69" s="6" t="s">
        <v>368</v>
      </c>
      <c r="B69" s="7" t="s">
        <v>6</v>
      </c>
      <c r="C69" s="7" t="s">
        <v>369</v>
      </c>
      <c r="D69" s="7" t="s">
        <v>6</v>
      </c>
      <c r="E69" s="7" t="s">
        <v>45</v>
      </c>
      <c r="F69" s="6" t="s">
        <v>46</v>
      </c>
      <c r="G69" s="7" t="s">
        <v>47</v>
      </c>
      <c r="H69" s="7" t="s">
        <v>48</v>
      </c>
      <c r="I69" s="6" t="s">
        <v>49</v>
      </c>
      <c r="J69" s="7" t="s">
        <v>50</v>
      </c>
      <c r="K69" s="6" t="s">
        <v>26</v>
      </c>
      <c r="L69" s="7" t="s">
        <v>370</v>
      </c>
      <c r="M69" s="7" t="s">
        <v>371</v>
      </c>
      <c r="N69" s="9">
        <v>36978.0</v>
      </c>
    </row>
    <row r="70" ht="19.5" customHeight="1">
      <c r="A70" s="6" t="s">
        <v>372</v>
      </c>
      <c r="B70" s="7" t="s">
        <v>6</v>
      </c>
      <c r="C70" s="7" t="s">
        <v>373</v>
      </c>
      <c r="D70" s="7" t="s">
        <v>6</v>
      </c>
      <c r="E70" s="7" t="s">
        <v>45</v>
      </c>
      <c r="F70" s="6" t="s">
        <v>46</v>
      </c>
      <c r="G70" s="7" t="s">
        <v>47</v>
      </c>
      <c r="H70" s="7" t="s">
        <v>48</v>
      </c>
      <c r="I70" s="6" t="s">
        <v>67</v>
      </c>
      <c r="J70" s="7" t="s">
        <v>68</v>
      </c>
      <c r="K70" s="6" t="s">
        <v>26</v>
      </c>
      <c r="L70" s="7" t="s">
        <v>374</v>
      </c>
      <c r="M70" s="7" t="s">
        <v>375</v>
      </c>
      <c r="N70" s="9">
        <v>37652.0</v>
      </c>
    </row>
    <row r="71" ht="19.5" customHeight="1">
      <c r="A71" s="6" t="s">
        <v>376</v>
      </c>
      <c r="B71" s="7" t="s">
        <v>6</v>
      </c>
      <c r="C71" s="7" t="s">
        <v>377</v>
      </c>
      <c r="D71" s="7" t="s">
        <v>6</v>
      </c>
      <c r="E71" s="7" t="s">
        <v>45</v>
      </c>
      <c r="F71" s="6" t="s">
        <v>46</v>
      </c>
      <c r="G71" s="7" t="s">
        <v>47</v>
      </c>
      <c r="H71" s="7" t="s">
        <v>48</v>
      </c>
      <c r="I71" s="6" t="s">
        <v>61</v>
      </c>
      <c r="J71" s="7" t="s">
        <v>62</v>
      </c>
      <c r="K71" s="6" t="s">
        <v>26</v>
      </c>
      <c r="L71" s="7" t="s">
        <v>378</v>
      </c>
      <c r="M71" s="7" t="s">
        <v>379</v>
      </c>
      <c r="N71" s="9">
        <v>38048.0</v>
      </c>
    </row>
    <row r="72" ht="19.5" customHeight="1">
      <c r="A72" s="6" t="s">
        <v>380</v>
      </c>
      <c r="B72" s="7" t="s">
        <v>6</v>
      </c>
      <c r="C72" s="7" t="s">
        <v>381</v>
      </c>
      <c r="D72" s="7" t="s">
        <v>6</v>
      </c>
      <c r="E72" s="7" t="s">
        <v>45</v>
      </c>
      <c r="F72" s="6" t="s">
        <v>46</v>
      </c>
      <c r="G72" s="7" t="s">
        <v>47</v>
      </c>
      <c r="H72" s="7" t="s">
        <v>48</v>
      </c>
      <c r="I72" s="6" t="s">
        <v>61</v>
      </c>
      <c r="J72" s="7" t="s">
        <v>62</v>
      </c>
      <c r="K72" s="6" t="s">
        <v>81</v>
      </c>
      <c r="L72" s="7" t="s">
        <v>382</v>
      </c>
      <c r="M72" s="7" t="s">
        <v>383</v>
      </c>
      <c r="N72" s="9">
        <v>37914.0</v>
      </c>
    </row>
    <row r="73" ht="19.5" customHeight="1">
      <c r="A73" s="6" t="s">
        <v>384</v>
      </c>
      <c r="B73" s="7" t="s">
        <v>6</v>
      </c>
      <c r="C73" s="7" t="s">
        <v>385</v>
      </c>
      <c r="D73" s="7" t="s">
        <v>6</v>
      </c>
      <c r="E73" s="7" t="s">
        <v>45</v>
      </c>
      <c r="F73" s="6" t="s">
        <v>46</v>
      </c>
      <c r="G73" s="7" t="s">
        <v>47</v>
      </c>
      <c r="H73" s="7" t="s">
        <v>48</v>
      </c>
      <c r="I73" s="6" t="s">
        <v>61</v>
      </c>
      <c r="J73" s="7" t="s">
        <v>62</v>
      </c>
      <c r="K73" s="6" t="s">
        <v>26</v>
      </c>
      <c r="L73" s="7" t="s">
        <v>386</v>
      </c>
      <c r="M73" s="7" t="s">
        <v>387</v>
      </c>
      <c r="N73" s="9">
        <v>38092.0</v>
      </c>
    </row>
    <row r="74" ht="19.5" customHeight="1">
      <c r="A74" s="6" t="s">
        <v>388</v>
      </c>
      <c r="B74" s="7" t="s">
        <v>6</v>
      </c>
      <c r="C74" s="7" t="s">
        <v>389</v>
      </c>
      <c r="D74" s="7" t="s">
        <v>6</v>
      </c>
      <c r="E74" s="7" t="s">
        <v>45</v>
      </c>
      <c r="F74" s="6" t="s">
        <v>46</v>
      </c>
      <c r="G74" s="7" t="s">
        <v>47</v>
      </c>
      <c r="H74" s="7" t="s">
        <v>48</v>
      </c>
      <c r="I74" s="6" t="s">
        <v>61</v>
      </c>
      <c r="J74" s="7" t="s">
        <v>62</v>
      </c>
      <c r="K74" s="6" t="s">
        <v>81</v>
      </c>
      <c r="L74" s="7" t="s">
        <v>390</v>
      </c>
      <c r="M74" s="7" t="s">
        <v>391</v>
      </c>
      <c r="N74" s="9">
        <v>37960.0</v>
      </c>
    </row>
    <row r="75" ht="19.5" customHeight="1">
      <c r="A75" s="6" t="s">
        <v>392</v>
      </c>
      <c r="B75" s="7" t="s">
        <v>6</v>
      </c>
      <c r="C75" s="7" t="s">
        <v>393</v>
      </c>
      <c r="D75" s="7" t="s">
        <v>6</v>
      </c>
      <c r="E75" s="7" t="s">
        <v>45</v>
      </c>
      <c r="F75" s="6" t="s">
        <v>46</v>
      </c>
      <c r="G75" s="7" t="s">
        <v>394</v>
      </c>
      <c r="H75" s="7" t="s">
        <v>48</v>
      </c>
      <c r="I75" s="6" t="s">
        <v>67</v>
      </c>
      <c r="J75" s="7" t="s">
        <v>68</v>
      </c>
      <c r="K75" s="6" t="s">
        <v>26</v>
      </c>
      <c r="L75" s="7" t="s">
        <v>395</v>
      </c>
      <c r="M75" s="7" t="s">
        <v>396</v>
      </c>
      <c r="N75" s="9">
        <v>37775.0</v>
      </c>
    </row>
    <row r="76" ht="19.5" customHeight="1">
      <c r="A76" s="6" t="s">
        <v>397</v>
      </c>
      <c r="B76" s="7" t="s">
        <v>6</v>
      </c>
      <c r="C76" s="7" t="s">
        <v>398</v>
      </c>
      <c r="D76" s="7" t="s">
        <v>6</v>
      </c>
      <c r="E76" s="7" t="s">
        <v>45</v>
      </c>
      <c r="F76" s="6" t="s">
        <v>46</v>
      </c>
      <c r="G76" s="7" t="s">
        <v>47</v>
      </c>
      <c r="H76" s="7" t="s">
        <v>48</v>
      </c>
      <c r="I76" s="6" t="s">
        <v>67</v>
      </c>
      <c r="J76" s="7" t="s">
        <v>68</v>
      </c>
      <c r="K76" s="6" t="s">
        <v>26</v>
      </c>
      <c r="L76" s="7" t="s">
        <v>399</v>
      </c>
      <c r="M76" s="7" t="s">
        <v>400</v>
      </c>
      <c r="N76" s="9">
        <v>37718.0</v>
      </c>
    </row>
    <row r="77" ht="19.5" customHeight="1">
      <c r="A77" s="6" t="s">
        <v>401</v>
      </c>
      <c r="B77" s="7" t="s">
        <v>6</v>
      </c>
      <c r="C77" s="7" t="s">
        <v>402</v>
      </c>
      <c r="D77" s="7" t="s">
        <v>6</v>
      </c>
      <c r="E77" s="7" t="s">
        <v>45</v>
      </c>
      <c r="F77" s="6" t="s">
        <v>46</v>
      </c>
      <c r="G77" s="7" t="s">
        <v>403</v>
      </c>
      <c r="H77" s="7" t="s">
        <v>48</v>
      </c>
      <c r="I77" s="6" t="s">
        <v>61</v>
      </c>
      <c r="J77" s="7" t="s">
        <v>62</v>
      </c>
      <c r="K77" s="6" t="s">
        <v>26</v>
      </c>
      <c r="L77" s="7" t="s">
        <v>404</v>
      </c>
      <c r="M77" s="7" t="s">
        <v>405</v>
      </c>
      <c r="N77" s="9">
        <v>38098.0</v>
      </c>
    </row>
    <row r="78" ht="19.5" customHeight="1">
      <c r="A78" s="6" t="s">
        <v>406</v>
      </c>
      <c r="B78" s="7" t="s">
        <v>6</v>
      </c>
      <c r="C78" s="7" t="s">
        <v>407</v>
      </c>
      <c r="D78" s="7" t="s">
        <v>6</v>
      </c>
      <c r="E78" s="7" t="s">
        <v>45</v>
      </c>
      <c r="F78" s="6" t="s">
        <v>46</v>
      </c>
      <c r="G78" s="7" t="s">
        <v>408</v>
      </c>
      <c r="H78" s="7" t="s">
        <v>48</v>
      </c>
      <c r="I78" s="6" t="s">
        <v>170</v>
      </c>
      <c r="J78" s="7" t="s">
        <v>409</v>
      </c>
      <c r="K78" s="6" t="s">
        <v>26</v>
      </c>
      <c r="L78" s="7" t="s">
        <v>410</v>
      </c>
      <c r="M78" s="7" t="s">
        <v>411</v>
      </c>
      <c r="N78" s="9">
        <v>33456.0</v>
      </c>
    </row>
    <row r="79" ht="19.5" customHeight="1">
      <c r="A79" s="6" t="s">
        <v>412</v>
      </c>
      <c r="B79" s="7" t="s">
        <v>6</v>
      </c>
      <c r="C79" s="7" t="s">
        <v>413</v>
      </c>
      <c r="D79" s="7" t="s">
        <v>6</v>
      </c>
      <c r="E79" s="7" t="s">
        <v>45</v>
      </c>
      <c r="F79" s="6" t="s">
        <v>46</v>
      </c>
      <c r="G79" s="7" t="s">
        <v>414</v>
      </c>
      <c r="H79" s="7" t="s">
        <v>48</v>
      </c>
      <c r="I79" s="6" t="s">
        <v>198</v>
      </c>
      <c r="J79" s="7" t="s">
        <v>337</v>
      </c>
      <c r="K79" s="6" t="s">
        <v>26</v>
      </c>
      <c r="L79" s="7" t="s">
        <v>415</v>
      </c>
      <c r="M79" s="7" t="s">
        <v>416</v>
      </c>
      <c r="N79" s="9">
        <v>35558.0</v>
      </c>
    </row>
    <row r="80" ht="19.5" customHeight="1">
      <c r="A80" s="6" t="s">
        <v>417</v>
      </c>
      <c r="B80" s="7" t="s">
        <v>6</v>
      </c>
      <c r="C80" s="7" t="s">
        <v>418</v>
      </c>
      <c r="D80" s="7" t="s">
        <v>6</v>
      </c>
      <c r="E80" s="7" t="s">
        <v>45</v>
      </c>
      <c r="F80" s="6" t="s">
        <v>46</v>
      </c>
      <c r="G80" s="7" t="s">
        <v>419</v>
      </c>
      <c r="H80" s="7" t="s">
        <v>48</v>
      </c>
      <c r="I80" s="6" t="s">
        <v>145</v>
      </c>
      <c r="J80" s="7" t="s">
        <v>146</v>
      </c>
      <c r="K80" s="6" t="s">
        <v>26</v>
      </c>
      <c r="L80" s="7" t="s">
        <v>420</v>
      </c>
      <c r="M80" s="7" t="s">
        <v>421</v>
      </c>
      <c r="N80" s="9">
        <v>37482.0</v>
      </c>
    </row>
    <row r="81" ht="19.5" customHeight="1">
      <c r="A81" s="6" t="s">
        <v>422</v>
      </c>
      <c r="B81" s="7" t="s">
        <v>6</v>
      </c>
      <c r="C81" s="7" t="s">
        <v>423</v>
      </c>
      <c r="D81" s="7" t="s">
        <v>6</v>
      </c>
      <c r="E81" s="7" t="s">
        <v>45</v>
      </c>
      <c r="F81" s="6" t="s">
        <v>46</v>
      </c>
      <c r="G81" s="7" t="s">
        <v>47</v>
      </c>
      <c r="H81" s="7" t="s">
        <v>48</v>
      </c>
      <c r="I81" s="6" t="s">
        <v>67</v>
      </c>
      <c r="J81" s="7" t="s">
        <v>68</v>
      </c>
      <c r="K81" s="6" t="s">
        <v>26</v>
      </c>
      <c r="L81" s="7" t="s">
        <v>424</v>
      </c>
      <c r="M81" s="7" t="s">
        <v>425</v>
      </c>
      <c r="N81" s="9">
        <v>37782.0</v>
      </c>
    </row>
    <row r="82" ht="19.5" customHeight="1">
      <c r="A82" s="6" t="s">
        <v>426</v>
      </c>
      <c r="B82" s="7" t="s">
        <v>6</v>
      </c>
      <c r="C82" s="7" t="s">
        <v>427</v>
      </c>
      <c r="D82" s="7" t="s">
        <v>6</v>
      </c>
      <c r="E82" s="7" t="s">
        <v>45</v>
      </c>
      <c r="F82" s="6" t="s">
        <v>46</v>
      </c>
      <c r="G82" s="7" t="s">
        <v>47</v>
      </c>
      <c r="H82" s="7" t="s">
        <v>48</v>
      </c>
      <c r="I82" s="6" t="s">
        <v>176</v>
      </c>
      <c r="J82" s="7" t="s">
        <v>428</v>
      </c>
      <c r="K82" s="6" t="s">
        <v>81</v>
      </c>
      <c r="L82" s="7" t="s">
        <v>429</v>
      </c>
      <c r="M82" s="7" t="s">
        <v>430</v>
      </c>
      <c r="N82" s="9">
        <v>33566.0</v>
      </c>
    </row>
    <row r="83" ht="19.5" customHeight="1">
      <c r="A83" s="6" t="s">
        <v>431</v>
      </c>
      <c r="B83" s="7" t="s">
        <v>6</v>
      </c>
      <c r="C83" s="7" t="s">
        <v>432</v>
      </c>
      <c r="D83" s="7" t="s">
        <v>6</v>
      </c>
      <c r="E83" s="7" t="s">
        <v>45</v>
      </c>
      <c r="F83" s="6" t="s">
        <v>46</v>
      </c>
      <c r="G83" s="7" t="s">
        <v>433</v>
      </c>
      <c r="H83" s="7" t="s">
        <v>48</v>
      </c>
      <c r="I83" s="6" t="s">
        <v>154</v>
      </c>
      <c r="J83" s="7" t="s">
        <v>434</v>
      </c>
      <c r="K83" s="6" t="s">
        <v>26</v>
      </c>
      <c r="L83" s="7" t="s">
        <v>435</v>
      </c>
      <c r="M83" s="7" t="s">
        <v>436</v>
      </c>
      <c r="N83" s="9">
        <v>31592.0</v>
      </c>
    </row>
    <row r="84" ht="19.5" customHeight="1">
      <c r="A84" s="6" t="s">
        <v>437</v>
      </c>
      <c r="B84" s="7" t="s">
        <v>6</v>
      </c>
      <c r="C84" s="7" t="s">
        <v>438</v>
      </c>
      <c r="D84" s="7" t="s">
        <v>6</v>
      </c>
      <c r="E84" s="7" t="s">
        <v>45</v>
      </c>
      <c r="F84" s="6" t="s">
        <v>46</v>
      </c>
      <c r="G84" s="7" t="s">
        <v>47</v>
      </c>
      <c r="H84" s="7" t="s">
        <v>48</v>
      </c>
      <c r="I84" s="6" t="s">
        <v>184</v>
      </c>
      <c r="J84" s="7" t="s">
        <v>439</v>
      </c>
      <c r="K84" s="6" t="s">
        <v>26</v>
      </c>
      <c r="L84" s="7" t="s">
        <v>440</v>
      </c>
      <c r="M84" s="7" t="s">
        <v>6</v>
      </c>
      <c r="N84" s="9">
        <v>34526.0</v>
      </c>
    </row>
    <row r="85" ht="19.5" customHeight="1">
      <c r="A85" s="6" t="s">
        <v>441</v>
      </c>
      <c r="B85" s="7" t="s">
        <v>6</v>
      </c>
      <c r="C85" s="7" t="s">
        <v>442</v>
      </c>
      <c r="D85" s="7" t="s">
        <v>6</v>
      </c>
      <c r="E85" s="7" t="s">
        <v>45</v>
      </c>
      <c r="F85" s="6" t="s">
        <v>46</v>
      </c>
      <c r="G85" s="7" t="s">
        <v>443</v>
      </c>
      <c r="H85" s="7" t="s">
        <v>48</v>
      </c>
      <c r="I85" s="6" t="s">
        <v>166</v>
      </c>
      <c r="J85" s="7" t="s">
        <v>167</v>
      </c>
      <c r="K85" s="6" t="s">
        <v>26</v>
      </c>
      <c r="L85" s="7" t="s">
        <v>444</v>
      </c>
      <c r="M85" s="7" t="s">
        <v>445</v>
      </c>
      <c r="N85" s="9">
        <v>36690.0</v>
      </c>
    </row>
    <row r="86" ht="19.5" customHeight="1">
      <c r="A86" s="6" t="s">
        <v>446</v>
      </c>
      <c r="B86" s="7" t="s">
        <v>6</v>
      </c>
      <c r="C86" s="7" t="s">
        <v>447</v>
      </c>
      <c r="D86" s="7" t="s">
        <v>6</v>
      </c>
      <c r="E86" s="7" t="s">
        <v>45</v>
      </c>
      <c r="F86" s="6" t="s">
        <v>46</v>
      </c>
      <c r="G86" s="7" t="s">
        <v>47</v>
      </c>
      <c r="H86" s="7" t="s">
        <v>48</v>
      </c>
      <c r="I86" s="6" t="s">
        <v>166</v>
      </c>
      <c r="J86" s="7" t="s">
        <v>167</v>
      </c>
      <c r="K86" s="6" t="s">
        <v>26</v>
      </c>
      <c r="L86" s="7" t="s">
        <v>448</v>
      </c>
      <c r="M86" s="7" t="s">
        <v>449</v>
      </c>
      <c r="N86" s="9">
        <v>36530.0</v>
      </c>
    </row>
    <row r="87" ht="19.5" customHeight="1">
      <c r="A87" s="6" t="s">
        <v>450</v>
      </c>
      <c r="B87" s="7" t="s">
        <v>6</v>
      </c>
      <c r="C87" s="7" t="s">
        <v>451</v>
      </c>
      <c r="D87" s="7" t="s">
        <v>6</v>
      </c>
      <c r="E87" s="7" t="s">
        <v>45</v>
      </c>
      <c r="F87" s="6" t="s">
        <v>46</v>
      </c>
      <c r="G87" s="7" t="s">
        <v>452</v>
      </c>
      <c r="H87" s="7" t="s">
        <v>48</v>
      </c>
      <c r="I87" s="6" t="s">
        <v>145</v>
      </c>
      <c r="J87" s="7" t="s">
        <v>146</v>
      </c>
      <c r="K87" s="6" t="s">
        <v>26</v>
      </c>
      <c r="L87" s="7" t="s">
        <v>453</v>
      </c>
      <c r="M87" s="7" t="s">
        <v>454</v>
      </c>
      <c r="N87" s="9">
        <v>37311.0</v>
      </c>
    </row>
    <row r="88" ht="19.5" customHeight="1">
      <c r="A88" s="6" t="s">
        <v>455</v>
      </c>
      <c r="B88" s="7" t="s">
        <v>6</v>
      </c>
      <c r="C88" s="7" t="s">
        <v>456</v>
      </c>
      <c r="D88" s="7" t="s">
        <v>6</v>
      </c>
      <c r="E88" s="7" t="s">
        <v>45</v>
      </c>
      <c r="F88" s="6" t="s">
        <v>46</v>
      </c>
      <c r="G88" s="7" t="s">
        <v>457</v>
      </c>
      <c r="H88" s="7" t="s">
        <v>48</v>
      </c>
      <c r="I88" s="6" t="s">
        <v>49</v>
      </c>
      <c r="J88" s="7" t="s">
        <v>50</v>
      </c>
      <c r="K88" s="6" t="s">
        <v>26</v>
      </c>
      <c r="L88" s="7" t="s">
        <v>458</v>
      </c>
      <c r="M88" s="7" t="s">
        <v>459</v>
      </c>
      <c r="N88" s="9">
        <v>37059.0</v>
      </c>
    </row>
    <row r="89" ht="19.5" customHeight="1">
      <c r="A89" s="6" t="s">
        <v>460</v>
      </c>
      <c r="B89" s="7" t="s">
        <v>6</v>
      </c>
      <c r="C89" s="7" t="s">
        <v>461</v>
      </c>
      <c r="D89" s="7" t="s">
        <v>6</v>
      </c>
      <c r="E89" s="7" t="s">
        <v>45</v>
      </c>
      <c r="F89" s="6" t="s">
        <v>46</v>
      </c>
      <c r="G89" s="7" t="s">
        <v>47</v>
      </c>
      <c r="H89" s="7" t="s">
        <v>48</v>
      </c>
      <c r="I89" s="6" t="s">
        <v>49</v>
      </c>
      <c r="J89" s="7" t="s">
        <v>50</v>
      </c>
      <c r="K89" s="6" t="s">
        <v>26</v>
      </c>
      <c r="L89" s="7" t="s">
        <v>462</v>
      </c>
      <c r="M89" s="7" t="s">
        <v>463</v>
      </c>
      <c r="N89" s="9">
        <v>36899.0</v>
      </c>
    </row>
    <row r="90" ht="19.5" customHeight="1">
      <c r="A90" s="6" t="s">
        <v>464</v>
      </c>
      <c r="B90" s="7" t="s">
        <v>6</v>
      </c>
      <c r="C90" s="7" t="s">
        <v>465</v>
      </c>
      <c r="D90" s="7" t="s">
        <v>6</v>
      </c>
      <c r="E90" s="7" t="s">
        <v>45</v>
      </c>
      <c r="F90" s="6" t="s">
        <v>46</v>
      </c>
      <c r="G90" s="7" t="s">
        <v>466</v>
      </c>
      <c r="H90" s="7" t="s">
        <v>48</v>
      </c>
      <c r="I90" s="6" t="s">
        <v>166</v>
      </c>
      <c r="J90" s="7" t="s">
        <v>167</v>
      </c>
      <c r="K90" s="6" t="s">
        <v>26</v>
      </c>
      <c r="L90" s="7" t="s">
        <v>467</v>
      </c>
      <c r="M90" s="7" t="s">
        <v>6</v>
      </c>
      <c r="N90" s="9">
        <v>36753.0</v>
      </c>
    </row>
    <row r="91" ht="19.5" customHeight="1">
      <c r="A91" s="6" t="s">
        <v>468</v>
      </c>
      <c r="B91" s="7" t="s">
        <v>6</v>
      </c>
      <c r="C91" s="7" t="s">
        <v>469</v>
      </c>
      <c r="D91" s="7" t="s">
        <v>6</v>
      </c>
      <c r="E91" s="7" t="s">
        <v>45</v>
      </c>
      <c r="F91" s="6" t="s">
        <v>46</v>
      </c>
      <c r="G91" s="7" t="s">
        <v>470</v>
      </c>
      <c r="H91" s="7" t="s">
        <v>48</v>
      </c>
      <c r="I91" s="6" t="s">
        <v>121</v>
      </c>
      <c r="J91" s="7" t="s">
        <v>471</v>
      </c>
      <c r="K91" s="6" t="s">
        <v>26</v>
      </c>
      <c r="L91" s="7" t="s">
        <v>472</v>
      </c>
      <c r="M91" s="7" t="s">
        <v>473</v>
      </c>
      <c r="N91" s="9">
        <v>28899.0</v>
      </c>
    </row>
    <row r="92" ht="19.5" customHeight="1">
      <c r="A92" s="6" t="s">
        <v>474</v>
      </c>
      <c r="B92" s="7" t="s">
        <v>6</v>
      </c>
      <c r="C92" s="7" t="s">
        <v>475</v>
      </c>
      <c r="D92" s="7" t="s">
        <v>6</v>
      </c>
      <c r="E92" s="7" t="s">
        <v>45</v>
      </c>
      <c r="F92" s="6" t="s">
        <v>46</v>
      </c>
      <c r="G92" s="7" t="s">
        <v>47</v>
      </c>
      <c r="H92" s="7" t="s">
        <v>23</v>
      </c>
      <c r="I92" s="6" t="s">
        <v>145</v>
      </c>
      <c r="J92" s="7" t="s">
        <v>146</v>
      </c>
      <c r="K92" s="6" t="s">
        <v>26</v>
      </c>
      <c r="L92" s="7" t="s">
        <v>476</v>
      </c>
      <c r="M92" s="7" t="s">
        <v>477</v>
      </c>
      <c r="N92" s="9">
        <v>37463.0</v>
      </c>
    </row>
    <row r="93" ht="19.5" customHeight="1">
      <c r="A93" s="6" t="s">
        <v>478</v>
      </c>
      <c r="B93" s="7" t="s">
        <v>6</v>
      </c>
      <c r="C93" s="7" t="s">
        <v>479</v>
      </c>
      <c r="D93" s="7" t="s">
        <v>6</v>
      </c>
      <c r="E93" s="7" t="s">
        <v>45</v>
      </c>
      <c r="F93" s="6" t="s">
        <v>46</v>
      </c>
      <c r="G93" s="7" t="s">
        <v>47</v>
      </c>
      <c r="H93" s="7" t="s">
        <v>48</v>
      </c>
      <c r="I93" s="6" t="s">
        <v>131</v>
      </c>
      <c r="J93" s="7" t="s">
        <v>132</v>
      </c>
      <c r="K93" s="6" t="s">
        <v>26</v>
      </c>
      <c r="L93" s="7" t="s">
        <v>480</v>
      </c>
      <c r="M93" s="7" t="s">
        <v>481</v>
      </c>
      <c r="N93" s="9">
        <v>36297.0</v>
      </c>
    </row>
    <row r="94" ht="19.5" customHeight="1">
      <c r="A94" s="6" t="s">
        <v>482</v>
      </c>
      <c r="B94" s="7" t="s">
        <v>6</v>
      </c>
      <c r="C94" s="7" t="s">
        <v>483</v>
      </c>
      <c r="D94" s="7" t="s">
        <v>6</v>
      </c>
      <c r="E94" s="7" t="s">
        <v>45</v>
      </c>
      <c r="F94" s="6" t="s">
        <v>46</v>
      </c>
      <c r="G94" s="7" t="s">
        <v>47</v>
      </c>
      <c r="H94" s="7" t="s">
        <v>48</v>
      </c>
      <c r="I94" s="6" t="s">
        <v>193</v>
      </c>
      <c r="J94" s="7" t="s">
        <v>200</v>
      </c>
      <c r="K94" s="6" t="s">
        <v>26</v>
      </c>
      <c r="L94" s="7" t="s">
        <v>484</v>
      </c>
      <c r="M94" s="7" t="s">
        <v>485</v>
      </c>
      <c r="N94" s="9">
        <v>35180.0</v>
      </c>
    </row>
    <row r="95" ht="19.5" customHeight="1">
      <c r="A95" s="6" t="s">
        <v>486</v>
      </c>
      <c r="B95" s="7" t="s">
        <v>6</v>
      </c>
      <c r="C95" s="7" t="s">
        <v>487</v>
      </c>
      <c r="D95" s="7" t="s">
        <v>6</v>
      </c>
      <c r="E95" s="7" t="s">
        <v>45</v>
      </c>
      <c r="F95" s="6" t="s">
        <v>46</v>
      </c>
      <c r="G95" s="7" t="s">
        <v>488</v>
      </c>
      <c r="H95" s="7" t="s">
        <v>48</v>
      </c>
      <c r="I95" s="6" t="s">
        <v>135</v>
      </c>
      <c r="J95" s="7" t="s">
        <v>489</v>
      </c>
      <c r="K95" s="6" t="s">
        <v>26</v>
      </c>
      <c r="L95" s="7" t="s">
        <v>490</v>
      </c>
      <c r="M95" s="7" t="s">
        <v>491</v>
      </c>
      <c r="N95" s="9">
        <v>29826.0</v>
      </c>
    </row>
    <row r="96" ht="19.5" customHeight="1">
      <c r="A96" s="6" t="s">
        <v>492</v>
      </c>
      <c r="B96" s="7" t="s">
        <v>6</v>
      </c>
      <c r="C96" s="7" t="s">
        <v>493</v>
      </c>
      <c r="D96" s="7" t="s">
        <v>6</v>
      </c>
      <c r="E96" s="7" t="s">
        <v>45</v>
      </c>
      <c r="F96" s="6" t="s">
        <v>46</v>
      </c>
      <c r="G96" s="7" t="s">
        <v>47</v>
      </c>
      <c r="H96" s="7" t="s">
        <v>48</v>
      </c>
      <c r="I96" s="6" t="s">
        <v>32</v>
      </c>
      <c r="J96" s="7" t="s">
        <v>33</v>
      </c>
      <c r="K96" s="6" t="s">
        <v>26</v>
      </c>
      <c r="L96" s="7" t="s">
        <v>494</v>
      </c>
      <c r="M96" s="7" t="s">
        <v>495</v>
      </c>
      <c r="N96" s="9">
        <v>27934.0</v>
      </c>
    </row>
    <row r="97" ht="19.5" customHeight="1">
      <c r="A97" s="6" t="s">
        <v>496</v>
      </c>
      <c r="B97" s="7" t="s">
        <v>6</v>
      </c>
      <c r="C97" s="7" t="s">
        <v>497</v>
      </c>
      <c r="D97" s="7" t="s">
        <v>6</v>
      </c>
      <c r="E97" s="7" t="s">
        <v>45</v>
      </c>
      <c r="F97" s="6" t="s">
        <v>46</v>
      </c>
      <c r="G97" s="7" t="s">
        <v>470</v>
      </c>
      <c r="H97" s="7" t="s">
        <v>48</v>
      </c>
      <c r="I97" s="6" t="s">
        <v>184</v>
      </c>
      <c r="J97" s="7" t="s">
        <v>439</v>
      </c>
      <c r="K97" s="6" t="s">
        <v>26</v>
      </c>
      <c r="L97" s="7" t="s">
        <v>498</v>
      </c>
      <c r="M97" s="7" t="s">
        <v>499</v>
      </c>
      <c r="N97" s="9">
        <v>34493.0</v>
      </c>
    </row>
    <row r="98" ht="19.5" customHeight="1">
      <c r="A98" s="6" t="s">
        <v>500</v>
      </c>
      <c r="B98" s="7" t="s">
        <v>6</v>
      </c>
      <c r="C98" s="7" t="s">
        <v>501</v>
      </c>
      <c r="D98" s="7" t="s">
        <v>6</v>
      </c>
      <c r="E98" s="7" t="s">
        <v>45</v>
      </c>
      <c r="F98" s="6" t="s">
        <v>46</v>
      </c>
      <c r="G98" s="7" t="s">
        <v>502</v>
      </c>
      <c r="H98" s="7" t="s">
        <v>48</v>
      </c>
      <c r="I98" s="6" t="s">
        <v>131</v>
      </c>
      <c r="J98" s="7" t="s">
        <v>132</v>
      </c>
      <c r="K98" s="6" t="s">
        <v>26</v>
      </c>
      <c r="L98" s="7" t="s">
        <v>503</v>
      </c>
      <c r="M98" s="7" t="s">
        <v>504</v>
      </c>
      <c r="N98" s="9">
        <v>36177.0</v>
      </c>
    </row>
    <row r="99" ht="19.5" customHeight="1">
      <c r="A99" s="6" t="s">
        <v>506</v>
      </c>
      <c r="B99" s="7" t="s">
        <v>6</v>
      </c>
      <c r="C99" s="7" t="s">
        <v>507</v>
      </c>
      <c r="D99" s="7" t="s">
        <v>6</v>
      </c>
      <c r="E99" s="7" t="s">
        <v>45</v>
      </c>
      <c r="F99" s="6" t="s">
        <v>46</v>
      </c>
      <c r="G99" s="7" t="s">
        <v>508</v>
      </c>
      <c r="H99" s="7" t="s">
        <v>48</v>
      </c>
      <c r="I99" s="6" t="s">
        <v>67</v>
      </c>
      <c r="J99" s="7" t="s">
        <v>68</v>
      </c>
      <c r="K99" s="6" t="s">
        <v>26</v>
      </c>
      <c r="L99" s="7" t="s">
        <v>509</v>
      </c>
      <c r="M99" s="7" t="s">
        <v>510</v>
      </c>
      <c r="N99" s="9">
        <v>37622.0</v>
      </c>
    </row>
    <row r="100" ht="19.5" customHeight="1">
      <c r="A100" s="6" t="s">
        <v>511</v>
      </c>
      <c r="B100" s="7" t="s">
        <v>6</v>
      </c>
      <c r="C100" s="7" t="s">
        <v>512</v>
      </c>
      <c r="D100" s="7" t="s">
        <v>6</v>
      </c>
      <c r="E100" s="7" t="s">
        <v>45</v>
      </c>
      <c r="F100" s="6" t="s">
        <v>46</v>
      </c>
      <c r="G100" s="7" t="s">
        <v>47</v>
      </c>
      <c r="H100" s="7" t="s">
        <v>48</v>
      </c>
      <c r="I100" s="6" t="s">
        <v>49</v>
      </c>
      <c r="J100" s="7" t="s">
        <v>50</v>
      </c>
      <c r="K100" s="6" t="s">
        <v>26</v>
      </c>
      <c r="L100" s="7" t="s">
        <v>513</v>
      </c>
      <c r="M100" s="7" t="s">
        <v>514</v>
      </c>
      <c r="N100" s="9">
        <v>37122.0</v>
      </c>
    </row>
    <row r="101" ht="19.5" customHeight="1">
      <c r="A101" s="6" t="s">
        <v>515</v>
      </c>
      <c r="B101" s="7" t="s">
        <v>6</v>
      </c>
      <c r="C101" s="7" t="s">
        <v>516</v>
      </c>
      <c r="D101" s="7" t="s">
        <v>6</v>
      </c>
      <c r="E101" s="7" t="s">
        <v>45</v>
      </c>
      <c r="F101" s="6" t="s">
        <v>46</v>
      </c>
      <c r="G101" s="7" t="s">
        <v>47</v>
      </c>
      <c r="H101" s="7" t="s">
        <v>48</v>
      </c>
      <c r="I101" s="6" t="s">
        <v>49</v>
      </c>
      <c r="J101" s="7" t="s">
        <v>50</v>
      </c>
      <c r="K101" s="6" t="s">
        <v>26</v>
      </c>
      <c r="L101" s="7" t="s">
        <v>517</v>
      </c>
      <c r="M101" s="7" t="s">
        <v>518</v>
      </c>
      <c r="N101" s="9">
        <v>36951.0</v>
      </c>
    </row>
    <row r="102" ht="19.5" customHeight="1">
      <c r="A102" s="6" t="s">
        <v>519</v>
      </c>
      <c r="B102" s="7" t="s">
        <v>6</v>
      </c>
      <c r="C102" s="7" t="s">
        <v>520</v>
      </c>
      <c r="D102" s="7" t="s">
        <v>6</v>
      </c>
      <c r="E102" s="7" t="s">
        <v>45</v>
      </c>
      <c r="F102" s="6" t="s">
        <v>46</v>
      </c>
      <c r="G102" s="7" t="s">
        <v>47</v>
      </c>
      <c r="H102" s="7" t="s">
        <v>48</v>
      </c>
      <c r="I102" s="6" t="s">
        <v>193</v>
      </c>
      <c r="J102" s="7" t="s">
        <v>200</v>
      </c>
      <c r="K102" s="6" t="s">
        <v>26</v>
      </c>
      <c r="L102" s="7" t="s">
        <v>521</v>
      </c>
      <c r="M102" s="7" t="s">
        <v>522</v>
      </c>
      <c r="N102" s="9">
        <v>35072.0</v>
      </c>
    </row>
    <row r="103" ht="19.5" customHeight="1">
      <c r="A103" s="6" t="s">
        <v>523</v>
      </c>
      <c r="B103" s="7" t="s">
        <v>6</v>
      </c>
      <c r="C103" s="7" t="s">
        <v>524</v>
      </c>
      <c r="D103" s="7" t="s">
        <v>6</v>
      </c>
      <c r="E103" s="7" t="s">
        <v>45</v>
      </c>
      <c r="F103" s="6" t="s">
        <v>46</v>
      </c>
      <c r="G103" s="7" t="s">
        <v>47</v>
      </c>
      <c r="H103" s="7" t="s">
        <v>48</v>
      </c>
      <c r="I103" s="6" t="s">
        <v>184</v>
      </c>
      <c r="J103" s="7" t="s">
        <v>439</v>
      </c>
      <c r="K103" s="6" t="s">
        <v>81</v>
      </c>
      <c r="L103" s="7" t="s">
        <v>525</v>
      </c>
      <c r="M103" s="7" t="s">
        <v>526</v>
      </c>
      <c r="N103" s="9">
        <v>34288.0</v>
      </c>
    </row>
    <row r="104" ht="19.5" customHeight="1">
      <c r="A104" s="6" t="s">
        <v>527</v>
      </c>
      <c r="B104" s="7" t="s">
        <v>6</v>
      </c>
      <c r="C104" s="7" t="s">
        <v>528</v>
      </c>
      <c r="D104" s="7" t="s">
        <v>6</v>
      </c>
      <c r="E104" s="7" t="s">
        <v>45</v>
      </c>
      <c r="F104" s="6" t="s">
        <v>46</v>
      </c>
      <c r="G104" s="7" t="s">
        <v>47</v>
      </c>
      <c r="H104" s="7" t="s">
        <v>48</v>
      </c>
      <c r="I104" s="6" t="s">
        <v>198</v>
      </c>
      <c r="J104" s="7" t="s">
        <v>337</v>
      </c>
      <c r="K104" s="6" t="s">
        <v>26</v>
      </c>
      <c r="L104" s="7" t="s">
        <v>530</v>
      </c>
      <c r="M104" s="7" t="s">
        <v>531</v>
      </c>
      <c r="N104" s="9">
        <v>35565.0</v>
      </c>
    </row>
    <row r="105" ht="19.5" customHeight="1">
      <c r="A105" s="6" t="s">
        <v>532</v>
      </c>
      <c r="B105" s="7" t="s">
        <v>6</v>
      </c>
      <c r="C105" s="7" t="s">
        <v>533</v>
      </c>
      <c r="D105" s="7" t="s">
        <v>6</v>
      </c>
      <c r="E105" s="7" t="s">
        <v>45</v>
      </c>
      <c r="F105" s="6" t="s">
        <v>46</v>
      </c>
      <c r="G105" s="7" t="s">
        <v>47</v>
      </c>
      <c r="H105" s="7" t="s">
        <v>48</v>
      </c>
      <c r="I105" s="6" t="s">
        <v>166</v>
      </c>
      <c r="J105" s="7" t="s">
        <v>167</v>
      </c>
      <c r="K105" s="6" t="s">
        <v>26</v>
      </c>
      <c r="L105" s="7" t="s">
        <v>534</v>
      </c>
      <c r="M105" s="7" t="s">
        <v>535</v>
      </c>
      <c r="N105" s="9">
        <v>36692.0</v>
      </c>
    </row>
    <row r="106" ht="19.5" customHeight="1">
      <c r="A106" s="6" t="s">
        <v>537</v>
      </c>
      <c r="B106" s="7" t="s">
        <v>6</v>
      </c>
      <c r="C106" s="7" t="s">
        <v>538</v>
      </c>
      <c r="D106" s="7" t="s">
        <v>6</v>
      </c>
      <c r="E106" s="7" t="s">
        <v>45</v>
      </c>
      <c r="F106" s="6" t="s">
        <v>46</v>
      </c>
      <c r="G106" s="7" t="s">
        <v>47</v>
      </c>
      <c r="H106" s="7" t="s">
        <v>48</v>
      </c>
      <c r="I106" s="6" t="s">
        <v>166</v>
      </c>
      <c r="J106" s="7" t="s">
        <v>167</v>
      </c>
      <c r="K106" s="6" t="s">
        <v>81</v>
      </c>
      <c r="L106" s="7" t="s">
        <v>539</v>
      </c>
      <c r="M106" s="7" t="s">
        <v>540</v>
      </c>
      <c r="N106" s="9">
        <v>36475.0</v>
      </c>
    </row>
    <row r="107" ht="19.5" customHeight="1">
      <c r="A107" s="6" t="s">
        <v>542</v>
      </c>
      <c r="B107" s="7" t="s">
        <v>6</v>
      </c>
      <c r="C107" s="7" t="s">
        <v>543</v>
      </c>
      <c r="D107" s="7" t="s">
        <v>6</v>
      </c>
      <c r="E107" s="7" t="s">
        <v>45</v>
      </c>
      <c r="F107" s="6" t="s">
        <v>46</v>
      </c>
      <c r="G107" s="7" t="s">
        <v>47</v>
      </c>
      <c r="H107" s="7" t="s">
        <v>48</v>
      </c>
      <c r="I107" s="6" t="s">
        <v>166</v>
      </c>
      <c r="J107" s="7" t="s">
        <v>167</v>
      </c>
      <c r="K107" s="6" t="s">
        <v>26</v>
      </c>
      <c r="L107" s="7" t="s">
        <v>544</v>
      </c>
      <c r="M107" s="7" t="s">
        <v>545</v>
      </c>
      <c r="N107" s="9">
        <v>36672.0</v>
      </c>
    </row>
    <row r="108" ht="19.5" customHeight="1">
      <c r="A108" s="6" t="s">
        <v>546</v>
      </c>
      <c r="B108" s="7" t="s">
        <v>6</v>
      </c>
      <c r="C108" s="7" t="s">
        <v>547</v>
      </c>
      <c r="D108" s="7" t="s">
        <v>6</v>
      </c>
      <c r="E108" s="7" t="s">
        <v>45</v>
      </c>
      <c r="F108" s="6" t="s">
        <v>46</v>
      </c>
      <c r="G108" s="7" t="s">
        <v>548</v>
      </c>
      <c r="H108" s="7" t="s">
        <v>48</v>
      </c>
      <c r="I108" s="6" t="s">
        <v>105</v>
      </c>
      <c r="J108" s="7" t="s">
        <v>106</v>
      </c>
      <c r="K108" s="6" t="s">
        <v>81</v>
      </c>
      <c r="L108" s="7" t="s">
        <v>550</v>
      </c>
      <c r="M108" s="7" t="s">
        <v>551</v>
      </c>
      <c r="N108" s="9">
        <v>38682.0</v>
      </c>
    </row>
    <row r="109" ht="19.5" customHeight="1">
      <c r="A109" s="6" t="s">
        <v>552</v>
      </c>
      <c r="B109" s="7" t="s">
        <v>6</v>
      </c>
      <c r="C109" s="7" t="s">
        <v>553</v>
      </c>
      <c r="D109" s="7" t="s">
        <v>6</v>
      </c>
      <c r="E109" s="7" t="s">
        <v>45</v>
      </c>
      <c r="F109" s="6" t="s">
        <v>46</v>
      </c>
      <c r="G109" s="7" t="s">
        <v>47</v>
      </c>
      <c r="H109" s="7" t="s">
        <v>48</v>
      </c>
      <c r="I109" s="6" t="s">
        <v>55</v>
      </c>
      <c r="J109" s="7" t="s">
        <v>56</v>
      </c>
      <c r="K109" s="6" t="s">
        <v>81</v>
      </c>
      <c r="L109" s="7" t="s">
        <v>555</v>
      </c>
      <c r="M109" s="7" t="s">
        <v>556</v>
      </c>
      <c r="N109" s="9">
        <v>39055.0</v>
      </c>
    </row>
    <row r="110" ht="19.5" customHeight="1">
      <c r="A110" s="6" t="s">
        <v>558</v>
      </c>
      <c r="B110" s="7" t="s">
        <v>6</v>
      </c>
      <c r="C110" s="7" t="s">
        <v>560</v>
      </c>
      <c r="D110" s="7" t="s">
        <v>6</v>
      </c>
      <c r="E110" s="7" t="s">
        <v>45</v>
      </c>
      <c r="F110" s="6" t="s">
        <v>46</v>
      </c>
      <c r="G110" s="7" t="s">
        <v>47</v>
      </c>
      <c r="H110" s="7" t="s">
        <v>48</v>
      </c>
      <c r="I110" s="6" t="s">
        <v>105</v>
      </c>
      <c r="J110" s="7" t="s">
        <v>106</v>
      </c>
      <c r="K110" s="6" t="s">
        <v>26</v>
      </c>
      <c r="L110" s="7" t="s">
        <v>561</v>
      </c>
      <c r="M110" s="7" t="s">
        <v>562</v>
      </c>
      <c r="N110" s="9">
        <v>38733.0</v>
      </c>
    </row>
    <row r="111" ht="19.5" customHeight="1">
      <c r="A111" s="6" t="s">
        <v>563</v>
      </c>
      <c r="B111" s="7" t="s">
        <v>6</v>
      </c>
      <c r="C111" s="7" t="s">
        <v>564</v>
      </c>
      <c r="D111" s="7" t="s">
        <v>6</v>
      </c>
      <c r="E111" s="7" t="s">
        <v>45</v>
      </c>
      <c r="F111" s="6" t="s">
        <v>46</v>
      </c>
      <c r="G111" s="7" t="s">
        <v>47</v>
      </c>
      <c r="H111" s="7" t="s">
        <v>48</v>
      </c>
      <c r="I111" s="6" t="s">
        <v>67</v>
      </c>
      <c r="J111" s="7" t="s">
        <v>68</v>
      </c>
      <c r="K111" s="6" t="s">
        <v>26</v>
      </c>
      <c r="L111" s="7" t="s">
        <v>565</v>
      </c>
      <c r="M111" s="7" t="s">
        <v>566</v>
      </c>
      <c r="N111" s="9">
        <v>37842.0</v>
      </c>
    </row>
    <row r="112" ht="19.5" customHeight="1">
      <c r="A112" s="6" t="s">
        <v>567</v>
      </c>
      <c r="B112" s="7" t="s">
        <v>6</v>
      </c>
      <c r="C112" s="7" t="s">
        <v>568</v>
      </c>
      <c r="D112" s="7" t="s">
        <v>6</v>
      </c>
      <c r="E112" s="7" t="s">
        <v>45</v>
      </c>
      <c r="F112" s="6" t="s">
        <v>46</v>
      </c>
      <c r="G112" s="7" t="s">
        <v>47</v>
      </c>
      <c r="H112" s="7" t="s">
        <v>23</v>
      </c>
      <c r="I112" s="6" t="s">
        <v>55</v>
      </c>
      <c r="J112" s="7" t="s">
        <v>56</v>
      </c>
      <c r="K112" s="6" t="s">
        <v>26</v>
      </c>
      <c r="L112" s="7" t="s">
        <v>570</v>
      </c>
      <c r="M112" s="7" t="s">
        <v>571</v>
      </c>
      <c r="N112" s="9">
        <v>39200.0</v>
      </c>
    </row>
    <row r="113" ht="19.5" customHeight="1">
      <c r="A113" s="6" t="s">
        <v>572</v>
      </c>
      <c r="B113" s="7" t="s">
        <v>6</v>
      </c>
      <c r="C113" s="7" t="s">
        <v>573</v>
      </c>
      <c r="D113" s="7" t="s">
        <v>6</v>
      </c>
      <c r="E113" s="7" t="s">
        <v>45</v>
      </c>
      <c r="F113" s="6" t="s">
        <v>46</v>
      </c>
      <c r="G113" s="7" t="s">
        <v>47</v>
      </c>
      <c r="H113" s="7" t="s">
        <v>48</v>
      </c>
      <c r="I113" s="6" t="s">
        <v>105</v>
      </c>
      <c r="J113" s="7" t="s">
        <v>106</v>
      </c>
      <c r="K113" s="6" t="s">
        <v>26</v>
      </c>
      <c r="L113" s="7" t="s">
        <v>574</v>
      </c>
      <c r="M113" s="7" t="s">
        <v>575</v>
      </c>
      <c r="N113" s="9">
        <v>38926.0</v>
      </c>
    </row>
    <row r="114" ht="19.5" customHeight="1">
      <c r="A114" s="6" t="s">
        <v>576</v>
      </c>
      <c r="B114" s="7" t="s">
        <v>6</v>
      </c>
      <c r="C114" s="7" t="s">
        <v>577</v>
      </c>
      <c r="D114" s="7" t="s">
        <v>6</v>
      </c>
      <c r="E114" s="7" t="s">
        <v>45</v>
      </c>
      <c r="F114" s="6" t="s">
        <v>46</v>
      </c>
      <c r="G114" s="7" t="s">
        <v>47</v>
      </c>
      <c r="H114" s="7" t="s">
        <v>48</v>
      </c>
      <c r="I114" s="6" t="s">
        <v>189</v>
      </c>
      <c r="J114" s="7" t="s">
        <v>210</v>
      </c>
      <c r="K114" s="6" t="s">
        <v>26</v>
      </c>
      <c r="L114" s="7" t="s">
        <v>580</v>
      </c>
      <c r="M114" s="7" t="s">
        <v>581</v>
      </c>
      <c r="N114" s="9">
        <v>34737.0</v>
      </c>
    </row>
    <row r="115" ht="19.5" customHeight="1">
      <c r="A115" s="6" t="s">
        <v>582</v>
      </c>
      <c r="B115" s="7" t="s">
        <v>6</v>
      </c>
      <c r="C115" s="7" t="s">
        <v>584</v>
      </c>
      <c r="D115" s="7" t="s">
        <v>6</v>
      </c>
      <c r="E115" s="7" t="s">
        <v>45</v>
      </c>
      <c r="F115" s="6" t="s">
        <v>46</v>
      </c>
      <c r="G115" s="7" t="s">
        <v>47</v>
      </c>
      <c r="H115" s="7" t="s">
        <v>48</v>
      </c>
      <c r="I115" s="6" t="s">
        <v>145</v>
      </c>
      <c r="J115" s="7" t="s">
        <v>146</v>
      </c>
      <c r="K115" s="6" t="s">
        <v>26</v>
      </c>
      <c r="L115" s="7" t="s">
        <v>585</v>
      </c>
      <c r="M115" s="7" t="s">
        <v>586</v>
      </c>
      <c r="N115" s="9">
        <v>37258.0</v>
      </c>
    </row>
    <row r="116" ht="19.5" customHeight="1">
      <c r="A116" s="6" t="s">
        <v>588</v>
      </c>
      <c r="B116" s="7" t="s">
        <v>6</v>
      </c>
      <c r="C116" s="7" t="s">
        <v>589</v>
      </c>
      <c r="D116" s="7" t="s">
        <v>6</v>
      </c>
      <c r="E116" s="7" t="s">
        <v>45</v>
      </c>
      <c r="F116" s="6" t="s">
        <v>46</v>
      </c>
      <c r="G116" s="7" t="s">
        <v>47</v>
      </c>
      <c r="H116" s="7" t="s">
        <v>48</v>
      </c>
      <c r="I116" s="6" t="s">
        <v>320</v>
      </c>
      <c r="J116" s="7" t="s">
        <v>590</v>
      </c>
      <c r="K116" s="6" t="s">
        <v>26</v>
      </c>
      <c r="L116" s="7" t="s">
        <v>591</v>
      </c>
      <c r="M116" s="7" t="s">
        <v>592</v>
      </c>
      <c r="N116" s="9">
        <v>45762.0</v>
      </c>
    </row>
    <row r="117" ht="19.5" customHeight="1">
      <c r="A117" s="6" t="s">
        <v>593</v>
      </c>
      <c r="B117" s="7" t="s">
        <v>6</v>
      </c>
      <c r="C117" s="7" t="s">
        <v>594</v>
      </c>
      <c r="D117" s="7" t="s">
        <v>6</v>
      </c>
      <c r="E117" s="7" t="s">
        <v>45</v>
      </c>
      <c r="F117" s="6" t="s">
        <v>46</v>
      </c>
      <c r="G117" s="7" t="s">
        <v>47</v>
      </c>
      <c r="H117" s="7" t="s">
        <v>48</v>
      </c>
      <c r="I117" s="6" t="s">
        <v>131</v>
      </c>
      <c r="J117" s="7" t="s">
        <v>132</v>
      </c>
      <c r="K117" s="6" t="s">
        <v>26</v>
      </c>
      <c r="L117" s="7" t="s">
        <v>596</v>
      </c>
      <c r="M117" s="7" t="s">
        <v>597</v>
      </c>
      <c r="N117" s="9">
        <v>36210.0</v>
      </c>
    </row>
    <row r="118" ht="19.5" customHeight="1">
      <c r="A118" s="6" t="s">
        <v>598</v>
      </c>
      <c r="B118" s="7" t="s">
        <v>6</v>
      </c>
      <c r="C118" s="7" t="s">
        <v>599</v>
      </c>
      <c r="D118" s="7" t="s">
        <v>6</v>
      </c>
      <c r="E118" s="7" t="s">
        <v>45</v>
      </c>
      <c r="F118" s="6" t="s">
        <v>46</v>
      </c>
      <c r="G118" s="7" t="s">
        <v>342</v>
      </c>
      <c r="H118" s="7" t="s">
        <v>48</v>
      </c>
      <c r="I118" s="6" t="s">
        <v>131</v>
      </c>
      <c r="J118" s="7" t="s">
        <v>132</v>
      </c>
      <c r="K118" s="6" t="s">
        <v>26</v>
      </c>
      <c r="L118" s="7" t="s">
        <v>600</v>
      </c>
      <c r="M118" s="7" t="s">
        <v>601</v>
      </c>
      <c r="N118" s="9">
        <v>36263.0</v>
      </c>
    </row>
    <row r="119" ht="19.5" customHeight="1">
      <c r="A119" s="6" t="s">
        <v>602</v>
      </c>
      <c r="B119" s="7" t="s">
        <v>6</v>
      </c>
      <c r="C119" s="7" t="s">
        <v>603</v>
      </c>
      <c r="D119" s="7" t="s">
        <v>6</v>
      </c>
      <c r="E119" s="7" t="s">
        <v>45</v>
      </c>
      <c r="F119" s="6" t="s">
        <v>46</v>
      </c>
      <c r="G119" s="7" t="s">
        <v>604</v>
      </c>
      <c r="H119" s="7" t="s">
        <v>48</v>
      </c>
      <c r="I119" s="6" t="s">
        <v>198</v>
      </c>
      <c r="J119" s="7" t="s">
        <v>337</v>
      </c>
      <c r="K119" s="6" t="s">
        <v>81</v>
      </c>
      <c r="L119" s="7" t="s">
        <v>606</v>
      </c>
      <c r="M119" s="7" t="s">
        <v>607</v>
      </c>
      <c r="N119" s="9">
        <v>35401.0</v>
      </c>
    </row>
    <row r="120" ht="19.5" customHeight="1">
      <c r="A120" s="6" t="s">
        <v>608</v>
      </c>
      <c r="B120" s="7" t="s">
        <v>6</v>
      </c>
      <c r="C120" s="7" t="s">
        <v>609</v>
      </c>
      <c r="D120" s="7" t="s">
        <v>6</v>
      </c>
      <c r="E120" s="7" t="s">
        <v>45</v>
      </c>
      <c r="F120" s="6" t="s">
        <v>46</v>
      </c>
      <c r="G120" s="7" t="s">
        <v>610</v>
      </c>
      <c r="H120" s="7" t="s">
        <v>48</v>
      </c>
      <c r="I120" s="6" t="s">
        <v>105</v>
      </c>
      <c r="J120" s="7" t="s">
        <v>106</v>
      </c>
      <c r="K120" s="6" t="s">
        <v>26</v>
      </c>
      <c r="L120" s="7" t="s">
        <v>611</v>
      </c>
      <c r="M120" s="7" t="s">
        <v>612</v>
      </c>
      <c r="N120" s="9">
        <v>38858.0</v>
      </c>
    </row>
    <row r="121" ht="19.5" customHeight="1">
      <c r="A121" s="6" t="s">
        <v>613</v>
      </c>
      <c r="B121" s="7" t="s">
        <v>6</v>
      </c>
      <c r="C121" s="7" t="s">
        <v>614</v>
      </c>
      <c r="D121" s="7" t="s">
        <v>6</v>
      </c>
      <c r="E121" s="7" t="s">
        <v>45</v>
      </c>
      <c r="F121" s="6" t="s">
        <v>46</v>
      </c>
      <c r="G121" s="7" t="s">
        <v>47</v>
      </c>
      <c r="H121" s="7" t="s">
        <v>48</v>
      </c>
      <c r="I121" s="6" t="s">
        <v>166</v>
      </c>
      <c r="J121" s="7" t="s">
        <v>167</v>
      </c>
      <c r="K121" s="6" t="s">
        <v>81</v>
      </c>
      <c r="L121" s="7" t="s">
        <v>616</v>
      </c>
      <c r="M121" s="7" t="s">
        <v>617</v>
      </c>
      <c r="N121" s="9">
        <v>36461.0</v>
      </c>
    </row>
    <row r="122" ht="19.5" customHeight="1">
      <c r="A122" s="6" t="s">
        <v>618</v>
      </c>
      <c r="B122" s="7" t="s">
        <v>6</v>
      </c>
      <c r="C122" s="7" t="s">
        <v>619</v>
      </c>
      <c r="D122" s="7" t="s">
        <v>6</v>
      </c>
      <c r="E122" s="7" t="s">
        <v>45</v>
      </c>
      <c r="F122" s="6" t="s">
        <v>46</v>
      </c>
      <c r="G122" s="7" t="s">
        <v>47</v>
      </c>
      <c r="H122" s="7" t="s">
        <v>48</v>
      </c>
      <c r="I122" s="6" t="s">
        <v>320</v>
      </c>
      <c r="J122" s="7" t="s">
        <v>590</v>
      </c>
      <c r="K122" s="6" t="s">
        <v>26</v>
      </c>
      <c r="L122" s="7" t="s">
        <v>620</v>
      </c>
      <c r="M122" s="7" t="s">
        <v>621</v>
      </c>
      <c r="N122" s="9">
        <v>45739.0</v>
      </c>
    </row>
    <row r="123" ht="19.5" customHeight="1">
      <c r="A123" s="6" t="s">
        <v>622</v>
      </c>
      <c r="B123" s="7" t="s">
        <v>6</v>
      </c>
      <c r="C123" s="7" t="s">
        <v>623</v>
      </c>
      <c r="D123" s="7" t="s">
        <v>6</v>
      </c>
      <c r="E123" s="7" t="s">
        <v>45</v>
      </c>
      <c r="F123" s="6" t="s">
        <v>46</v>
      </c>
      <c r="G123" s="7" t="s">
        <v>625</v>
      </c>
      <c r="H123" s="7" t="s">
        <v>48</v>
      </c>
      <c r="I123" s="6" t="s">
        <v>67</v>
      </c>
      <c r="J123" s="7" t="s">
        <v>68</v>
      </c>
      <c r="K123" s="6" t="s">
        <v>81</v>
      </c>
      <c r="L123" s="7" t="s">
        <v>626</v>
      </c>
      <c r="M123" s="7" t="s">
        <v>627</v>
      </c>
      <c r="N123" s="9">
        <v>37530.0</v>
      </c>
    </row>
    <row r="124" ht="19.5" customHeight="1">
      <c r="A124" s="6" t="s">
        <v>628</v>
      </c>
      <c r="B124" s="7" t="s">
        <v>6</v>
      </c>
      <c r="C124" s="7" t="s">
        <v>629</v>
      </c>
      <c r="D124" s="7" t="s">
        <v>6</v>
      </c>
      <c r="E124" s="7" t="s">
        <v>45</v>
      </c>
      <c r="F124" s="6" t="s">
        <v>46</v>
      </c>
      <c r="G124" s="7" t="s">
        <v>630</v>
      </c>
      <c r="H124" s="7" t="s">
        <v>23</v>
      </c>
      <c r="I124" s="6" t="s">
        <v>67</v>
      </c>
      <c r="J124" s="7" t="s">
        <v>68</v>
      </c>
      <c r="K124" s="6" t="s">
        <v>26</v>
      </c>
      <c r="L124" s="7" t="s">
        <v>631</v>
      </c>
      <c r="M124" s="7" t="s">
        <v>632</v>
      </c>
      <c r="N124" s="9">
        <v>37629.0</v>
      </c>
    </row>
    <row r="125" ht="19.5" customHeight="1">
      <c r="A125" s="6" t="s">
        <v>633</v>
      </c>
      <c r="B125" s="7" t="s">
        <v>6</v>
      </c>
      <c r="C125" s="7" t="s">
        <v>623</v>
      </c>
      <c r="D125" s="7" t="s">
        <v>6</v>
      </c>
      <c r="E125" s="7" t="s">
        <v>45</v>
      </c>
      <c r="F125" s="6" t="s">
        <v>46</v>
      </c>
      <c r="G125" s="7" t="s">
        <v>634</v>
      </c>
      <c r="H125" s="7" t="s">
        <v>48</v>
      </c>
      <c r="I125" s="6" t="s">
        <v>67</v>
      </c>
      <c r="J125" s="7" t="s">
        <v>68</v>
      </c>
      <c r="K125" s="6" t="s">
        <v>81</v>
      </c>
      <c r="L125" s="7" t="s">
        <v>635</v>
      </c>
      <c r="M125" s="7" t="s">
        <v>627</v>
      </c>
      <c r="N125" s="9">
        <v>37530.0</v>
      </c>
    </row>
    <row r="126" ht="19.5" customHeight="1">
      <c r="A126" s="6" t="s">
        <v>637</v>
      </c>
      <c r="B126" s="7" t="s">
        <v>6</v>
      </c>
      <c r="C126" s="7" t="s">
        <v>638</v>
      </c>
      <c r="D126" s="7" t="s">
        <v>6</v>
      </c>
      <c r="E126" s="7" t="s">
        <v>45</v>
      </c>
      <c r="F126" s="6" t="s">
        <v>46</v>
      </c>
      <c r="G126" s="7" t="s">
        <v>264</v>
      </c>
      <c r="H126" s="7" t="s">
        <v>48</v>
      </c>
      <c r="I126" s="6" t="s">
        <v>145</v>
      </c>
      <c r="J126" s="7" t="s">
        <v>146</v>
      </c>
      <c r="K126" s="6" t="s">
        <v>81</v>
      </c>
      <c r="L126" s="7" t="s">
        <v>639</v>
      </c>
      <c r="M126" s="7" t="s">
        <v>640</v>
      </c>
      <c r="N126" s="9">
        <v>37215.0</v>
      </c>
    </row>
    <row r="127" ht="19.5" customHeight="1">
      <c r="A127" s="6" t="s">
        <v>641</v>
      </c>
      <c r="B127" s="7" t="s">
        <v>6</v>
      </c>
      <c r="C127" s="7" t="s">
        <v>642</v>
      </c>
      <c r="D127" s="7" t="s">
        <v>6</v>
      </c>
      <c r="E127" s="7" t="s">
        <v>45</v>
      </c>
      <c r="F127" s="6" t="s">
        <v>46</v>
      </c>
      <c r="G127" s="7" t="s">
        <v>47</v>
      </c>
      <c r="H127" s="7" t="s">
        <v>48</v>
      </c>
      <c r="I127" s="6" t="s">
        <v>145</v>
      </c>
      <c r="J127" s="7" t="s">
        <v>146</v>
      </c>
      <c r="K127" s="6" t="s">
        <v>81</v>
      </c>
      <c r="L127" s="7" t="s">
        <v>643</v>
      </c>
      <c r="M127" s="7" t="s">
        <v>644</v>
      </c>
      <c r="N127" s="9">
        <v>37174.0</v>
      </c>
    </row>
    <row r="128" ht="19.5" customHeight="1">
      <c r="A128" s="6" t="s">
        <v>645</v>
      </c>
      <c r="B128" s="7" t="s">
        <v>6</v>
      </c>
      <c r="C128" s="7" t="s">
        <v>646</v>
      </c>
      <c r="D128" s="7" t="s">
        <v>6</v>
      </c>
      <c r="E128" s="7" t="s">
        <v>45</v>
      </c>
      <c r="F128" s="6" t="s">
        <v>46</v>
      </c>
      <c r="G128" s="7" t="s">
        <v>648</v>
      </c>
      <c r="H128" s="7" t="s">
        <v>48</v>
      </c>
      <c r="I128" s="6" t="s">
        <v>24</v>
      </c>
      <c r="J128" s="7" t="s">
        <v>25</v>
      </c>
      <c r="K128" s="6" t="s">
        <v>26</v>
      </c>
      <c r="L128" s="7" t="s">
        <v>649</v>
      </c>
      <c r="M128" s="7" t="s">
        <v>650</v>
      </c>
      <c r="N128" s="9">
        <v>33973.0</v>
      </c>
    </row>
    <row r="129" ht="19.5" customHeight="1">
      <c r="A129" s="6" t="s">
        <v>651</v>
      </c>
      <c r="B129" s="7" t="s">
        <v>6</v>
      </c>
      <c r="C129" s="7" t="s">
        <v>652</v>
      </c>
      <c r="D129" s="7" t="s">
        <v>6</v>
      </c>
      <c r="E129" s="7" t="s">
        <v>45</v>
      </c>
      <c r="F129" s="6" t="s">
        <v>46</v>
      </c>
      <c r="G129" s="7" t="s">
        <v>653</v>
      </c>
      <c r="H129" s="7" t="s">
        <v>48</v>
      </c>
      <c r="I129" s="6" t="s">
        <v>67</v>
      </c>
      <c r="J129" s="7" t="s">
        <v>68</v>
      </c>
      <c r="K129" s="6" t="s">
        <v>81</v>
      </c>
      <c r="L129" s="7" t="s">
        <v>654</v>
      </c>
      <c r="M129" s="7" t="s">
        <v>655</v>
      </c>
      <c r="N129" s="9">
        <v>37539.0</v>
      </c>
    </row>
    <row r="130" ht="19.5" customHeight="1">
      <c r="A130" s="6" t="s">
        <v>656</v>
      </c>
      <c r="B130" s="7" t="s">
        <v>6</v>
      </c>
      <c r="C130" s="7" t="s">
        <v>657</v>
      </c>
      <c r="D130" s="7" t="s">
        <v>6</v>
      </c>
      <c r="E130" s="7" t="s">
        <v>45</v>
      </c>
      <c r="F130" s="6" t="s">
        <v>46</v>
      </c>
      <c r="G130" s="7" t="s">
        <v>658</v>
      </c>
      <c r="H130" s="7" t="s">
        <v>48</v>
      </c>
      <c r="I130" s="6" t="s">
        <v>105</v>
      </c>
      <c r="J130" s="7" t="s">
        <v>106</v>
      </c>
      <c r="K130" s="6" t="s">
        <v>81</v>
      </c>
      <c r="L130" s="7" t="s">
        <v>659</v>
      </c>
      <c r="M130" s="7" t="s">
        <v>660</v>
      </c>
      <c r="N130" s="9">
        <v>38634.0</v>
      </c>
    </row>
    <row r="131" ht="19.5" customHeight="1">
      <c r="A131" s="6" t="s">
        <v>661</v>
      </c>
      <c r="B131" s="7" t="s">
        <v>6</v>
      </c>
      <c r="C131" s="7" t="s">
        <v>662</v>
      </c>
      <c r="D131" s="7" t="s">
        <v>6</v>
      </c>
      <c r="E131" s="7" t="s">
        <v>45</v>
      </c>
      <c r="F131" s="6" t="s">
        <v>46</v>
      </c>
      <c r="G131" s="7" t="s">
        <v>663</v>
      </c>
      <c r="H131" s="7" t="s">
        <v>48</v>
      </c>
      <c r="I131" s="6" t="s">
        <v>49</v>
      </c>
      <c r="J131" s="7" t="s">
        <v>50</v>
      </c>
      <c r="K131" s="6" t="s">
        <v>26</v>
      </c>
      <c r="L131" s="7" t="s">
        <v>664</v>
      </c>
      <c r="M131" s="7" t="s">
        <v>665</v>
      </c>
      <c r="N131" s="9">
        <v>37133.0</v>
      </c>
    </row>
    <row r="132" ht="19.5" customHeight="1">
      <c r="A132" s="6" t="s">
        <v>666</v>
      </c>
      <c r="B132" s="7" t="s">
        <v>6</v>
      </c>
      <c r="C132" s="7" t="s">
        <v>667</v>
      </c>
      <c r="D132" s="7" t="s">
        <v>6</v>
      </c>
      <c r="E132" s="7" t="s">
        <v>45</v>
      </c>
      <c r="F132" s="6" t="s">
        <v>46</v>
      </c>
      <c r="G132" s="7" t="s">
        <v>668</v>
      </c>
      <c r="H132" s="7" t="s">
        <v>23</v>
      </c>
      <c r="I132" s="6" t="s">
        <v>145</v>
      </c>
      <c r="J132" s="7" t="s">
        <v>146</v>
      </c>
      <c r="K132" s="6" t="s">
        <v>26</v>
      </c>
      <c r="L132" s="7" t="s">
        <v>669</v>
      </c>
      <c r="M132" s="7" t="s">
        <v>670</v>
      </c>
      <c r="N132" s="9">
        <v>37476.0</v>
      </c>
    </row>
    <row r="133" ht="19.5" customHeight="1">
      <c r="A133" s="6" t="s">
        <v>671</v>
      </c>
      <c r="B133" s="7" t="s">
        <v>6</v>
      </c>
      <c r="C133" s="7" t="s">
        <v>672</v>
      </c>
      <c r="D133" s="7" t="s">
        <v>6</v>
      </c>
      <c r="E133" s="7" t="s">
        <v>45</v>
      </c>
      <c r="F133" s="6" t="s">
        <v>46</v>
      </c>
      <c r="G133" s="7" t="s">
        <v>673</v>
      </c>
      <c r="H133" s="7" t="s">
        <v>48</v>
      </c>
      <c r="I133" s="6" t="s">
        <v>67</v>
      </c>
      <c r="J133" s="7" t="s">
        <v>68</v>
      </c>
      <c r="K133" s="6" t="s">
        <v>26</v>
      </c>
      <c r="L133" s="7" t="s">
        <v>674</v>
      </c>
      <c r="M133" s="7" t="s">
        <v>676</v>
      </c>
      <c r="N133" s="9">
        <v>37639.0</v>
      </c>
    </row>
    <row r="134" ht="19.5" customHeight="1">
      <c r="A134" s="6" t="s">
        <v>677</v>
      </c>
      <c r="B134" s="7" t="s">
        <v>6</v>
      </c>
      <c r="C134" s="7" t="s">
        <v>678</v>
      </c>
      <c r="D134" s="7" t="s">
        <v>6</v>
      </c>
      <c r="E134" s="7" t="s">
        <v>45</v>
      </c>
      <c r="F134" s="6" t="s">
        <v>46</v>
      </c>
      <c r="G134" s="7" t="s">
        <v>679</v>
      </c>
      <c r="H134" s="7" t="s">
        <v>48</v>
      </c>
      <c r="I134" s="6" t="s">
        <v>124</v>
      </c>
      <c r="J134" s="7" t="s">
        <v>125</v>
      </c>
      <c r="K134" s="6" t="s">
        <v>26</v>
      </c>
      <c r="L134" s="7" t="s">
        <v>680</v>
      </c>
      <c r="M134" s="7" t="s">
        <v>681</v>
      </c>
      <c r="N134" s="9">
        <v>32992.0</v>
      </c>
    </row>
    <row r="135" ht="19.5" customHeight="1">
      <c r="A135" s="6" t="s">
        <v>682</v>
      </c>
      <c r="B135" s="7" t="s">
        <v>6</v>
      </c>
      <c r="C135" s="7" t="s">
        <v>683</v>
      </c>
      <c r="D135" s="7" t="s">
        <v>6</v>
      </c>
      <c r="E135" s="7" t="s">
        <v>45</v>
      </c>
      <c r="F135" s="6" t="s">
        <v>46</v>
      </c>
      <c r="G135" s="7" t="s">
        <v>684</v>
      </c>
      <c r="H135" s="7" t="s">
        <v>48</v>
      </c>
      <c r="I135" s="6" t="s">
        <v>193</v>
      </c>
      <c r="J135" s="7" t="s">
        <v>200</v>
      </c>
      <c r="K135" s="6" t="s">
        <v>26</v>
      </c>
      <c r="L135" s="7" t="s">
        <v>685</v>
      </c>
      <c r="M135" s="7" t="s">
        <v>686</v>
      </c>
      <c r="N135" s="9">
        <v>35336.0</v>
      </c>
    </row>
    <row r="136" ht="19.5" customHeight="1">
      <c r="A136" s="6" t="s">
        <v>687</v>
      </c>
      <c r="B136" s="7" t="s">
        <v>6</v>
      </c>
      <c r="C136" s="7" t="s">
        <v>688</v>
      </c>
      <c r="D136" s="7" t="s">
        <v>6</v>
      </c>
      <c r="E136" s="7" t="s">
        <v>45</v>
      </c>
      <c r="F136" s="6" t="s">
        <v>46</v>
      </c>
      <c r="G136" s="7" t="s">
        <v>47</v>
      </c>
      <c r="H136" s="7" t="s">
        <v>48</v>
      </c>
      <c r="I136" s="6" t="s">
        <v>145</v>
      </c>
      <c r="J136" s="7" t="s">
        <v>146</v>
      </c>
      <c r="K136" s="6" t="s">
        <v>26</v>
      </c>
      <c r="L136" s="7" t="s">
        <v>689</v>
      </c>
      <c r="M136" s="7" t="s">
        <v>690</v>
      </c>
      <c r="N136" s="9">
        <v>37518.0</v>
      </c>
    </row>
    <row r="137" ht="19.5" customHeight="1">
      <c r="A137" s="6" t="s">
        <v>691</v>
      </c>
      <c r="B137" s="7" t="s">
        <v>6</v>
      </c>
      <c r="C137" s="7" t="s">
        <v>692</v>
      </c>
      <c r="D137" s="7" t="s">
        <v>6</v>
      </c>
      <c r="E137" s="7" t="s">
        <v>45</v>
      </c>
      <c r="F137" s="6" t="s">
        <v>46</v>
      </c>
      <c r="G137" s="7" t="s">
        <v>47</v>
      </c>
      <c r="H137" s="7" t="s">
        <v>48</v>
      </c>
      <c r="I137" s="6" t="s">
        <v>184</v>
      </c>
      <c r="J137" s="7" t="s">
        <v>439</v>
      </c>
      <c r="K137" s="6" t="s">
        <v>81</v>
      </c>
      <c r="L137" s="7" t="s">
        <v>694</v>
      </c>
      <c r="M137" s="7" t="s">
        <v>695</v>
      </c>
      <c r="N137" s="9">
        <v>34318.0</v>
      </c>
    </row>
    <row r="138" ht="19.5" customHeight="1">
      <c r="A138" s="6" t="s">
        <v>696</v>
      </c>
      <c r="B138" s="7" t="s">
        <v>6</v>
      </c>
      <c r="C138" s="7" t="s">
        <v>697</v>
      </c>
      <c r="D138" s="7" t="s">
        <v>6</v>
      </c>
      <c r="E138" s="7" t="s">
        <v>45</v>
      </c>
      <c r="F138" s="6" t="s">
        <v>46</v>
      </c>
      <c r="G138" s="7" t="s">
        <v>47</v>
      </c>
      <c r="H138" s="7" t="s">
        <v>48</v>
      </c>
      <c r="I138" s="6" t="s">
        <v>67</v>
      </c>
      <c r="J138" s="7" t="s">
        <v>68</v>
      </c>
      <c r="K138" s="6" t="s">
        <v>26</v>
      </c>
      <c r="L138" s="7" t="s">
        <v>698</v>
      </c>
      <c r="M138" s="7" t="s">
        <v>699</v>
      </c>
      <c r="N138" s="9">
        <v>37655.0</v>
      </c>
    </row>
    <row r="139" ht="19.5" customHeight="1">
      <c r="A139" s="6" t="s">
        <v>700</v>
      </c>
      <c r="B139" s="7" t="s">
        <v>6</v>
      </c>
      <c r="C139" s="7" t="s">
        <v>701</v>
      </c>
      <c r="D139" s="7" t="s">
        <v>6</v>
      </c>
      <c r="E139" s="7" t="s">
        <v>45</v>
      </c>
      <c r="F139" s="6" t="s">
        <v>46</v>
      </c>
      <c r="G139" s="7" t="s">
        <v>47</v>
      </c>
      <c r="H139" s="7" t="s">
        <v>48</v>
      </c>
      <c r="I139" s="6" t="s">
        <v>166</v>
      </c>
      <c r="J139" s="7" t="s">
        <v>167</v>
      </c>
      <c r="K139" s="6" t="s">
        <v>26</v>
      </c>
      <c r="L139" s="7" t="s">
        <v>702</v>
      </c>
      <c r="M139" s="7" t="s">
        <v>703</v>
      </c>
      <c r="N139" s="9">
        <v>36756.0</v>
      </c>
    </row>
    <row r="140" ht="19.5" customHeight="1">
      <c r="A140" s="6" t="s">
        <v>704</v>
      </c>
      <c r="B140" s="7" t="s">
        <v>6</v>
      </c>
      <c r="C140" s="7" t="s">
        <v>705</v>
      </c>
      <c r="D140" s="7" t="s">
        <v>6</v>
      </c>
      <c r="E140" s="7" t="s">
        <v>45</v>
      </c>
      <c r="F140" s="6" t="s">
        <v>46</v>
      </c>
      <c r="G140" s="7" t="s">
        <v>706</v>
      </c>
      <c r="H140" s="7" t="s">
        <v>48</v>
      </c>
      <c r="I140" s="6" t="s">
        <v>189</v>
      </c>
      <c r="J140" s="7" t="s">
        <v>210</v>
      </c>
      <c r="K140" s="6" t="s">
        <v>81</v>
      </c>
      <c r="L140" s="7" t="s">
        <v>708</v>
      </c>
      <c r="M140" s="7" t="s">
        <v>6</v>
      </c>
      <c r="N140" s="9">
        <v>34612.0</v>
      </c>
    </row>
    <row r="141" ht="19.5" customHeight="1">
      <c r="A141" s="6" t="s">
        <v>709</v>
      </c>
      <c r="B141" s="7" t="s">
        <v>6</v>
      </c>
      <c r="C141" s="7" t="s">
        <v>710</v>
      </c>
      <c r="D141" s="7" t="s">
        <v>6</v>
      </c>
      <c r="E141" s="7" t="s">
        <v>45</v>
      </c>
      <c r="F141" s="6" t="s">
        <v>46</v>
      </c>
      <c r="G141" s="7" t="s">
        <v>47</v>
      </c>
      <c r="H141" s="7" t="s">
        <v>48</v>
      </c>
      <c r="I141" s="6" t="s">
        <v>184</v>
      </c>
      <c r="J141" s="7" t="s">
        <v>439</v>
      </c>
      <c r="K141" s="6" t="s">
        <v>26</v>
      </c>
      <c r="L141" s="7" t="s">
        <v>711</v>
      </c>
      <c r="M141" s="7" t="s">
        <v>712</v>
      </c>
      <c r="N141" s="9">
        <v>34420.0</v>
      </c>
    </row>
    <row r="142" ht="19.5" customHeight="1">
      <c r="A142" s="6" t="s">
        <v>713</v>
      </c>
      <c r="B142" s="7" t="s">
        <v>6</v>
      </c>
      <c r="C142" s="7" t="s">
        <v>714</v>
      </c>
      <c r="D142" s="7" t="s">
        <v>6</v>
      </c>
      <c r="E142" s="7" t="s">
        <v>45</v>
      </c>
      <c r="F142" s="6" t="s">
        <v>46</v>
      </c>
      <c r="G142" s="7" t="s">
        <v>716</v>
      </c>
      <c r="H142" s="7" t="s">
        <v>48</v>
      </c>
      <c r="I142" s="6" t="s">
        <v>320</v>
      </c>
      <c r="J142" s="7" t="s">
        <v>590</v>
      </c>
      <c r="K142" s="6" t="s">
        <v>26</v>
      </c>
      <c r="L142" s="7" t="s">
        <v>717</v>
      </c>
      <c r="M142" s="7" t="s">
        <v>718</v>
      </c>
      <c r="N142" s="9">
        <v>45840.0</v>
      </c>
    </row>
    <row r="143" ht="19.5" customHeight="1">
      <c r="A143" s="6" t="s">
        <v>719</v>
      </c>
      <c r="B143" s="7" t="s">
        <v>6</v>
      </c>
      <c r="C143" s="7" t="s">
        <v>720</v>
      </c>
      <c r="D143" s="7" t="s">
        <v>6</v>
      </c>
      <c r="E143" s="7" t="s">
        <v>45</v>
      </c>
      <c r="F143" s="6" t="s">
        <v>46</v>
      </c>
      <c r="G143" s="7" t="s">
        <v>47</v>
      </c>
      <c r="H143" s="7" t="s">
        <v>48</v>
      </c>
      <c r="I143" s="6" t="s">
        <v>49</v>
      </c>
      <c r="J143" s="7" t="s">
        <v>50</v>
      </c>
      <c r="K143" s="6" t="s">
        <v>26</v>
      </c>
      <c r="L143" s="7" t="s">
        <v>721</v>
      </c>
      <c r="M143" s="7" t="s">
        <v>722</v>
      </c>
      <c r="N143" s="9">
        <v>36938.0</v>
      </c>
    </row>
    <row r="144" ht="19.5" customHeight="1">
      <c r="A144" s="6" t="s">
        <v>724</v>
      </c>
      <c r="B144" s="7" t="s">
        <v>6</v>
      </c>
      <c r="C144" s="7" t="s">
        <v>725</v>
      </c>
      <c r="D144" s="7" t="s">
        <v>6</v>
      </c>
      <c r="E144" s="7" t="s">
        <v>45</v>
      </c>
      <c r="F144" s="6" t="s">
        <v>46</v>
      </c>
      <c r="G144" s="7" t="s">
        <v>726</v>
      </c>
      <c r="H144" s="7" t="s">
        <v>48</v>
      </c>
      <c r="I144" s="6" t="s">
        <v>124</v>
      </c>
      <c r="J144" s="7" t="s">
        <v>125</v>
      </c>
      <c r="K144" s="6" t="s">
        <v>26</v>
      </c>
      <c r="L144" s="7" t="s">
        <v>727</v>
      </c>
      <c r="M144" s="7" t="s">
        <v>728</v>
      </c>
      <c r="N144" s="9">
        <v>33105.0</v>
      </c>
    </row>
    <row r="145" ht="19.5" customHeight="1">
      <c r="A145" s="6" t="s">
        <v>729</v>
      </c>
      <c r="B145" s="7" t="s">
        <v>6</v>
      </c>
      <c r="C145" s="7" t="s">
        <v>730</v>
      </c>
      <c r="D145" s="7" t="s">
        <v>6</v>
      </c>
      <c r="E145" s="7" t="s">
        <v>45</v>
      </c>
      <c r="F145" s="6" t="s">
        <v>46</v>
      </c>
      <c r="G145" s="7" t="s">
        <v>47</v>
      </c>
      <c r="H145" s="7" t="s">
        <v>48</v>
      </c>
      <c r="I145" s="6" t="s">
        <v>24</v>
      </c>
      <c r="J145" s="7" t="s">
        <v>25</v>
      </c>
      <c r="K145" s="6" t="s">
        <v>81</v>
      </c>
      <c r="L145" s="7" t="s">
        <v>731</v>
      </c>
      <c r="M145" s="7" t="s">
        <v>732</v>
      </c>
      <c r="N145" s="9">
        <v>33940.0</v>
      </c>
    </row>
    <row r="146" ht="19.5" customHeight="1">
      <c r="A146" s="6" t="s">
        <v>734</v>
      </c>
      <c r="B146" s="7" t="s">
        <v>6</v>
      </c>
      <c r="C146" s="7" t="s">
        <v>735</v>
      </c>
      <c r="D146" s="7" t="s">
        <v>6</v>
      </c>
      <c r="E146" s="7" t="s">
        <v>45</v>
      </c>
      <c r="F146" s="6" t="s">
        <v>46</v>
      </c>
      <c r="G146" s="7" t="s">
        <v>736</v>
      </c>
      <c r="H146" s="7" t="s">
        <v>48</v>
      </c>
      <c r="I146" s="6" t="s">
        <v>131</v>
      </c>
      <c r="J146" s="7" t="s">
        <v>132</v>
      </c>
      <c r="K146" s="6" t="s">
        <v>81</v>
      </c>
      <c r="L146" s="7" t="s">
        <v>738</v>
      </c>
      <c r="M146" s="7" t="s">
        <v>739</v>
      </c>
      <c r="N146" s="9">
        <v>36135.0</v>
      </c>
    </row>
    <row r="147" ht="19.5" customHeight="1">
      <c r="A147" s="6" t="s">
        <v>741</v>
      </c>
      <c r="B147" s="7" t="s">
        <v>6</v>
      </c>
      <c r="C147" s="7" t="s">
        <v>742</v>
      </c>
      <c r="D147" s="7" t="s">
        <v>6</v>
      </c>
      <c r="E147" s="7" t="s">
        <v>45</v>
      </c>
      <c r="F147" s="6" t="s">
        <v>46</v>
      </c>
      <c r="G147" s="7" t="s">
        <v>47</v>
      </c>
      <c r="H147" s="7" t="s">
        <v>48</v>
      </c>
      <c r="I147" s="6" t="s">
        <v>189</v>
      </c>
      <c r="J147" s="7" t="s">
        <v>210</v>
      </c>
      <c r="K147" s="6" t="s">
        <v>26</v>
      </c>
      <c r="L147" s="7" t="s">
        <v>743</v>
      </c>
      <c r="M147" s="7" t="s">
        <v>744</v>
      </c>
      <c r="N147" s="9">
        <v>34763.0</v>
      </c>
    </row>
    <row r="148" ht="19.5" customHeight="1">
      <c r="A148" s="6" t="s">
        <v>745</v>
      </c>
      <c r="B148" s="7" t="s">
        <v>6</v>
      </c>
      <c r="C148" s="7" t="s">
        <v>746</v>
      </c>
      <c r="D148" s="7" t="s">
        <v>6</v>
      </c>
      <c r="E148" s="7" t="s">
        <v>45</v>
      </c>
      <c r="F148" s="6" t="s">
        <v>46</v>
      </c>
      <c r="G148" s="7" t="s">
        <v>47</v>
      </c>
      <c r="H148" s="7" t="s">
        <v>48</v>
      </c>
      <c r="I148" s="6" t="s">
        <v>166</v>
      </c>
      <c r="J148" s="7" t="s">
        <v>167</v>
      </c>
      <c r="K148" s="6" t="s">
        <v>81</v>
      </c>
      <c r="L148" s="7" t="s">
        <v>747</v>
      </c>
      <c r="M148" s="7" t="s">
        <v>748</v>
      </c>
      <c r="N148" s="9">
        <v>36450.0</v>
      </c>
    </row>
    <row r="149" ht="19.5" customHeight="1">
      <c r="A149" s="6" t="s">
        <v>749</v>
      </c>
      <c r="B149" s="7" t="s">
        <v>6</v>
      </c>
      <c r="C149" s="7" t="s">
        <v>750</v>
      </c>
      <c r="D149" s="7" t="s">
        <v>6</v>
      </c>
      <c r="E149" s="7" t="s">
        <v>45</v>
      </c>
      <c r="F149" s="6" t="s">
        <v>46</v>
      </c>
      <c r="G149" s="7" t="s">
        <v>47</v>
      </c>
      <c r="H149" s="7" t="s">
        <v>48</v>
      </c>
      <c r="I149" s="6" t="s">
        <v>198</v>
      </c>
      <c r="J149" s="7" t="s">
        <v>337</v>
      </c>
      <c r="K149" s="6" t="s">
        <v>26</v>
      </c>
      <c r="L149" s="7" t="s">
        <v>751</v>
      </c>
      <c r="M149" s="7" t="s">
        <v>752</v>
      </c>
      <c r="N149" s="9">
        <v>35597.0</v>
      </c>
    </row>
    <row r="150" ht="19.5" customHeight="1">
      <c r="A150" s="6" t="s">
        <v>753</v>
      </c>
      <c r="B150" s="7" t="s">
        <v>6</v>
      </c>
      <c r="C150" s="7" t="s">
        <v>755</v>
      </c>
      <c r="D150" s="7" t="s">
        <v>6</v>
      </c>
      <c r="E150" s="7" t="s">
        <v>45</v>
      </c>
      <c r="F150" s="6" t="s">
        <v>46</v>
      </c>
      <c r="G150" s="7" t="s">
        <v>756</v>
      </c>
      <c r="H150" s="7" t="s">
        <v>48</v>
      </c>
      <c r="I150" s="6" t="s">
        <v>116</v>
      </c>
      <c r="J150" s="7" t="s">
        <v>757</v>
      </c>
      <c r="K150" s="6" t="s">
        <v>26</v>
      </c>
      <c r="L150" s="7" t="s">
        <v>759</v>
      </c>
      <c r="M150" s="7" t="s">
        <v>760</v>
      </c>
      <c r="N150" s="9">
        <v>28720.0</v>
      </c>
    </row>
    <row r="151" ht="19.5" customHeight="1">
      <c r="A151" s="6" t="s">
        <v>761</v>
      </c>
      <c r="B151" s="7" t="s">
        <v>6</v>
      </c>
      <c r="C151" s="7" t="s">
        <v>762</v>
      </c>
      <c r="D151" s="7" t="s">
        <v>6</v>
      </c>
      <c r="E151" s="7" t="s">
        <v>45</v>
      </c>
      <c r="F151" s="6" t="s">
        <v>46</v>
      </c>
      <c r="G151" s="7" t="s">
        <v>47</v>
      </c>
      <c r="H151" s="7" t="s">
        <v>48</v>
      </c>
      <c r="I151" s="6" t="s">
        <v>24</v>
      </c>
      <c r="J151" s="7" t="s">
        <v>25</v>
      </c>
      <c r="K151" s="6" t="s">
        <v>81</v>
      </c>
      <c r="L151" s="7" t="s">
        <v>763</v>
      </c>
      <c r="M151" s="7" t="s">
        <v>764</v>
      </c>
      <c r="N151" s="9">
        <v>33890.0</v>
      </c>
    </row>
    <row r="152" ht="19.5" customHeight="1">
      <c r="A152" s="6" t="s">
        <v>765</v>
      </c>
      <c r="B152" s="7" t="s">
        <v>6</v>
      </c>
      <c r="C152" s="7" t="s">
        <v>766</v>
      </c>
      <c r="D152" s="7" t="s">
        <v>6</v>
      </c>
      <c r="E152" s="7" t="s">
        <v>45</v>
      </c>
      <c r="F152" s="6" t="s">
        <v>46</v>
      </c>
      <c r="G152" s="7" t="s">
        <v>47</v>
      </c>
      <c r="H152" s="7" t="s">
        <v>48</v>
      </c>
      <c r="I152" s="6" t="s">
        <v>124</v>
      </c>
      <c r="J152" s="7" t="s">
        <v>125</v>
      </c>
      <c r="K152" s="6" t="s">
        <v>26</v>
      </c>
      <c r="L152" s="7" t="s">
        <v>770</v>
      </c>
      <c r="M152" s="7" t="s">
        <v>771</v>
      </c>
      <c r="N152" s="9">
        <v>33137.0</v>
      </c>
    </row>
    <row r="153" ht="19.5" customHeight="1">
      <c r="A153" s="6" t="s">
        <v>773</v>
      </c>
      <c r="B153" s="7" t="s">
        <v>6</v>
      </c>
      <c r="C153" s="7" t="s">
        <v>775</v>
      </c>
      <c r="D153" s="7" t="s">
        <v>6</v>
      </c>
      <c r="E153" s="7" t="s">
        <v>45</v>
      </c>
      <c r="F153" s="6" t="s">
        <v>46</v>
      </c>
      <c r="G153" s="7" t="s">
        <v>47</v>
      </c>
      <c r="H153" s="7" t="s">
        <v>48</v>
      </c>
      <c r="I153" s="6" t="s">
        <v>49</v>
      </c>
      <c r="J153" s="7" t="s">
        <v>50</v>
      </c>
      <c r="K153" s="6" t="s">
        <v>26</v>
      </c>
      <c r="L153" s="7" t="s">
        <v>777</v>
      </c>
      <c r="M153" s="7" t="s">
        <v>778</v>
      </c>
      <c r="N153" s="9">
        <v>36908.0</v>
      </c>
    </row>
    <row r="154" ht="19.5" customHeight="1">
      <c r="A154" s="6" t="s">
        <v>779</v>
      </c>
      <c r="B154" s="7" t="s">
        <v>6</v>
      </c>
      <c r="C154" s="7" t="s">
        <v>780</v>
      </c>
      <c r="D154" s="7" t="s">
        <v>6</v>
      </c>
      <c r="E154" s="7" t="s">
        <v>45</v>
      </c>
      <c r="F154" s="6" t="s">
        <v>46</v>
      </c>
      <c r="G154" s="7" t="s">
        <v>784</v>
      </c>
      <c r="H154" s="7" t="s">
        <v>23</v>
      </c>
      <c r="I154" s="6" t="s">
        <v>112</v>
      </c>
      <c r="J154" s="7" t="s">
        <v>113</v>
      </c>
      <c r="K154" s="6" t="s">
        <v>26</v>
      </c>
      <c r="L154" s="7" t="s">
        <v>787</v>
      </c>
      <c r="M154" s="7" t="s">
        <v>6</v>
      </c>
      <c r="N154" s="9">
        <v>32727.0</v>
      </c>
    </row>
    <row r="155" ht="19.5" customHeight="1">
      <c r="A155" s="6" t="s">
        <v>789</v>
      </c>
      <c r="B155" s="7" t="s">
        <v>6</v>
      </c>
      <c r="C155" s="7" t="s">
        <v>790</v>
      </c>
      <c r="D155" s="7" t="s">
        <v>6</v>
      </c>
      <c r="E155" s="7" t="s">
        <v>45</v>
      </c>
      <c r="F155" s="6" t="s">
        <v>46</v>
      </c>
      <c r="G155" s="7" t="s">
        <v>47</v>
      </c>
      <c r="H155" s="7" t="s">
        <v>48</v>
      </c>
      <c r="I155" s="6" t="s">
        <v>198</v>
      </c>
      <c r="J155" s="7" t="s">
        <v>337</v>
      </c>
      <c r="K155" s="6" t="s">
        <v>26</v>
      </c>
      <c r="L155" s="7" t="s">
        <v>793</v>
      </c>
      <c r="M155" s="7" t="s">
        <v>794</v>
      </c>
      <c r="N155" s="9">
        <v>35548.0</v>
      </c>
    </row>
    <row r="156" ht="19.5" customHeight="1">
      <c r="A156" s="6" t="s">
        <v>795</v>
      </c>
      <c r="B156" s="7" t="s">
        <v>6</v>
      </c>
      <c r="C156" s="7" t="s">
        <v>796</v>
      </c>
      <c r="D156" s="7" t="s">
        <v>6</v>
      </c>
      <c r="E156" s="7" t="s">
        <v>45</v>
      </c>
      <c r="F156" s="6" t="s">
        <v>46</v>
      </c>
      <c r="G156" s="7" t="s">
        <v>47</v>
      </c>
      <c r="H156" s="7" t="s">
        <v>48</v>
      </c>
      <c r="I156" s="6" t="s">
        <v>67</v>
      </c>
      <c r="J156" s="7" t="s">
        <v>68</v>
      </c>
      <c r="K156" s="6" t="s">
        <v>81</v>
      </c>
      <c r="L156" s="7" t="s">
        <v>798</v>
      </c>
      <c r="M156" s="7" t="s">
        <v>799</v>
      </c>
      <c r="N156" s="9">
        <v>37610.0</v>
      </c>
    </row>
    <row r="157" ht="19.5" customHeight="1">
      <c r="A157" s="6" t="s">
        <v>800</v>
      </c>
      <c r="B157" s="7" t="s">
        <v>6</v>
      </c>
      <c r="C157" s="7" t="s">
        <v>801</v>
      </c>
      <c r="D157" s="7" t="s">
        <v>6</v>
      </c>
      <c r="E157" s="7" t="s">
        <v>45</v>
      </c>
      <c r="F157" s="6" t="s">
        <v>46</v>
      </c>
      <c r="G157" s="7" t="s">
        <v>47</v>
      </c>
      <c r="H157" s="7" t="s">
        <v>48</v>
      </c>
      <c r="I157" s="6" t="s">
        <v>49</v>
      </c>
      <c r="J157" s="7" t="s">
        <v>50</v>
      </c>
      <c r="K157" s="6" t="s">
        <v>26</v>
      </c>
      <c r="L157" s="7" t="s">
        <v>802</v>
      </c>
      <c r="M157" s="7" t="s">
        <v>803</v>
      </c>
      <c r="N157" s="9">
        <v>37088.0</v>
      </c>
    </row>
    <row r="158" ht="19.5" customHeight="1">
      <c r="A158" s="6" t="s">
        <v>805</v>
      </c>
      <c r="B158" s="7" t="s">
        <v>6</v>
      </c>
      <c r="C158" s="7" t="s">
        <v>807</v>
      </c>
      <c r="D158" s="7" t="s">
        <v>6</v>
      </c>
      <c r="E158" s="7" t="s">
        <v>45</v>
      </c>
      <c r="F158" s="6" t="s">
        <v>46</v>
      </c>
      <c r="G158" s="7" t="s">
        <v>47</v>
      </c>
      <c r="H158" s="7" t="s">
        <v>48</v>
      </c>
      <c r="I158" s="6" t="s">
        <v>198</v>
      </c>
      <c r="J158" s="7" t="s">
        <v>337</v>
      </c>
      <c r="K158" s="6" t="s">
        <v>26</v>
      </c>
      <c r="L158" s="7" t="s">
        <v>811</v>
      </c>
      <c r="M158" s="7" t="s">
        <v>813</v>
      </c>
      <c r="N158" s="9">
        <v>35435.0</v>
      </c>
    </row>
    <row r="159" ht="19.5" customHeight="1">
      <c r="A159" s="6" t="s">
        <v>815</v>
      </c>
      <c r="B159" s="7" t="s">
        <v>6</v>
      </c>
      <c r="C159" s="7" t="s">
        <v>818</v>
      </c>
      <c r="D159" s="7" t="s">
        <v>6</v>
      </c>
      <c r="E159" s="7" t="s">
        <v>45</v>
      </c>
      <c r="F159" s="6" t="s">
        <v>46</v>
      </c>
      <c r="G159" s="7" t="s">
        <v>47</v>
      </c>
      <c r="H159" s="7" t="s">
        <v>23</v>
      </c>
      <c r="I159" s="6" t="s">
        <v>145</v>
      </c>
      <c r="J159" s="7" t="s">
        <v>146</v>
      </c>
      <c r="K159" s="6" t="s">
        <v>26</v>
      </c>
      <c r="L159" s="7" t="s">
        <v>821</v>
      </c>
      <c r="M159" s="7" t="s">
        <v>822</v>
      </c>
      <c r="N159" s="9">
        <v>37387.0</v>
      </c>
    </row>
    <row r="160" ht="19.5" customHeight="1">
      <c r="A160" s="6" t="s">
        <v>823</v>
      </c>
      <c r="B160" s="7" t="s">
        <v>6</v>
      </c>
      <c r="C160" s="7" t="s">
        <v>825</v>
      </c>
      <c r="D160" s="7" t="s">
        <v>6</v>
      </c>
      <c r="E160" s="7" t="s">
        <v>45</v>
      </c>
      <c r="F160" s="6" t="s">
        <v>46</v>
      </c>
      <c r="G160" s="7" t="s">
        <v>47</v>
      </c>
      <c r="H160" s="7" t="s">
        <v>48</v>
      </c>
      <c r="I160" s="6" t="s">
        <v>67</v>
      </c>
      <c r="J160" s="7" t="s">
        <v>68</v>
      </c>
      <c r="K160" s="6" t="s">
        <v>26</v>
      </c>
      <c r="L160" s="7" t="s">
        <v>826</v>
      </c>
      <c r="M160" s="7" t="s">
        <v>827</v>
      </c>
      <c r="N160" s="9">
        <v>37754.0</v>
      </c>
    </row>
    <row r="161" ht="19.5" customHeight="1">
      <c r="A161" s="6" t="s">
        <v>828</v>
      </c>
      <c r="B161" s="7" t="s">
        <v>6</v>
      </c>
      <c r="C161" s="7" t="s">
        <v>829</v>
      </c>
      <c r="D161" s="7" t="s">
        <v>6</v>
      </c>
      <c r="E161" s="7" t="s">
        <v>45</v>
      </c>
      <c r="F161" s="6" t="s">
        <v>46</v>
      </c>
      <c r="G161" s="7" t="s">
        <v>47</v>
      </c>
      <c r="H161" s="7" t="s">
        <v>48</v>
      </c>
      <c r="I161" s="6" t="s">
        <v>166</v>
      </c>
      <c r="J161" s="7" t="s">
        <v>167</v>
      </c>
      <c r="K161" s="6" t="s">
        <v>26</v>
      </c>
      <c r="L161" s="7" t="s">
        <v>830</v>
      </c>
      <c r="M161" s="7" t="s">
        <v>831</v>
      </c>
      <c r="N161" s="9">
        <v>36661.0</v>
      </c>
    </row>
    <row r="162" ht="19.5" customHeight="1">
      <c r="A162" s="6" t="s">
        <v>832</v>
      </c>
      <c r="B162" s="7" t="s">
        <v>6</v>
      </c>
      <c r="C162" s="7" t="s">
        <v>833</v>
      </c>
      <c r="D162" s="7" t="s">
        <v>6</v>
      </c>
      <c r="E162" s="7" t="s">
        <v>45</v>
      </c>
      <c r="F162" s="6" t="s">
        <v>46</v>
      </c>
      <c r="G162" s="7" t="s">
        <v>47</v>
      </c>
      <c r="H162" s="7" t="s">
        <v>48</v>
      </c>
      <c r="I162" s="6" t="s">
        <v>145</v>
      </c>
      <c r="J162" s="7" t="s">
        <v>146</v>
      </c>
      <c r="K162" s="6" t="s">
        <v>26</v>
      </c>
      <c r="L162" s="7" t="s">
        <v>834</v>
      </c>
      <c r="M162" s="7" t="s">
        <v>836</v>
      </c>
      <c r="N162" s="9">
        <v>37443.0</v>
      </c>
    </row>
    <row r="163" ht="19.5" customHeight="1">
      <c r="A163" s="6" t="s">
        <v>837</v>
      </c>
      <c r="B163" s="7" t="s">
        <v>6</v>
      </c>
      <c r="C163" s="7" t="s">
        <v>838</v>
      </c>
      <c r="D163" s="7" t="s">
        <v>6</v>
      </c>
      <c r="E163" s="7" t="s">
        <v>45</v>
      </c>
      <c r="F163" s="6" t="s">
        <v>46</v>
      </c>
      <c r="G163" s="7" t="s">
        <v>47</v>
      </c>
      <c r="H163" s="7" t="s">
        <v>48</v>
      </c>
      <c r="I163" s="6" t="s">
        <v>145</v>
      </c>
      <c r="J163" s="7" t="s">
        <v>146</v>
      </c>
      <c r="K163" s="6" t="s">
        <v>26</v>
      </c>
      <c r="L163" s="7" t="s">
        <v>839</v>
      </c>
      <c r="M163" s="7" t="s">
        <v>840</v>
      </c>
      <c r="N163" s="9">
        <v>37326.0</v>
      </c>
    </row>
    <row r="164" ht="19.5" customHeight="1">
      <c r="A164" s="6" t="s">
        <v>841</v>
      </c>
      <c r="B164" s="7" t="s">
        <v>6</v>
      </c>
      <c r="C164" s="7" t="s">
        <v>842</v>
      </c>
      <c r="D164" s="7" t="s">
        <v>6</v>
      </c>
      <c r="E164" s="7" t="s">
        <v>45</v>
      </c>
      <c r="F164" s="6" t="s">
        <v>46</v>
      </c>
      <c r="G164" s="7" t="s">
        <v>47</v>
      </c>
      <c r="H164" s="7" t="s">
        <v>48</v>
      </c>
      <c r="I164" s="6" t="s">
        <v>145</v>
      </c>
      <c r="J164" s="7" t="s">
        <v>146</v>
      </c>
      <c r="K164" s="6" t="s">
        <v>26</v>
      </c>
      <c r="L164" s="7" t="s">
        <v>843</v>
      </c>
      <c r="M164" s="7" t="s">
        <v>844</v>
      </c>
      <c r="N164" s="9">
        <v>37293.0</v>
      </c>
    </row>
    <row r="165" ht="19.5" customHeight="1">
      <c r="A165" s="6" t="s">
        <v>845</v>
      </c>
      <c r="B165" s="7" t="s">
        <v>6</v>
      </c>
      <c r="C165" s="7" t="s">
        <v>846</v>
      </c>
      <c r="D165" s="7" t="s">
        <v>6</v>
      </c>
      <c r="E165" s="7" t="s">
        <v>45</v>
      </c>
      <c r="F165" s="6" t="s">
        <v>46</v>
      </c>
      <c r="G165" s="7" t="s">
        <v>47</v>
      </c>
      <c r="H165" s="7" t="s">
        <v>48</v>
      </c>
      <c r="I165" s="6" t="s">
        <v>145</v>
      </c>
      <c r="J165" s="7" t="s">
        <v>146</v>
      </c>
      <c r="K165" s="6" t="s">
        <v>26</v>
      </c>
      <c r="L165" s="7" t="s">
        <v>847</v>
      </c>
      <c r="M165" s="7" t="s">
        <v>848</v>
      </c>
      <c r="N165" s="9">
        <v>37483.0</v>
      </c>
    </row>
    <row r="166" ht="19.5" customHeight="1">
      <c r="A166" s="6" t="s">
        <v>849</v>
      </c>
      <c r="B166" s="7" t="s">
        <v>6</v>
      </c>
      <c r="C166" s="7" t="s">
        <v>850</v>
      </c>
      <c r="D166" s="7" t="s">
        <v>6</v>
      </c>
      <c r="E166" s="7" t="s">
        <v>45</v>
      </c>
      <c r="F166" s="6" t="s">
        <v>46</v>
      </c>
      <c r="G166" s="7" t="s">
        <v>47</v>
      </c>
      <c r="H166" s="7" t="s">
        <v>48</v>
      </c>
      <c r="I166" s="6" t="s">
        <v>184</v>
      </c>
      <c r="J166" s="7" t="s">
        <v>439</v>
      </c>
      <c r="K166" s="6" t="s">
        <v>81</v>
      </c>
      <c r="L166" s="7" t="s">
        <v>852</v>
      </c>
      <c r="M166" s="7" t="s">
        <v>853</v>
      </c>
      <c r="N166" s="9">
        <v>34331.0</v>
      </c>
    </row>
    <row r="167" ht="19.5" customHeight="1">
      <c r="A167" s="6" t="s">
        <v>854</v>
      </c>
      <c r="B167" s="7" t="s">
        <v>6</v>
      </c>
      <c r="C167" s="7" t="s">
        <v>855</v>
      </c>
      <c r="D167" s="7" t="s">
        <v>6</v>
      </c>
      <c r="E167" s="7" t="s">
        <v>45</v>
      </c>
      <c r="F167" s="6" t="s">
        <v>46</v>
      </c>
      <c r="G167" s="7" t="s">
        <v>47</v>
      </c>
      <c r="H167" s="7" t="s">
        <v>48</v>
      </c>
      <c r="I167" s="6" t="s">
        <v>193</v>
      </c>
      <c r="J167" s="7" t="s">
        <v>200</v>
      </c>
      <c r="K167" s="6" t="s">
        <v>81</v>
      </c>
      <c r="L167" s="7" t="s">
        <v>856</v>
      </c>
      <c r="M167" s="7" t="s">
        <v>857</v>
      </c>
      <c r="N167" s="9">
        <v>35017.0</v>
      </c>
    </row>
    <row r="168" ht="19.5" customHeight="1">
      <c r="A168" s="6" t="s">
        <v>858</v>
      </c>
      <c r="B168" s="7" t="s">
        <v>6</v>
      </c>
      <c r="C168" s="7" t="s">
        <v>859</v>
      </c>
      <c r="D168" s="7" t="s">
        <v>6</v>
      </c>
      <c r="E168" s="7" t="s">
        <v>45</v>
      </c>
      <c r="F168" s="6" t="s">
        <v>46</v>
      </c>
      <c r="G168" s="7" t="s">
        <v>47</v>
      </c>
      <c r="H168" s="7" t="s">
        <v>48</v>
      </c>
      <c r="I168" s="6" t="s">
        <v>166</v>
      </c>
      <c r="J168" s="7" t="s">
        <v>167</v>
      </c>
      <c r="K168" s="6" t="s">
        <v>81</v>
      </c>
      <c r="L168" s="7" t="s">
        <v>860</v>
      </c>
      <c r="M168" s="7" t="s">
        <v>861</v>
      </c>
      <c r="N168" s="9">
        <v>36490.0</v>
      </c>
    </row>
    <row r="169" ht="19.5" customHeight="1">
      <c r="A169" s="6" t="s">
        <v>862</v>
      </c>
      <c r="B169" s="7" t="s">
        <v>6</v>
      </c>
      <c r="C169" s="7" t="s">
        <v>863</v>
      </c>
      <c r="D169" s="7" t="s">
        <v>6</v>
      </c>
      <c r="E169" s="7" t="s">
        <v>45</v>
      </c>
      <c r="F169" s="6" t="s">
        <v>46</v>
      </c>
      <c r="G169" s="7" t="s">
        <v>864</v>
      </c>
      <c r="H169" s="7" t="s">
        <v>48</v>
      </c>
      <c r="I169" s="6" t="s">
        <v>224</v>
      </c>
      <c r="J169" s="7" t="s">
        <v>238</v>
      </c>
      <c r="K169" s="6" t="s">
        <v>26</v>
      </c>
      <c r="L169" s="7" t="s">
        <v>866</v>
      </c>
      <c r="M169" s="7" t="s">
        <v>867</v>
      </c>
      <c r="N169" s="9">
        <v>38370.0</v>
      </c>
    </row>
    <row r="170" ht="19.5" customHeight="1">
      <c r="A170" s="6" t="s">
        <v>868</v>
      </c>
      <c r="B170" s="7" t="s">
        <v>6</v>
      </c>
      <c r="C170" s="7" t="s">
        <v>869</v>
      </c>
      <c r="D170" s="7" t="s">
        <v>6</v>
      </c>
      <c r="E170" s="7" t="s">
        <v>45</v>
      </c>
      <c r="F170" s="6" t="s">
        <v>46</v>
      </c>
      <c r="G170" s="7" t="s">
        <v>47</v>
      </c>
      <c r="H170" s="7" t="s">
        <v>48</v>
      </c>
      <c r="I170" s="6" t="s">
        <v>145</v>
      </c>
      <c r="J170" s="7" t="s">
        <v>146</v>
      </c>
      <c r="K170" s="6" t="s">
        <v>26</v>
      </c>
      <c r="L170" s="7" t="s">
        <v>870</v>
      </c>
      <c r="M170" s="7" t="s">
        <v>871</v>
      </c>
      <c r="N170" s="9">
        <v>37438.0</v>
      </c>
    </row>
    <row r="171" ht="19.5" customHeight="1">
      <c r="A171" s="6" t="s">
        <v>872</v>
      </c>
      <c r="B171" s="7" t="s">
        <v>6</v>
      </c>
      <c r="C171" s="7" t="s">
        <v>873</v>
      </c>
      <c r="D171" s="7" t="s">
        <v>6</v>
      </c>
      <c r="E171" s="7" t="s">
        <v>45</v>
      </c>
      <c r="F171" s="6" t="s">
        <v>46</v>
      </c>
      <c r="G171" s="7" t="s">
        <v>47</v>
      </c>
      <c r="H171" s="7" t="s">
        <v>48</v>
      </c>
      <c r="I171" s="6" t="s">
        <v>145</v>
      </c>
      <c r="J171" s="7" t="s">
        <v>146</v>
      </c>
      <c r="K171" s="6" t="s">
        <v>26</v>
      </c>
      <c r="L171" s="7" t="s">
        <v>874</v>
      </c>
      <c r="M171" s="7" t="s">
        <v>875</v>
      </c>
      <c r="N171" s="9">
        <v>37347.0</v>
      </c>
    </row>
    <row r="172" ht="19.5" customHeight="1">
      <c r="A172" s="6" t="s">
        <v>876</v>
      </c>
      <c r="B172" s="7" t="s">
        <v>6</v>
      </c>
      <c r="C172" s="7" t="s">
        <v>877</v>
      </c>
      <c r="D172" s="7" t="s">
        <v>6</v>
      </c>
      <c r="E172" s="7" t="s">
        <v>45</v>
      </c>
      <c r="F172" s="6" t="s">
        <v>46</v>
      </c>
      <c r="G172" s="7" t="s">
        <v>47</v>
      </c>
      <c r="H172" s="7" t="s">
        <v>48</v>
      </c>
      <c r="I172" s="6" t="s">
        <v>67</v>
      </c>
      <c r="J172" s="7" t="s">
        <v>68</v>
      </c>
      <c r="K172" s="6" t="s">
        <v>81</v>
      </c>
      <c r="L172" s="7" t="s">
        <v>879</v>
      </c>
      <c r="M172" s="7" t="s">
        <v>880</v>
      </c>
      <c r="N172" s="9">
        <v>37618.0</v>
      </c>
    </row>
    <row r="173" ht="19.5" customHeight="1">
      <c r="A173" s="6" t="s">
        <v>881</v>
      </c>
      <c r="B173" s="7" t="s">
        <v>6</v>
      </c>
      <c r="C173" s="7" t="s">
        <v>882</v>
      </c>
      <c r="D173" s="7" t="s">
        <v>6</v>
      </c>
      <c r="E173" s="7" t="s">
        <v>45</v>
      </c>
      <c r="F173" s="6" t="s">
        <v>46</v>
      </c>
      <c r="G173" s="7" t="s">
        <v>883</v>
      </c>
      <c r="H173" s="7" t="s">
        <v>48</v>
      </c>
      <c r="I173" s="6" t="s">
        <v>198</v>
      </c>
      <c r="J173" s="7" t="s">
        <v>337</v>
      </c>
      <c r="K173" s="6" t="s">
        <v>26</v>
      </c>
      <c r="L173" s="7" t="s">
        <v>884</v>
      </c>
      <c r="M173" s="7" t="s">
        <v>885</v>
      </c>
      <c r="N173" s="9">
        <v>35538.0</v>
      </c>
    </row>
    <row r="174" ht="19.5" customHeight="1">
      <c r="A174" s="6" t="s">
        <v>886</v>
      </c>
      <c r="B174" s="7" t="s">
        <v>6</v>
      </c>
      <c r="C174" s="7" t="s">
        <v>887</v>
      </c>
      <c r="D174" s="7" t="s">
        <v>6</v>
      </c>
      <c r="E174" s="7" t="s">
        <v>45</v>
      </c>
      <c r="F174" s="6" t="s">
        <v>46</v>
      </c>
      <c r="G174" s="7" t="s">
        <v>47</v>
      </c>
      <c r="H174" s="7" t="s">
        <v>48</v>
      </c>
      <c r="I174" s="6" t="s">
        <v>49</v>
      </c>
      <c r="J174" s="7" t="s">
        <v>50</v>
      </c>
      <c r="K174" s="6" t="s">
        <v>26</v>
      </c>
      <c r="L174" s="7" t="s">
        <v>888</v>
      </c>
      <c r="M174" s="7" t="s">
        <v>889</v>
      </c>
      <c r="N174" s="9">
        <v>37078.0</v>
      </c>
    </row>
    <row r="175" ht="19.5" customHeight="1">
      <c r="A175" s="6" t="s">
        <v>890</v>
      </c>
      <c r="B175" s="7" t="s">
        <v>6</v>
      </c>
      <c r="C175" s="7" t="s">
        <v>891</v>
      </c>
      <c r="D175" s="7" t="s">
        <v>6</v>
      </c>
      <c r="E175" s="7" t="s">
        <v>45</v>
      </c>
      <c r="F175" s="6" t="s">
        <v>46</v>
      </c>
      <c r="G175" s="7" t="s">
        <v>47</v>
      </c>
      <c r="H175" s="7" t="s">
        <v>48</v>
      </c>
      <c r="I175" s="6" t="s">
        <v>145</v>
      </c>
      <c r="J175" s="7" t="s">
        <v>146</v>
      </c>
      <c r="K175" s="6" t="s">
        <v>26</v>
      </c>
      <c r="L175" s="7" t="s">
        <v>892</v>
      </c>
      <c r="M175" s="7" t="s">
        <v>893</v>
      </c>
      <c r="N175" s="9">
        <v>37522.0</v>
      </c>
    </row>
    <row r="176" ht="19.5" customHeight="1">
      <c r="A176" s="6" t="s">
        <v>894</v>
      </c>
      <c r="B176" s="7" t="s">
        <v>6</v>
      </c>
      <c r="C176" s="7" t="s">
        <v>895</v>
      </c>
      <c r="D176" s="7" t="s">
        <v>6</v>
      </c>
      <c r="E176" s="7" t="s">
        <v>45</v>
      </c>
      <c r="F176" s="6" t="s">
        <v>46</v>
      </c>
      <c r="G176" s="7" t="s">
        <v>47</v>
      </c>
      <c r="H176" s="7" t="s">
        <v>48</v>
      </c>
      <c r="I176" s="6" t="s">
        <v>67</v>
      </c>
      <c r="J176" s="7" t="s">
        <v>68</v>
      </c>
      <c r="K176" s="6" t="s">
        <v>81</v>
      </c>
      <c r="L176" s="7" t="s">
        <v>896</v>
      </c>
      <c r="M176" s="7" t="s">
        <v>897</v>
      </c>
      <c r="N176" s="9">
        <v>37613.0</v>
      </c>
    </row>
    <row r="177" ht="19.5" customHeight="1">
      <c r="A177" s="6" t="s">
        <v>899</v>
      </c>
      <c r="B177" s="7" t="s">
        <v>6</v>
      </c>
      <c r="C177" s="7" t="s">
        <v>900</v>
      </c>
      <c r="D177" s="7" t="s">
        <v>6</v>
      </c>
      <c r="E177" s="7" t="s">
        <v>45</v>
      </c>
      <c r="F177" s="6" t="s">
        <v>46</v>
      </c>
      <c r="G177" s="7" t="s">
        <v>47</v>
      </c>
      <c r="H177" s="7" t="s">
        <v>48</v>
      </c>
      <c r="I177" s="6" t="s">
        <v>154</v>
      </c>
      <c r="J177" s="7" t="s">
        <v>434</v>
      </c>
      <c r="K177" s="6" t="s">
        <v>26</v>
      </c>
      <c r="L177" s="7" t="s">
        <v>901</v>
      </c>
      <c r="M177" s="7" t="s">
        <v>902</v>
      </c>
      <c r="N177" s="9">
        <v>31622.0</v>
      </c>
    </row>
    <row r="178" ht="19.5" customHeight="1">
      <c r="A178" s="6" t="s">
        <v>903</v>
      </c>
      <c r="B178" s="7" t="s">
        <v>6</v>
      </c>
      <c r="C178" s="7" t="s">
        <v>904</v>
      </c>
      <c r="D178" s="7" t="s">
        <v>6</v>
      </c>
      <c r="E178" s="7" t="s">
        <v>45</v>
      </c>
      <c r="F178" s="6" t="s">
        <v>46</v>
      </c>
      <c r="G178" s="7" t="s">
        <v>47</v>
      </c>
      <c r="H178" s="7" t="s">
        <v>48</v>
      </c>
      <c r="I178" s="6" t="s">
        <v>189</v>
      </c>
      <c r="J178" s="7" t="s">
        <v>210</v>
      </c>
      <c r="K178" s="6" t="s">
        <v>26</v>
      </c>
      <c r="L178" s="7" t="s">
        <v>906</v>
      </c>
      <c r="M178" s="7" t="s">
        <v>907</v>
      </c>
      <c r="N178" s="9">
        <v>34854.0</v>
      </c>
    </row>
    <row r="179" ht="19.5" customHeight="1">
      <c r="A179" s="6" t="s">
        <v>908</v>
      </c>
      <c r="B179" s="7" t="s">
        <v>6</v>
      </c>
      <c r="C179" s="7" t="s">
        <v>909</v>
      </c>
      <c r="D179" s="7" t="s">
        <v>6</v>
      </c>
      <c r="E179" s="7" t="s">
        <v>45</v>
      </c>
      <c r="F179" s="6" t="s">
        <v>46</v>
      </c>
      <c r="G179" s="7" t="s">
        <v>47</v>
      </c>
      <c r="H179" s="7" t="s">
        <v>23</v>
      </c>
      <c r="I179" s="6" t="s">
        <v>184</v>
      </c>
      <c r="J179" s="7" t="s">
        <v>439</v>
      </c>
      <c r="K179" s="6" t="s">
        <v>26</v>
      </c>
      <c r="L179" s="7" t="s">
        <v>910</v>
      </c>
      <c r="M179" s="7" t="s">
        <v>911</v>
      </c>
      <c r="N179" s="9">
        <v>34596.0</v>
      </c>
    </row>
    <row r="180" ht="19.5" customHeight="1">
      <c r="A180" s="6" t="s">
        <v>912</v>
      </c>
      <c r="B180" s="7" t="s">
        <v>6</v>
      </c>
      <c r="C180" s="7" t="s">
        <v>913</v>
      </c>
      <c r="D180" s="7" t="s">
        <v>6</v>
      </c>
      <c r="E180" s="7" t="s">
        <v>45</v>
      </c>
      <c r="F180" s="6" t="s">
        <v>46</v>
      </c>
      <c r="G180" s="7" t="s">
        <v>47</v>
      </c>
      <c r="H180" s="7" t="s">
        <v>48</v>
      </c>
      <c r="I180" s="6" t="s">
        <v>67</v>
      </c>
      <c r="J180" s="7" t="s">
        <v>68</v>
      </c>
      <c r="K180" s="6" t="s">
        <v>26</v>
      </c>
      <c r="L180" s="7" t="s">
        <v>914</v>
      </c>
      <c r="M180" s="7" t="s">
        <v>915</v>
      </c>
      <c r="N180" s="9">
        <v>37647.0</v>
      </c>
    </row>
    <row r="181" ht="19.5" customHeight="1">
      <c r="A181" s="6" t="s">
        <v>916</v>
      </c>
      <c r="B181" s="7" t="s">
        <v>6</v>
      </c>
      <c r="C181" s="7" t="s">
        <v>917</v>
      </c>
      <c r="D181" s="7" t="s">
        <v>6</v>
      </c>
      <c r="E181" s="7" t="s">
        <v>45</v>
      </c>
      <c r="F181" s="6" t="s">
        <v>46</v>
      </c>
      <c r="G181" s="7" t="s">
        <v>47</v>
      </c>
      <c r="H181" s="7" t="s">
        <v>48</v>
      </c>
      <c r="I181" s="6" t="s">
        <v>105</v>
      </c>
      <c r="J181" s="7" t="s">
        <v>106</v>
      </c>
      <c r="K181" s="6" t="s">
        <v>81</v>
      </c>
      <c r="L181" s="7" t="s">
        <v>919</v>
      </c>
      <c r="M181" s="7" t="s">
        <v>920</v>
      </c>
      <c r="N181" s="9">
        <v>38631.0</v>
      </c>
    </row>
    <row r="182" ht="19.5" customHeight="1">
      <c r="A182" s="6" t="s">
        <v>921</v>
      </c>
      <c r="B182" s="7" t="s">
        <v>6</v>
      </c>
      <c r="C182" s="7" t="s">
        <v>922</v>
      </c>
      <c r="D182" s="7" t="s">
        <v>6</v>
      </c>
      <c r="E182" s="7" t="s">
        <v>45</v>
      </c>
      <c r="F182" s="6" t="s">
        <v>46</v>
      </c>
      <c r="G182" s="7" t="s">
        <v>47</v>
      </c>
      <c r="H182" s="7" t="s">
        <v>48</v>
      </c>
      <c r="I182" s="6" t="s">
        <v>189</v>
      </c>
      <c r="J182" s="7" t="s">
        <v>210</v>
      </c>
      <c r="K182" s="6" t="s">
        <v>81</v>
      </c>
      <c r="L182" s="7" t="s">
        <v>923</v>
      </c>
      <c r="M182" s="7" t="s">
        <v>924</v>
      </c>
      <c r="N182" s="9">
        <v>34630.0</v>
      </c>
    </row>
    <row r="183" ht="19.5" customHeight="1">
      <c r="A183" s="6" t="s">
        <v>925</v>
      </c>
      <c r="B183" s="7" t="s">
        <v>6</v>
      </c>
      <c r="C183" s="7" t="s">
        <v>926</v>
      </c>
      <c r="D183" s="7" t="s">
        <v>6</v>
      </c>
      <c r="E183" s="7" t="s">
        <v>45</v>
      </c>
      <c r="F183" s="6" t="s">
        <v>46</v>
      </c>
      <c r="G183" s="7" t="s">
        <v>47</v>
      </c>
      <c r="H183" s="7" t="s">
        <v>48</v>
      </c>
      <c r="I183" s="6" t="s">
        <v>61</v>
      </c>
      <c r="J183" s="7" t="s">
        <v>62</v>
      </c>
      <c r="K183" s="6" t="s">
        <v>26</v>
      </c>
      <c r="L183" s="7" t="s">
        <v>927</v>
      </c>
      <c r="M183" s="7" t="s">
        <v>928</v>
      </c>
      <c r="N183" s="9">
        <v>38114.0</v>
      </c>
    </row>
    <row r="184" ht="19.5" customHeight="1">
      <c r="A184" s="6" t="s">
        <v>929</v>
      </c>
      <c r="B184" s="7" t="s">
        <v>6</v>
      </c>
      <c r="C184" s="7" t="s">
        <v>931</v>
      </c>
      <c r="D184" s="7" t="s">
        <v>6</v>
      </c>
      <c r="E184" s="7" t="s">
        <v>45</v>
      </c>
      <c r="F184" s="6" t="s">
        <v>46</v>
      </c>
      <c r="G184" s="7" t="s">
        <v>47</v>
      </c>
      <c r="H184" s="7" t="s">
        <v>48</v>
      </c>
      <c r="I184" s="6" t="s">
        <v>49</v>
      </c>
      <c r="J184" s="7" t="s">
        <v>50</v>
      </c>
      <c r="K184" s="6" t="s">
        <v>26</v>
      </c>
      <c r="L184" s="7" t="s">
        <v>932</v>
      </c>
      <c r="M184" s="7" t="s">
        <v>933</v>
      </c>
      <c r="N184" s="9">
        <v>37164.0</v>
      </c>
    </row>
    <row r="185" ht="19.5" customHeight="1">
      <c r="A185" s="6" t="s">
        <v>934</v>
      </c>
      <c r="B185" s="7" t="s">
        <v>6</v>
      </c>
      <c r="C185" s="7" t="s">
        <v>935</v>
      </c>
      <c r="D185" s="7" t="s">
        <v>6</v>
      </c>
      <c r="E185" s="7" t="s">
        <v>45</v>
      </c>
      <c r="F185" s="6" t="s">
        <v>46</v>
      </c>
      <c r="G185" s="7" t="s">
        <v>47</v>
      </c>
      <c r="H185" s="7" t="s">
        <v>48</v>
      </c>
      <c r="I185" s="6" t="s">
        <v>131</v>
      </c>
      <c r="J185" s="7" t="s">
        <v>132</v>
      </c>
      <c r="K185" s="6" t="s">
        <v>81</v>
      </c>
      <c r="L185" s="7" t="s">
        <v>936</v>
      </c>
      <c r="M185" s="7" t="s">
        <v>937</v>
      </c>
      <c r="N185" s="9">
        <v>36132.0</v>
      </c>
    </row>
    <row r="186" ht="19.5" customHeight="1">
      <c r="A186" s="6" t="s">
        <v>938</v>
      </c>
      <c r="B186" s="7" t="s">
        <v>6</v>
      </c>
      <c r="C186" s="7" t="s">
        <v>939</v>
      </c>
      <c r="D186" s="7" t="s">
        <v>6</v>
      </c>
      <c r="E186" s="7" t="s">
        <v>45</v>
      </c>
      <c r="F186" s="6" t="s">
        <v>46</v>
      </c>
      <c r="G186" s="7" t="s">
        <v>940</v>
      </c>
      <c r="H186" s="7" t="s">
        <v>48</v>
      </c>
      <c r="I186" s="6" t="s">
        <v>121</v>
      </c>
      <c r="J186" s="7" t="s">
        <v>471</v>
      </c>
      <c r="K186" s="6" t="s">
        <v>81</v>
      </c>
      <c r="L186" s="7" t="s">
        <v>941</v>
      </c>
      <c r="M186" s="7" t="s">
        <v>942</v>
      </c>
      <c r="N186" s="9">
        <v>28774.0</v>
      </c>
    </row>
    <row r="187" ht="19.5" customHeight="1">
      <c r="A187" s="6" t="s">
        <v>943</v>
      </c>
      <c r="B187" s="7" t="s">
        <v>6</v>
      </c>
      <c r="C187" s="7" t="s">
        <v>944</v>
      </c>
      <c r="D187" s="7" t="s">
        <v>6</v>
      </c>
      <c r="E187" s="7" t="s">
        <v>45</v>
      </c>
      <c r="F187" s="6" t="s">
        <v>46</v>
      </c>
      <c r="G187" s="7" t="s">
        <v>47</v>
      </c>
      <c r="H187" s="7" t="s">
        <v>48</v>
      </c>
      <c r="I187" s="6" t="s">
        <v>140</v>
      </c>
      <c r="J187" s="7" t="s">
        <v>173</v>
      </c>
      <c r="K187" s="6" t="s">
        <v>26</v>
      </c>
      <c r="L187" s="7" t="s">
        <v>945</v>
      </c>
      <c r="M187" s="7" t="s">
        <v>946</v>
      </c>
      <c r="N187" s="9">
        <v>30563.0</v>
      </c>
    </row>
    <row r="188" ht="19.5" customHeight="1">
      <c r="A188" s="6" t="s">
        <v>947</v>
      </c>
      <c r="B188" s="7" t="s">
        <v>6</v>
      </c>
      <c r="C188" s="7" t="s">
        <v>948</v>
      </c>
      <c r="D188" s="7" t="s">
        <v>6</v>
      </c>
      <c r="E188" s="7" t="s">
        <v>45</v>
      </c>
      <c r="F188" s="6" t="s">
        <v>46</v>
      </c>
      <c r="G188" s="7" t="s">
        <v>47</v>
      </c>
      <c r="H188" s="7" t="s">
        <v>48</v>
      </c>
      <c r="I188" s="6" t="s">
        <v>145</v>
      </c>
      <c r="J188" s="7" t="s">
        <v>146</v>
      </c>
      <c r="K188" s="6" t="s">
        <v>26</v>
      </c>
      <c r="L188" s="7" t="s">
        <v>949</v>
      </c>
      <c r="M188" s="7" t="s">
        <v>950</v>
      </c>
      <c r="N188" s="9">
        <v>37410.0</v>
      </c>
    </row>
    <row r="189" ht="19.5" customHeight="1">
      <c r="A189" s="6" t="s">
        <v>952</v>
      </c>
      <c r="B189" s="7" t="s">
        <v>6</v>
      </c>
      <c r="C189" s="7" t="s">
        <v>953</v>
      </c>
      <c r="D189" s="7" t="s">
        <v>6</v>
      </c>
      <c r="E189" s="7" t="s">
        <v>45</v>
      </c>
      <c r="F189" s="6" t="s">
        <v>46</v>
      </c>
      <c r="G189" s="7" t="s">
        <v>954</v>
      </c>
      <c r="H189" s="7" t="s">
        <v>48</v>
      </c>
      <c r="I189" s="6" t="s">
        <v>24</v>
      </c>
      <c r="J189" s="7" t="s">
        <v>25</v>
      </c>
      <c r="K189" s="6" t="s">
        <v>26</v>
      </c>
      <c r="L189" s="7" t="s">
        <v>955</v>
      </c>
      <c r="M189" s="7" t="s">
        <v>956</v>
      </c>
      <c r="N189" s="9">
        <v>34071.0</v>
      </c>
    </row>
    <row r="190" ht="19.5" customHeight="1">
      <c r="A190" s="6" t="s">
        <v>957</v>
      </c>
      <c r="B190" s="7" t="s">
        <v>6</v>
      </c>
      <c r="C190" s="7" t="s">
        <v>958</v>
      </c>
      <c r="D190" s="7" t="s">
        <v>6</v>
      </c>
      <c r="E190" s="7" t="s">
        <v>45</v>
      </c>
      <c r="F190" s="6" t="s">
        <v>46</v>
      </c>
      <c r="G190" s="7" t="s">
        <v>172</v>
      </c>
      <c r="H190" s="7" t="s">
        <v>48</v>
      </c>
      <c r="I190" s="6" t="s">
        <v>49</v>
      </c>
      <c r="J190" s="7" t="s">
        <v>50</v>
      </c>
      <c r="K190" s="6" t="s">
        <v>26</v>
      </c>
      <c r="L190" s="7" t="s">
        <v>960</v>
      </c>
      <c r="M190" s="7" t="s">
        <v>961</v>
      </c>
      <c r="N190" s="9">
        <v>37089.0</v>
      </c>
    </row>
    <row r="191" ht="19.5" customHeight="1">
      <c r="A191" s="6" t="s">
        <v>962</v>
      </c>
      <c r="B191" s="7" t="s">
        <v>6</v>
      </c>
      <c r="C191" s="7" t="s">
        <v>963</v>
      </c>
      <c r="D191" s="7" t="s">
        <v>6</v>
      </c>
      <c r="E191" s="7" t="s">
        <v>45</v>
      </c>
      <c r="F191" s="6" t="s">
        <v>46</v>
      </c>
      <c r="G191" s="7" t="s">
        <v>47</v>
      </c>
      <c r="H191" s="7" t="s">
        <v>48</v>
      </c>
      <c r="I191" s="6" t="s">
        <v>49</v>
      </c>
      <c r="J191" s="7" t="s">
        <v>50</v>
      </c>
      <c r="K191" s="6" t="s">
        <v>26</v>
      </c>
      <c r="L191" s="7" t="s">
        <v>964</v>
      </c>
      <c r="M191" s="7" t="s">
        <v>965</v>
      </c>
      <c r="N191" s="9">
        <v>37132.0</v>
      </c>
    </row>
    <row r="192" ht="19.5" customHeight="1">
      <c r="A192" s="6" t="s">
        <v>966</v>
      </c>
      <c r="B192" s="7" t="s">
        <v>6</v>
      </c>
      <c r="C192" s="7" t="s">
        <v>967</v>
      </c>
      <c r="D192" s="7" t="s">
        <v>6</v>
      </c>
      <c r="E192" s="7" t="s">
        <v>45</v>
      </c>
      <c r="F192" s="6" t="s">
        <v>46</v>
      </c>
      <c r="G192" s="7" t="s">
        <v>47</v>
      </c>
      <c r="H192" s="7" t="s">
        <v>48</v>
      </c>
      <c r="I192" s="6" t="s">
        <v>189</v>
      </c>
      <c r="J192" s="7" t="s">
        <v>210</v>
      </c>
      <c r="K192" s="6" t="s">
        <v>26</v>
      </c>
      <c r="L192" s="7" t="s">
        <v>968</v>
      </c>
      <c r="M192" s="7" t="s">
        <v>969</v>
      </c>
      <c r="N192" s="9">
        <v>34849.0</v>
      </c>
    </row>
    <row r="193" ht="19.5" customHeight="1">
      <c r="A193" s="6" t="s">
        <v>970</v>
      </c>
      <c r="B193" s="7" t="s">
        <v>6</v>
      </c>
      <c r="C193" s="7" t="s">
        <v>971</v>
      </c>
      <c r="D193" s="7" t="s">
        <v>6</v>
      </c>
      <c r="E193" s="7" t="s">
        <v>45</v>
      </c>
      <c r="F193" s="6" t="s">
        <v>46</v>
      </c>
      <c r="G193" s="7" t="s">
        <v>47</v>
      </c>
      <c r="H193" s="7" t="s">
        <v>48</v>
      </c>
      <c r="I193" s="6" t="s">
        <v>198</v>
      </c>
      <c r="J193" s="7" t="s">
        <v>337</v>
      </c>
      <c r="K193" s="6" t="s">
        <v>26</v>
      </c>
      <c r="L193" s="7" t="s">
        <v>972</v>
      </c>
      <c r="M193" s="7" t="s">
        <v>973</v>
      </c>
      <c r="N193" s="9">
        <v>35485.0</v>
      </c>
    </row>
    <row r="194" ht="19.5" customHeight="1">
      <c r="A194" s="6" t="s">
        <v>974</v>
      </c>
      <c r="B194" s="7" t="s">
        <v>6</v>
      </c>
      <c r="C194" s="7" t="s">
        <v>975</v>
      </c>
      <c r="D194" s="7" t="s">
        <v>6</v>
      </c>
      <c r="E194" s="7" t="s">
        <v>45</v>
      </c>
      <c r="F194" s="6" t="s">
        <v>46</v>
      </c>
      <c r="G194" s="7" t="s">
        <v>47</v>
      </c>
      <c r="H194" s="7" t="s">
        <v>48</v>
      </c>
      <c r="I194" s="6" t="s">
        <v>176</v>
      </c>
      <c r="J194" s="7" t="s">
        <v>428</v>
      </c>
      <c r="K194" s="6" t="s">
        <v>26</v>
      </c>
      <c r="L194" s="7" t="s">
        <v>976</v>
      </c>
      <c r="M194" s="7" t="s">
        <v>977</v>
      </c>
      <c r="N194" s="9">
        <v>33860.0</v>
      </c>
    </row>
    <row r="195" ht="19.5" customHeight="1">
      <c r="A195" s="6" t="s">
        <v>978</v>
      </c>
      <c r="B195" s="7" t="s">
        <v>6</v>
      </c>
      <c r="C195" s="7" t="s">
        <v>979</v>
      </c>
      <c r="D195" s="7" t="s">
        <v>6</v>
      </c>
      <c r="E195" s="7" t="s">
        <v>45</v>
      </c>
      <c r="F195" s="6" t="s">
        <v>46</v>
      </c>
      <c r="G195" s="7" t="s">
        <v>980</v>
      </c>
      <c r="H195" s="7" t="s">
        <v>48</v>
      </c>
      <c r="I195" s="6" t="s">
        <v>154</v>
      </c>
      <c r="J195" s="7" t="s">
        <v>434</v>
      </c>
      <c r="K195" s="6" t="s">
        <v>26</v>
      </c>
      <c r="L195" s="7" t="s">
        <v>981</v>
      </c>
      <c r="M195" s="7" t="s">
        <v>982</v>
      </c>
      <c r="N195" s="9">
        <v>31673.0</v>
      </c>
    </row>
    <row r="196" ht="19.5" customHeight="1">
      <c r="A196" s="6" t="s">
        <v>983</v>
      </c>
      <c r="B196" s="7" t="s">
        <v>6</v>
      </c>
      <c r="C196" s="7" t="s">
        <v>984</v>
      </c>
      <c r="D196" s="7" t="s">
        <v>6</v>
      </c>
      <c r="E196" s="7" t="s">
        <v>45</v>
      </c>
      <c r="F196" s="6" t="s">
        <v>46</v>
      </c>
      <c r="G196" s="7" t="s">
        <v>47</v>
      </c>
      <c r="H196" s="7" t="s">
        <v>48</v>
      </c>
      <c r="I196" s="6" t="s">
        <v>145</v>
      </c>
      <c r="J196" s="7" t="s">
        <v>146</v>
      </c>
      <c r="K196" s="6" t="s">
        <v>26</v>
      </c>
      <c r="L196" s="7" t="s">
        <v>985</v>
      </c>
      <c r="M196" s="7" t="s">
        <v>986</v>
      </c>
      <c r="N196" s="9">
        <v>37354.0</v>
      </c>
    </row>
    <row r="197" ht="19.5" customHeight="1">
      <c r="A197" s="6" t="s">
        <v>987</v>
      </c>
      <c r="B197" s="7" t="s">
        <v>6</v>
      </c>
      <c r="C197" s="7" t="s">
        <v>988</v>
      </c>
      <c r="D197" s="7" t="s">
        <v>6</v>
      </c>
      <c r="E197" s="7" t="s">
        <v>45</v>
      </c>
      <c r="F197" s="6" t="s">
        <v>46</v>
      </c>
      <c r="G197" s="7" t="s">
        <v>47</v>
      </c>
      <c r="H197" s="7" t="s">
        <v>48</v>
      </c>
      <c r="I197" s="6" t="s">
        <v>224</v>
      </c>
      <c r="J197" s="7" t="s">
        <v>238</v>
      </c>
      <c r="K197" s="6" t="s">
        <v>26</v>
      </c>
      <c r="L197" s="7" t="s">
        <v>989</v>
      </c>
      <c r="M197" s="7" t="s">
        <v>990</v>
      </c>
      <c r="N197" s="9">
        <v>38575.0</v>
      </c>
    </row>
    <row r="198" ht="19.5" customHeight="1">
      <c r="A198" s="6" t="s">
        <v>991</v>
      </c>
      <c r="B198" s="7" t="s">
        <v>6</v>
      </c>
      <c r="C198" s="7" t="s">
        <v>992</v>
      </c>
      <c r="D198" s="7" t="s">
        <v>6</v>
      </c>
      <c r="E198" s="7" t="s">
        <v>45</v>
      </c>
      <c r="F198" s="6" t="s">
        <v>46</v>
      </c>
      <c r="G198" s="7" t="s">
        <v>47</v>
      </c>
      <c r="H198" s="7" t="s">
        <v>48</v>
      </c>
      <c r="I198" s="6" t="s">
        <v>193</v>
      </c>
      <c r="J198" s="7" t="s">
        <v>200</v>
      </c>
      <c r="K198" s="6" t="s">
        <v>26</v>
      </c>
      <c r="L198" s="7" t="s">
        <v>993</v>
      </c>
      <c r="M198" s="7" t="s">
        <v>994</v>
      </c>
      <c r="N198" s="9">
        <v>35123.0</v>
      </c>
    </row>
    <row r="199" ht="19.5" customHeight="1">
      <c r="A199" s="6" t="s">
        <v>995</v>
      </c>
      <c r="B199" s="7" t="s">
        <v>6</v>
      </c>
      <c r="C199" s="7" t="s">
        <v>996</v>
      </c>
      <c r="D199" s="7" t="s">
        <v>6</v>
      </c>
      <c r="E199" s="7" t="s">
        <v>45</v>
      </c>
      <c r="F199" s="6" t="s">
        <v>46</v>
      </c>
      <c r="G199" s="7" t="s">
        <v>47</v>
      </c>
      <c r="H199" s="7" t="s">
        <v>48</v>
      </c>
      <c r="I199" s="6" t="s">
        <v>224</v>
      </c>
      <c r="J199" s="7" t="s">
        <v>238</v>
      </c>
      <c r="K199" s="6" t="s">
        <v>26</v>
      </c>
      <c r="L199" s="7" t="s">
        <v>997</v>
      </c>
      <c r="M199" s="7" t="s">
        <v>998</v>
      </c>
      <c r="N199" s="9">
        <v>38455.0</v>
      </c>
    </row>
    <row r="200" ht="19.5" customHeight="1">
      <c r="A200" s="6" t="s">
        <v>999</v>
      </c>
      <c r="B200" s="7" t="s">
        <v>6</v>
      </c>
      <c r="C200" s="7" t="s">
        <v>1000</v>
      </c>
      <c r="D200" s="7" t="s">
        <v>6</v>
      </c>
      <c r="E200" s="7" t="s">
        <v>45</v>
      </c>
      <c r="F200" s="6" t="s">
        <v>46</v>
      </c>
      <c r="G200" s="7" t="s">
        <v>47</v>
      </c>
      <c r="H200" s="7" t="s">
        <v>48</v>
      </c>
      <c r="I200" s="6" t="s">
        <v>224</v>
      </c>
      <c r="J200" s="7" t="s">
        <v>238</v>
      </c>
      <c r="K200" s="6" t="s">
        <v>26</v>
      </c>
      <c r="L200" s="7" t="s">
        <v>1001</v>
      </c>
      <c r="M200" s="7" t="s">
        <v>1002</v>
      </c>
      <c r="N200" s="9">
        <v>38596.0</v>
      </c>
    </row>
    <row r="201" ht="19.5" customHeight="1">
      <c r="A201" s="6" t="s">
        <v>1003</v>
      </c>
      <c r="B201" s="7" t="s">
        <v>6</v>
      </c>
      <c r="C201" s="7" t="s">
        <v>1004</v>
      </c>
      <c r="D201" s="7" t="s">
        <v>6</v>
      </c>
      <c r="E201" s="7" t="s">
        <v>45</v>
      </c>
      <c r="F201" s="6" t="s">
        <v>46</v>
      </c>
      <c r="G201" s="7" t="s">
        <v>1006</v>
      </c>
      <c r="H201" s="7" t="s">
        <v>48</v>
      </c>
      <c r="I201" s="6" t="s">
        <v>131</v>
      </c>
      <c r="J201" s="7" t="s">
        <v>132</v>
      </c>
      <c r="K201" s="6" t="s">
        <v>26</v>
      </c>
      <c r="L201" s="7" t="s">
        <v>1007</v>
      </c>
      <c r="M201" s="7" t="s">
        <v>1008</v>
      </c>
      <c r="N201" s="9">
        <v>36272.0</v>
      </c>
    </row>
    <row r="202" ht="19.5" customHeight="1">
      <c r="A202" s="6" t="s">
        <v>1009</v>
      </c>
      <c r="B202" s="7" t="s">
        <v>6</v>
      </c>
      <c r="C202" s="7" t="s">
        <v>1010</v>
      </c>
      <c r="D202" s="7" t="s">
        <v>6</v>
      </c>
      <c r="E202" s="7" t="s">
        <v>45</v>
      </c>
      <c r="F202" s="6" t="s">
        <v>46</v>
      </c>
      <c r="G202" s="7" t="s">
        <v>47</v>
      </c>
      <c r="H202" s="7" t="s">
        <v>48</v>
      </c>
      <c r="I202" s="6" t="s">
        <v>184</v>
      </c>
      <c r="J202" s="7" t="s">
        <v>439</v>
      </c>
      <c r="K202" s="6" t="s">
        <v>26</v>
      </c>
      <c r="L202" s="7" t="s">
        <v>1011</v>
      </c>
      <c r="M202" s="7" t="s">
        <v>1012</v>
      </c>
      <c r="N202" s="9">
        <v>34530.0</v>
      </c>
    </row>
    <row r="203" ht="19.5" customHeight="1">
      <c r="A203" s="6" t="s">
        <v>1013</v>
      </c>
      <c r="B203" s="7" t="s">
        <v>6</v>
      </c>
      <c r="C203" s="7" t="s">
        <v>1014</v>
      </c>
      <c r="D203" s="7" t="s">
        <v>6</v>
      </c>
      <c r="E203" s="7" t="s">
        <v>45</v>
      </c>
      <c r="F203" s="6" t="s">
        <v>46</v>
      </c>
      <c r="G203" s="7" t="s">
        <v>47</v>
      </c>
      <c r="H203" s="7" t="s">
        <v>48</v>
      </c>
      <c r="I203" s="6" t="s">
        <v>24</v>
      </c>
      <c r="J203" s="7" t="s">
        <v>25</v>
      </c>
      <c r="K203" s="6" t="s">
        <v>26</v>
      </c>
      <c r="L203" s="7" t="s">
        <v>1015</v>
      </c>
      <c r="M203" s="7" t="s">
        <v>1016</v>
      </c>
      <c r="N203" s="9">
        <v>34144.0</v>
      </c>
    </row>
    <row r="204" ht="19.5" customHeight="1">
      <c r="A204" s="6" t="s">
        <v>1017</v>
      </c>
      <c r="B204" s="7" t="s">
        <v>6</v>
      </c>
      <c r="C204" s="7" t="s">
        <v>1018</v>
      </c>
      <c r="D204" s="7" t="s">
        <v>6</v>
      </c>
      <c r="E204" s="7" t="s">
        <v>45</v>
      </c>
      <c r="F204" s="6" t="s">
        <v>46</v>
      </c>
      <c r="G204" s="7" t="s">
        <v>47</v>
      </c>
      <c r="H204" s="7" t="s">
        <v>48</v>
      </c>
      <c r="I204" s="6" t="s">
        <v>49</v>
      </c>
      <c r="J204" s="7" t="s">
        <v>50</v>
      </c>
      <c r="K204" s="6" t="s">
        <v>26</v>
      </c>
      <c r="L204" s="7" t="s">
        <v>1019</v>
      </c>
      <c r="M204" s="7" t="s">
        <v>1020</v>
      </c>
      <c r="N204" s="9">
        <v>37133.0</v>
      </c>
    </row>
    <row r="205" ht="19.5" customHeight="1">
      <c r="A205" s="6" t="s">
        <v>1021</v>
      </c>
      <c r="B205" s="7" t="s">
        <v>6</v>
      </c>
      <c r="C205" s="7" t="s">
        <v>1022</v>
      </c>
      <c r="D205" s="7" t="s">
        <v>6</v>
      </c>
      <c r="E205" s="7" t="s">
        <v>45</v>
      </c>
      <c r="F205" s="6" t="s">
        <v>46</v>
      </c>
      <c r="G205" s="7" t="s">
        <v>47</v>
      </c>
      <c r="H205" s="7" t="s">
        <v>48</v>
      </c>
      <c r="I205" s="6" t="s">
        <v>39</v>
      </c>
      <c r="J205" s="7" t="s">
        <v>40</v>
      </c>
      <c r="K205" s="6" t="s">
        <v>81</v>
      </c>
      <c r="L205" s="7" t="s">
        <v>1023</v>
      </c>
      <c r="M205" s="7" t="s">
        <v>1024</v>
      </c>
      <c r="N205" s="9">
        <v>29918.0</v>
      </c>
    </row>
    <row r="206" ht="19.5" customHeight="1">
      <c r="A206" s="6" t="s">
        <v>1025</v>
      </c>
      <c r="B206" s="7" t="s">
        <v>6</v>
      </c>
      <c r="C206" s="7" t="s">
        <v>1026</v>
      </c>
      <c r="D206" s="7" t="s">
        <v>6</v>
      </c>
      <c r="E206" s="7" t="s">
        <v>45</v>
      </c>
      <c r="F206" s="6" t="s">
        <v>46</v>
      </c>
      <c r="G206" s="7" t="s">
        <v>47</v>
      </c>
      <c r="H206" s="7" t="s">
        <v>48</v>
      </c>
      <c r="I206" s="6" t="s">
        <v>159</v>
      </c>
      <c r="J206" s="7" t="s">
        <v>1027</v>
      </c>
      <c r="K206" s="6" t="s">
        <v>26</v>
      </c>
      <c r="L206" s="7" t="s">
        <v>1028</v>
      </c>
      <c r="M206" s="7" t="s">
        <v>1029</v>
      </c>
      <c r="N206" s="9">
        <v>31890.0</v>
      </c>
    </row>
    <row r="207" ht="19.5" customHeight="1">
      <c r="A207" s="6" t="s">
        <v>1030</v>
      </c>
      <c r="B207" s="7" t="s">
        <v>6</v>
      </c>
      <c r="C207" s="7" t="s">
        <v>1031</v>
      </c>
      <c r="D207" s="7" t="s">
        <v>6</v>
      </c>
      <c r="E207" s="7" t="s">
        <v>45</v>
      </c>
      <c r="F207" s="6" t="s">
        <v>46</v>
      </c>
      <c r="G207" s="7" t="s">
        <v>1032</v>
      </c>
      <c r="H207" s="7" t="s">
        <v>48</v>
      </c>
      <c r="I207" s="6" t="s">
        <v>193</v>
      </c>
      <c r="J207" s="7" t="s">
        <v>200</v>
      </c>
      <c r="K207" s="6" t="s">
        <v>26</v>
      </c>
      <c r="L207" s="7" t="s">
        <v>1033</v>
      </c>
      <c r="M207" s="7" t="s">
        <v>1034</v>
      </c>
      <c r="N207" s="9">
        <v>35068.0</v>
      </c>
    </row>
    <row r="208" ht="19.5" customHeight="1">
      <c r="A208" s="6" t="s">
        <v>1035</v>
      </c>
      <c r="B208" s="7" t="s">
        <v>6</v>
      </c>
      <c r="C208" s="7" t="s">
        <v>1036</v>
      </c>
      <c r="D208" s="7" t="s">
        <v>6</v>
      </c>
      <c r="E208" s="7" t="s">
        <v>45</v>
      </c>
      <c r="F208" s="6" t="s">
        <v>46</v>
      </c>
      <c r="G208" s="7" t="s">
        <v>47</v>
      </c>
      <c r="H208" s="7" t="s">
        <v>48</v>
      </c>
      <c r="I208" s="6" t="s">
        <v>49</v>
      </c>
      <c r="J208" s="7" t="s">
        <v>50</v>
      </c>
      <c r="K208" s="6" t="s">
        <v>26</v>
      </c>
      <c r="L208" s="7" t="s">
        <v>1038</v>
      </c>
      <c r="M208" s="7" t="s">
        <v>1039</v>
      </c>
      <c r="N208" s="9">
        <v>37050.0</v>
      </c>
    </row>
    <row r="209" ht="19.5" customHeight="1">
      <c r="A209" s="6" t="s">
        <v>1040</v>
      </c>
      <c r="B209" s="7" t="s">
        <v>6</v>
      </c>
      <c r="C209" s="7" t="s">
        <v>1041</v>
      </c>
      <c r="D209" s="7" t="s">
        <v>6</v>
      </c>
      <c r="E209" s="7" t="s">
        <v>45</v>
      </c>
      <c r="F209" s="6" t="s">
        <v>46</v>
      </c>
      <c r="G209" s="7" t="s">
        <v>47</v>
      </c>
      <c r="H209" s="7" t="s">
        <v>48</v>
      </c>
      <c r="I209" s="6" t="s">
        <v>198</v>
      </c>
      <c r="J209" s="7" t="s">
        <v>337</v>
      </c>
      <c r="K209" s="6" t="s">
        <v>26</v>
      </c>
      <c r="L209" s="7" t="s">
        <v>1042</v>
      </c>
      <c r="M209" s="7" t="s">
        <v>1043</v>
      </c>
      <c r="N209" s="9">
        <v>35677.0</v>
      </c>
    </row>
    <row r="210" ht="19.5" customHeight="1">
      <c r="A210" s="6" t="s">
        <v>1044</v>
      </c>
      <c r="B210" s="7" t="s">
        <v>6</v>
      </c>
      <c r="C210" s="7" t="s">
        <v>1045</v>
      </c>
      <c r="D210" s="7" t="s">
        <v>6</v>
      </c>
      <c r="E210" s="7" t="s">
        <v>45</v>
      </c>
      <c r="F210" s="6" t="s">
        <v>46</v>
      </c>
      <c r="G210" s="7" t="s">
        <v>47</v>
      </c>
      <c r="H210" s="7" t="s">
        <v>48</v>
      </c>
      <c r="I210" s="6" t="s">
        <v>67</v>
      </c>
      <c r="J210" s="7" t="s">
        <v>68</v>
      </c>
      <c r="K210" s="6" t="s">
        <v>81</v>
      </c>
      <c r="L210" s="7" t="s">
        <v>1046</v>
      </c>
      <c r="M210" s="7" t="s">
        <v>6</v>
      </c>
      <c r="N210" s="9">
        <v>37544.0</v>
      </c>
    </row>
    <row r="211" ht="19.5" customHeight="1">
      <c r="A211" s="6" t="s">
        <v>1047</v>
      </c>
      <c r="B211" s="7" t="s">
        <v>6</v>
      </c>
      <c r="C211" s="7" t="s">
        <v>1048</v>
      </c>
      <c r="D211" s="7" t="s">
        <v>6</v>
      </c>
      <c r="E211" s="7" t="s">
        <v>45</v>
      </c>
      <c r="F211" s="6" t="s">
        <v>46</v>
      </c>
      <c r="G211" s="7" t="s">
        <v>47</v>
      </c>
      <c r="H211" s="7" t="s">
        <v>48</v>
      </c>
      <c r="I211" s="6" t="s">
        <v>224</v>
      </c>
      <c r="J211" s="7" t="s">
        <v>238</v>
      </c>
      <c r="K211" s="6" t="s">
        <v>26</v>
      </c>
      <c r="L211" s="7" t="s">
        <v>1050</v>
      </c>
      <c r="M211" s="7" t="s">
        <v>1051</v>
      </c>
      <c r="N211" s="9">
        <v>38431.0</v>
      </c>
    </row>
    <row r="212" ht="19.5" customHeight="1">
      <c r="A212" s="6" t="s">
        <v>1052</v>
      </c>
      <c r="B212" s="7" t="s">
        <v>6</v>
      </c>
      <c r="C212" s="7" t="s">
        <v>1053</v>
      </c>
      <c r="D212" s="7" t="s">
        <v>6</v>
      </c>
      <c r="E212" s="7" t="s">
        <v>45</v>
      </c>
      <c r="F212" s="6" t="s">
        <v>46</v>
      </c>
      <c r="G212" s="7" t="s">
        <v>1054</v>
      </c>
      <c r="H212" s="7" t="s">
        <v>48</v>
      </c>
      <c r="I212" s="6" t="s">
        <v>105</v>
      </c>
      <c r="J212" s="7" t="s">
        <v>106</v>
      </c>
      <c r="K212" s="6" t="s">
        <v>81</v>
      </c>
      <c r="L212" s="7" t="s">
        <v>1055</v>
      </c>
      <c r="M212" s="7" t="s">
        <v>1056</v>
      </c>
      <c r="N212" s="9">
        <v>38648.0</v>
      </c>
    </row>
    <row r="213" ht="19.5" customHeight="1">
      <c r="A213" s="6" t="s">
        <v>1057</v>
      </c>
      <c r="B213" s="7" t="s">
        <v>6</v>
      </c>
      <c r="C213" s="7" t="s">
        <v>1058</v>
      </c>
      <c r="D213" s="7" t="s">
        <v>6</v>
      </c>
      <c r="E213" s="7" t="s">
        <v>45</v>
      </c>
      <c r="F213" s="6" t="s">
        <v>46</v>
      </c>
      <c r="G213" s="7" t="s">
        <v>47</v>
      </c>
      <c r="H213" s="7" t="s">
        <v>48</v>
      </c>
      <c r="I213" s="6" t="s">
        <v>92</v>
      </c>
      <c r="J213" s="7" t="s">
        <v>93</v>
      </c>
      <c r="K213" s="6" t="s">
        <v>26</v>
      </c>
      <c r="L213" s="7" t="s">
        <v>1059</v>
      </c>
      <c r="M213" s="7" t="s">
        <v>1060</v>
      </c>
      <c r="N213" s="9">
        <v>35871.0</v>
      </c>
    </row>
    <row r="214" ht="19.5" customHeight="1">
      <c r="A214" s="6" t="s">
        <v>1061</v>
      </c>
      <c r="B214" s="7" t="s">
        <v>6</v>
      </c>
      <c r="C214" s="7" t="s">
        <v>1062</v>
      </c>
      <c r="D214" s="7" t="s">
        <v>6</v>
      </c>
      <c r="E214" s="7" t="s">
        <v>45</v>
      </c>
      <c r="F214" s="6" t="s">
        <v>46</v>
      </c>
      <c r="G214" s="7" t="s">
        <v>47</v>
      </c>
      <c r="H214" s="7" t="s">
        <v>48</v>
      </c>
      <c r="I214" s="6" t="s">
        <v>61</v>
      </c>
      <c r="J214" s="7" t="s">
        <v>62</v>
      </c>
      <c r="K214" s="6" t="s">
        <v>26</v>
      </c>
      <c r="L214" s="7" t="s">
        <v>1063</v>
      </c>
      <c r="M214" s="7" t="s">
        <v>1064</v>
      </c>
      <c r="N214" s="9">
        <v>38020.0</v>
      </c>
    </row>
    <row r="215" ht="19.5" customHeight="1">
      <c r="A215" s="6" t="s">
        <v>1066</v>
      </c>
      <c r="B215" s="7" t="s">
        <v>6</v>
      </c>
      <c r="C215" s="7" t="s">
        <v>1067</v>
      </c>
      <c r="D215" s="7" t="s">
        <v>6</v>
      </c>
      <c r="E215" s="7" t="s">
        <v>45</v>
      </c>
      <c r="F215" s="6" t="s">
        <v>46</v>
      </c>
      <c r="G215" s="7" t="s">
        <v>47</v>
      </c>
      <c r="H215" s="7" t="s">
        <v>48</v>
      </c>
      <c r="I215" s="6" t="s">
        <v>49</v>
      </c>
      <c r="J215" s="7" t="s">
        <v>50</v>
      </c>
      <c r="K215" s="6" t="s">
        <v>81</v>
      </c>
      <c r="L215" s="7" t="s">
        <v>1068</v>
      </c>
      <c r="M215" s="7" t="s">
        <v>1069</v>
      </c>
      <c r="N215" s="9">
        <v>36839.0</v>
      </c>
    </row>
    <row r="216" ht="19.5" customHeight="1">
      <c r="A216" s="6" t="s">
        <v>1070</v>
      </c>
      <c r="B216" s="7" t="s">
        <v>6</v>
      </c>
      <c r="C216" s="7" t="s">
        <v>1071</v>
      </c>
      <c r="D216" s="7" t="s">
        <v>6</v>
      </c>
      <c r="E216" s="7" t="s">
        <v>45</v>
      </c>
      <c r="F216" s="6" t="s">
        <v>46</v>
      </c>
      <c r="G216" s="7" t="s">
        <v>1073</v>
      </c>
      <c r="H216" s="7" t="s">
        <v>48</v>
      </c>
      <c r="I216" s="6" t="s">
        <v>166</v>
      </c>
      <c r="J216" s="7" t="s">
        <v>167</v>
      </c>
      <c r="K216" s="6" t="s">
        <v>26</v>
      </c>
      <c r="L216" s="7" t="s">
        <v>1074</v>
      </c>
      <c r="M216" s="7" t="s">
        <v>1075</v>
      </c>
      <c r="N216" s="9">
        <v>36610.0</v>
      </c>
    </row>
    <row r="217" ht="19.5" customHeight="1">
      <c r="A217" s="6" t="s">
        <v>1076</v>
      </c>
      <c r="B217" s="7" t="s">
        <v>6</v>
      </c>
      <c r="C217" s="7" t="s">
        <v>1077</v>
      </c>
      <c r="D217" s="7" t="s">
        <v>6</v>
      </c>
      <c r="E217" s="7" t="s">
        <v>45</v>
      </c>
      <c r="F217" s="6" t="s">
        <v>46</v>
      </c>
      <c r="G217" s="7" t="s">
        <v>47</v>
      </c>
      <c r="H217" s="7" t="s">
        <v>48</v>
      </c>
      <c r="I217" s="6" t="s">
        <v>166</v>
      </c>
      <c r="J217" s="7" t="s">
        <v>167</v>
      </c>
      <c r="K217" s="6" t="s">
        <v>26</v>
      </c>
      <c r="L217" s="7" t="s">
        <v>1078</v>
      </c>
      <c r="M217" s="7" t="s">
        <v>1079</v>
      </c>
      <c r="N217" s="9">
        <v>36630.0</v>
      </c>
    </row>
    <row r="218" ht="19.5" customHeight="1">
      <c r="A218" s="6" t="s">
        <v>1080</v>
      </c>
      <c r="B218" s="7" t="s">
        <v>6</v>
      </c>
      <c r="C218" s="7" t="s">
        <v>1081</v>
      </c>
      <c r="D218" s="7" t="s">
        <v>6</v>
      </c>
      <c r="E218" s="7" t="s">
        <v>45</v>
      </c>
      <c r="F218" s="6" t="s">
        <v>46</v>
      </c>
      <c r="G218" s="7" t="s">
        <v>47</v>
      </c>
      <c r="H218" s="7" t="s">
        <v>48</v>
      </c>
      <c r="I218" s="6" t="s">
        <v>145</v>
      </c>
      <c r="J218" s="7" t="s">
        <v>146</v>
      </c>
      <c r="K218" s="6" t="s">
        <v>26</v>
      </c>
      <c r="L218" s="7" t="s">
        <v>1082</v>
      </c>
      <c r="M218" s="7" t="s">
        <v>1083</v>
      </c>
      <c r="N218" s="9">
        <v>37343.0</v>
      </c>
    </row>
    <row r="219" ht="19.5" customHeight="1">
      <c r="A219" s="6" t="s">
        <v>1084</v>
      </c>
      <c r="B219" s="7" t="s">
        <v>6</v>
      </c>
      <c r="C219" s="7" t="s">
        <v>1085</v>
      </c>
      <c r="D219" s="7" t="s">
        <v>6</v>
      </c>
      <c r="E219" s="7" t="s">
        <v>45</v>
      </c>
      <c r="F219" s="6" t="s">
        <v>46</v>
      </c>
      <c r="G219" s="7" t="s">
        <v>47</v>
      </c>
      <c r="H219" s="7" t="s">
        <v>48</v>
      </c>
      <c r="I219" s="6" t="s">
        <v>166</v>
      </c>
      <c r="J219" s="7" t="s">
        <v>167</v>
      </c>
      <c r="K219" s="6" t="s">
        <v>81</v>
      </c>
      <c r="L219" s="7" t="s">
        <v>1086</v>
      </c>
      <c r="M219" s="7" t="s">
        <v>1087</v>
      </c>
      <c r="N219" s="9">
        <v>36444.0</v>
      </c>
    </row>
    <row r="220" ht="19.5" customHeight="1">
      <c r="A220" s="6" t="s">
        <v>1088</v>
      </c>
      <c r="B220" s="7" t="s">
        <v>6</v>
      </c>
      <c r="C220" s="7" t="s">
        <v>1089</v>
      </c>
      <c r="D220" s="7" t="s">
        <v>6</v>
      </c>
      <c r="E220" s="7" t="s">
        <v>45</v>
      </c>
      <c r="F220" s="6" t="s">
        <v>46</v>
      </c>
      <c r="G220" s="7" t="s">
        <v>1090</v>
      </c>
      <c r="H220" s="7" t="s">
        <v>23</v>
      </c>
      <c r="I220" s="6" t="s">
        <v>131</v>
      </c>
      <c r="J220" s="7" t="s">
        <v>132</v>
      </c>
      <c r="K220" s="6" t="s">
        <v>26</v>
      </c>
      <c r="L220" s="7" t="s">
        <v>1091</v>
      </c>
      <c r="M220" s="7" t="s">
        <v>1092</v>
      </c>
      <c r="N220" s="9">
        <v>36364.0</v>
      </c>
    </row>
    <row r="221" ht="19.5" customHeight="1">
      <c r="A221" s="6" t="s">
        <v>1093</v>
      </c>
      <c r="B221" s="7" t="s">
        <v>6</v>
      </c>
      <c r="C221" s="7" t="s">
        <v>1094</v>
      </c>
      <c r="D221" s="7" t="s">
        <v>6</v>
      </c>
      <c r="E221" s="7" t="s">
        <v>45</v>
      </c>
      <c r="F221" s="6" t="s">
        <v>46</v>
      </c>
      <c r="G221" s="7" t="s">
        <v>47</v>
      </c>
      <c r="H221" s="7" t="s">
        <v>48</v>
      </c>
      <c r="I221" s="6" t="s">
        <v>224</v>
      </c>
      <c r="J221" s="7" t="s">
        <v>238</v>
      </c>
      <c r="K221" s="6" t="s">
        <v>26</v>
      </c>
      <c r="L221" s="7" t="s">
        <v>1095</v>
      </c>
      <c r="M221" s="7" t="s">
        <v>1096</v>
      </c>
      <c r="N221" s="9">
        <v>38409.0</v>
      </c>
    </row>
    <row r="222" ht="19.5" customHeight="1">
      <c r="A222" s="6" t="s">
        <v>1097</v>
      </c>
      <c r="B222" s="7" t="s">
        <v>6</v>
      </c>
      <c r="C222" s="7" t="s">
        <v>1098</v>
      </c>
      <c r="D222" s="7" t="s">
        <v>6</v>
      </c>
      <c r="E222" s="7" t="s">
        <v>45</v>
      </c>
      <c r="F222" s="6" t="s">
        <v>46</v>
      </c>
      <c r="G222" s="7" t="s">
        <v>47</v>
      </c>
      <c r="H222" s="7" t="s">
        <v>48</v>
      </c>
      <c r="I222" s="6" t="s">
        <v>224</v>
      </c>
      <c r="J222" s="7" t="s">
        <v>238</v>
      </c>
      <c r="K222" s="6" t="s">
        <v>26</v>
      </c>
      <c r="L222" s="7" t="s">
        <v>1100</v>
      </c>
      <c r="M222" s="7" t="s">
        <v>1101</v>
      </c>
      <c r="N222" s="9">
        <v>38404.0</v>
      </c>
    </row>
    <row r="223" ht="19.5" customHeight="1">
      <c r="A223" s="6" t="s">
        <v>1102</v>
      </c>
      <c r="B223" s="7" t="s">
        <v>6</v>
      </c>
      <c r="C223" s="7" t="s">
        <v>1103</v>
      </c>
      <c r="D223" s="7" t="s">
        <v>6</v>
      </c>
      <c r="E223" s="7" t="s">
        <v>45</v>
      </c>
      <c r="F223" s="6" t="s">
        <v>46</v>
      </c>
      <c r="G223" s="7" t="s">
        <v>47</v>
      </c>
      <c r="H223" s="7" t="s">
        <v>48</v>
      </c>
      <c r="I223" s="6" t="s">
        <v>105</v>
      </c>
      <c r="J223" s="7" t="s">
        <v>106</v>
      </c>
      <c r="K223" s="6" t="s">
        <v>26</v>
      </c>
      <c r="L223" s="7" t="s">
        <v>1104</v>
      </c>
      <c r="M223" s="7" t="s">
        <v>1105</v>
      </c>
      <c r="N223" s="9">
        <v>38723.0</v>
      </c>
    </row>
    <row r="224" ht="19.5" customHeight="1">
      <c r="A224" s="6" t="s">
        <v>1106</v>
      </c>
      <c r="B224" s="7" t="s">
        <v>6</v>
      </c>
      <c r="C224" s="7" t="s">
        <v>1107</v>
      </c>
      <c r="D224" s="7" t="s">
        <v>6</v>
      </c>
      <c r="E224" s="7" t="s">
        <v>45</v>
      </c>
      <c r="F224" s="6" t="s">
        <v>46</v>
      </c>
      <c r="G224" s="7" t="s">
        <v>47</v>
      </c>
      <c r="H224" s="7" t="s">
        <v>48</v>
      </c>
      <c r="I224" s="6" t="s">
        <v>184</v>
      </c>
      <c r="J224" s="7" t="s">
        <v>439</v>
      </c>
      <c r="K224" s="6" t="s">
        <v>26</v>
      </c>
      <c r="L224" s="7" t="s">
        <v>1108</v>
      </c>
      <c r="M224" s="7" t="s">
        <v>1109</v>
      </c>
      <c r="N224" s="9">
        <v>34542.0</v>
      </c>
    </row>
    <row r="225" ht="19.5" customHeight="1">
      <c r="A225" s="6" t="s">
        <v>1111</v>
      </c>
      <c r="B225" s="7" t="s">
        <v>6</v>
      </c>
      <c r="C225" s="7" t="s">
        <v>1112</v>
      </c>
      <c r="D225" s="7" t="s">
        <v>6</v>
      </c>
      <c r="E225" s="7" t="s">
        <v>45</v>
      </c>
      <c r="F225" s="6" t="s">
        <v>46</v>
      </c>
      <c r="G225" s="7" t="s">
        <v>47</v>
      </c>
      <c r="H225" s="7" t="s">
        <v>48</v>
      </c>
      <c r="I225" s="6" t="s">
        <v>105</v>
      </c>
      <c r="J225" s="7" t="s">
        <v>106</v>
      </c>
      <c r="K225" s="6" t="s">
        <v>26</v>
      </c>
      <c r="L225" s="7" t="s">
        <v>1113</v>
      </c>
      <c r="M225" s="7" t="s">
        <v>1114</v>
      </c>
      <c r="N225" s="9">
        <v>38855.0</v>
      </c>
    </row>
    <row r="226" ht="19.5" customHeight="1">
      <c r="A226" s="6" t="s">
        <v>1115</v>
      </c>
      <c r="B226" s="7" t="s">
        <v>6</v>
      </c>
      <c r="C226" s="7" t="s">
        <v>1116</v>
      </c>
      <c r="D226" s="7" t="s">
        <v>6</v>
      </c>
      <c r="E226" s="7" t="s">
        <v>45</v>
      </c>
      <c r="F226" s="6" t="s">
        <v>46</v>
      </c>
      <c r="G226" s="7" t="s">
        <v>47</v>
      </c>
      <c r="H226" s="7" t="s">
        <v>48</v>
      </c>
      <c r="I226" s="6" t="s">
        <v>61</v>
      </c>
      <c r="J226" s="7" t="s">
        <v>62</v>
      </c>
      <c r="K226" s="6" t="s">
        <v>26</v>
      </c>
      <c r="L226" s="7" t="s">
        <v>1118</v>
      </c>
      <c r="M226" s="7" t="s">
        <v>1119</v>
      </c>
      <c r="N226" s="9">
        <v>38190.0</v>
      </c>
    </row>
    <row r="227" ht="19.5" customHeight="1">
      <c r="A227" s="6" t="s">
        <v>1120</v>
      </c>
      <c r="B227" s="7" t="s">
        <v>6</v>
      </c>
      <c r="C227" s="7" t="s">
        <v>1121</v>
      </c>
      <c r="D227" s="7" t="s">
        <v>6</v>
      </c>
      <c r="E227" s="7" t="s">
        <v>45</v>
      </c>
      <c r="F227" s="6" t="s">
        <v>46</v>
      </c>
      <c r="G227" s="7" t="s">
        <v>47</v>
      </c>
      <c r="H227" s="7" t="s">
        <v>48</v>
      </c>
      <c r="I227" s="6" t="s">
        <v>92</v>
      </c>
      <c r="J227" s="7" t="s">
        <v>93</v>
      </c>
      <c r="K227" s="6" t="s">
        <v>26</v>
      </c>
      <c r="L227" s="7" t="s">
        <v>1122</v>
      </c>
      <c r="M227" s="7" t="s">
        <v>1123</v>
      </c>
      <c r="N227" s="9">
        <v>35982.0</v>
      </c>
    </row>
    <row r="228" ht="19.5" customHeight="1">
      <c r="A228" s="6" t="s">
        <v>1124</v>
      </c>
      <c r="B228" s="7" t="s">
        <v>6</v>
      </c>
      <c r="C228" s="7" t="s">
        <v>1126</v>
      </c>
      <c r="D228" s="7" t="s">
        <v>6</v>
      </c>
      <c r="E228" s="7" t="s">
        <v>45</v>
      </c>
      <c r="F228" s="6" t="s">
        <v>46</v>
      </c>
      <c r="G228" s="7" t="s">
        <v>47</v>
      </c>
      <c r="H228" s="7" t="s">
        <v>48</v>
      </c>
      <c r="I228" s="6" t="s">
        <v>145</v>
      </c>
      <c r="J228" s="7" t="s">
        <v>146</v>
      </c>
      <c r="K228" s="6" t="s">
        <v>81</v>
      </c>
      <c r="L228" s="7" t="s">
        <v>1127</v>
      </c>
      <c r="M228" s="7" t="s">
        <v>1128</v>
      </c>
      <c r="N228" s="9">
        <v>37204.0</v>
      </c>
    </row>
    <row r="229" ht="19.5" customHeight="1">
      <c r="A229" s="6" t="s">
        <v>1129</v>
      </c>
      <c r="B229" s="7" t="s">
        <v>6</v>
      </c>
      <c r="C229" s="7" t="s">
        <v>1130</v>
      </c>
      <c r="D229" s="7" t="s">
        <v>6</v>
      </c>
      <c r="E229" s="7" t="s">
        <v>45</v>
      </c>
      <c r="F229" s="6" t="s">
        <v>46</v>
      </c>
      <c r="G229" s="7" t="s">
        <v>47</v>
      </c>
      <c r="H229" s="7" t="s">
        <v>48</v>
      </c>
      <c r="I229" s="6" t="s">
        <v>315</v>
      </c>
      <c r="J229" s="7" t="s">
        <v>1131</v>
      </c>
      <c r="K229" s="6" t="s">
        <v>26</v>
      </c>
      <c r="L229" s="7" t="s">
        <v>1132</v>
      </c>
      <c r="M229" s="7" t="s">
        <v>1133</v>
      </c>
      <c r="N229" s="9">
        <v>45558.0</v>
      </c>
    </row>
    <row r="230" ht="19.5" customHeight="1">
      <c r="A230" s="6" t="s">
        <v>1134</v>
      </c>
      <c r="B230" s="7" t="s">
        <v>6</v>
      </c>
      <c r="C230" s="7" t="s">
        <v>1135</v>
      </c>
      <c r="D230" s="7" t="s">
        <v>6</v>
      </c>
      <c r="E230" s="7" t="s">
        <v>45</v>
      </c>
      <c r="F230" s="6" t="s">
        <v>46</v>
      </c>
      <c r="G230" s="7" t="s">
        <v>1136</v>
      </c>
      <c r="H230" s="7" t="s">
        <v>23</v>
      </c>
      <c r="I230" s="6" t="s">
        <v>166</v>
      </c>
      <c r="J230" s="7" t="s">
        <v>167</v>
      </c>
      <c r="K230" s="6" t="s">
        <v>81</v>
      </c>
      <c r="L230" s="7" t="s">
        <v>1138</v>
      </c>
      <c r="M230" s="7" t="s">
        <v>1139</v>
      </c>
      <c r="N230" s="9">
        <v>36506.0</v>
      </c>
    </row>
    <row r="231" ht="19.5" customHeight="1">
      <c r="A231" s="6" t="s">
        <v>1140</v>
      </c>
      <c r="B231" s="7" t="s">
        <v>6</v>
      </c>
      <c r="C231" s="7" t="s">
        <v>1141</v>
      </c>
      <c r="D231" s="7" t="s">
        <v>6</v>
      </c>
      <c r="E231" s="7" t="s">
        <v>45</v>
      </c>
      <c r="F231" s="6" t="s">
        <v>46</v>
      </c>
      <c r="G231" s="7" t="s">
        <v>47</v>
      </c>
      <c r="H231" s="7" t="s">
        <v>48</v>
      </c>
      <c r="I231" s="6" t="s">
        <v>131</v>
      </c>
      <c r="J231" s="7" t="s">
        <v>132</v>
      </c>
      <c r="K231" s="6" t="s">
        <v>26</v>
      </c>
      <c r="L231" s="7" t="s">
        <v>1142</v>
      </c>
      <c r="M231" s="7" t="s">
        <v>1143</v>
      </c>
      <c r="N231" s="9">
        <v>36378.0</v>
      </c>
    </row>
    <row r="232" ht="19.5" customHeight="1">
      <c r="A232" s="6" t="s">
        <v>1144</v>
      </c>
      <c r="B232" s="7" t="s">
        <v>6</v>
      </c>
      <c r="C232" s="7" t="s">
        <v>1145</v>
      </c>
      <c r="D232" s="7" t="s">
        <v>6</v>
      </c>
      <c r="E232" s="7" t="s">
        <v>45</v>
      </c>
      <c r="F232" s="6" t="s">
        <v>46</v>
      </c>
      <c r="G232" s="7" t="s">
        <v>1146</v>
      </c>
      <c r="H232" s="7" t="s">
        <v>48</v>
      </c>
      <c r="I232" s="6" t="s">
        <v>112</v>
      </c>
      <c r="J232" s="7" t="s">
        <v>113</v>
      </c>
      <c r="K232" s="6" t="s">
        <v>81</v>
      </c>
      <c r="L232" s="7" t="s">
        <v>1147</v>
      </c>
      <c r="M232" s="7" t="s">
        <v>1148</v>
      </c>
      <c r="N232" s="9">
        <v>32503.0</v>
      </c>
    </row>
    <row r="233" ht="19.5" customHeight="1">
      <c r="A233" s="6" t="s">
        <v>1149</v>
      </c>
      <c r="B233" s="7" t="s">
        <v>6</v>
      </c>
      <c r="C233" s="7" t="s">
        <v>1150</v>
      </c>
      <c r="D233" s="7" t="s">
        <v>6</v>
      </c>
      <c r="E233" s="7" t="s">
        <v>45</v>
      </c>
      <c r="F233" s="6" t="s">
        <v>46</v>
      </c>
      <c r="G233" s="7" t="s">
        <v>47</v>
      </c>
      <c r="H233" s="7" t="s">
        <v>48</v>
      </c>
      <c r="I233" s="6" t="s">
        <v>189</v>
      </c>
      <c r="J233" s="7" t="s">
        <v>210</v>
      </c>
      <c r="K233" s="6" t="s">
        <v>81</v>
      </c>
      <c r="L233" s="7" t="s">
        <v>1151</v>
      </c>
      <c r="M233" s="7" t="s">
        <v>1152</v>
      </c>
      <c r="N233" s="9">
        <v>34697.0</v>
      </c>
    </row>
    <row r="234" ht="19.5" customHeight="1">
      <c r="A234" s="6" t="s">
        <v>1153</v>
      </c>
      <c r="B234" s="7" t="s">
        <v>6</v>
      </c>
      <c r="C234" s="7" t="s">
        <v>1154</v>
      </c>
      <c r="D234" s="7" t="s">
        <v>6</v>
      </c>
      <c r="E234" s="7" t="s">
        <v>45</v>
      </c>
      <c r="F234" s="6" t="s">
        <v>46</v>
      </c>
      <c r="G234" s="7" t="s">
        <v>47</v>
      </c>
      <c r="H234" s="7" t="s">
        <v>48</v>
      </c>
      <c r="I234" s="6" t="s">
        <v>105</v>
      </c>
      <c r="J234" s="7" t="s">
        <v>106</v>
      </c>
      <c r="K234" s="6" t="s">
        <v>26</v>
      </c>
      <c r="L234" s="7" t="s">
        <v>1155</v>
      </c>
      <c r="M234" s="7" t="s">
        <v>1156</v>
      </c>
      <c r="N234" s="9">
        <v>38733.0</v>
      </c>
    </row>
    <row r="235" ht="19.5" customHeight="1">
      <c r="A235" s="6" t="s">
        <v>1157</v>
      </c>
      <c r="B235" s="7" t="s">
        <v>6</v>
      </c>
      <c r="C235" s="7" t="s">
        <v>1158</v>
      </c>
      <c r="D235" s="7" t="s">
        <v>6</v>
      </c>
      <c r="E235" s="7" t="s">
        <v>45</v>
      </c>
      <c r="F235" s="6" t="s">
        <v>46</v>
      </c>
      <c r="G235" s="7" t="s">
        <v>47</v>
      </c>
      <c r="H235" s="7" t="s">
        <v>48</v>
      </c>
      <c r="I235" s="6" t="s">
        <v>61</v>
      </c>
      <c r="J235" s="7" t="s">
        <v>62</v>
      </c>
      <c r="K235" s="6" t="s">
        <v>26</v>
      </c>
      <c r="L235" s="7" t="s">
        <v>1159</v>
      </c>
      <c r="M235" s="7" t="s">
        <v>1160</v>
      </c>
      <c r="N235" s="9">
        <v>38197.0</v>
      </c>
    </row>
    <row r="236" ht="19.5" customHeight="1">
      <c r="A236" s="6" t="s">
        <v>1161</v>
      </c>
      <c r="B236" s="7" t="s">
        <v>6</v>
      </c>
      <c r="C236" s="7" t="s">
        <v>1162</v>
      </c>
      <c r="D236" s="7" t="s">
        <v>6</v>
      </c>
      <c r="E236" s="7" t="s">
        <v>45</v>
      </c>
      <c r="F236" s="6" t="s">
        <v>46</v>
      </c>
      <c r="G236" s="7" t="s">
        <v>47</v>
      </c>
      <c r="H236" s="7" t="s">
        <v>48</v>
      </c>
      <c r="I236" s="6" t="s">
        <v>193</v>
      </c>
      <c r="J236" s="7" t="s">
        <v>200</v>
      </c>
      <c r="K236" s="6" t="s">
        <v>26</v>
      </c>
      <c r="L236" s="7" t="s">
        <v>1163</v>
      </c>
      <c r="M236" s="7" t="s">
        <v>6</v>
      </c>
      <c r="N236" s="9">
        <v>35325.0</v>
      </c>
    </row>
    <row r="237" ht="19.5" customHeight="1">
      <c r="A237" s="6" t="s">
        <v>1164</v>
      </c>
      <c r="B237" s="7" t="s">
        <v>6</v>
      </c>
      <c r="C237" s="7" t="s">
        <v>1165</v>
      </c>
      <c r="D237" s="7" t="s">
        <v>6</v>
      </c>
      <c r="E237" s="7" t="s">
        <v>45</v>
      </c>
      <c r="F237" s="6" t="s">
        <v>46</v>
      </c>
      <c r="G237" s="7" t="s">
        <v>47</v>
      </c>
      <c r="H237" s="7" t="s">
        <v>48</v>
      </c>
      <c r="I237" s="6" t="s">
        <v>148</v>
      </c>
      <c r="J237" s="7" t="s">
        <v>182</v>
      </c>
      <c r="K237" s="6" t="s">
        <v>26</v>
      </c>
      <c r="L237" s="7" t="s">
        <v>1166</v>
      </c>
      <c r="M237" s="7" t="s">
        <v>1167</v>
      </c>
      <c r="N237" s="9">
        <v>31075.0</v>
      </c>
    </row>
    <row r="238" ht="19.5" customHeight="1">
      <c r="A238" s="6" t="s">
        <v>1168</v>
      </c>
      <c r="B238" s="7" t="s">
        <v>6</v>
      </c>
      <c r="C238" s="7" t="s">
        <v>1169</v>
      </c>
      <c r="D238" s="7" t="s">
        <v>6</v>
      </c>
      <c r="E238" s="7" t="s">
        <v>45</v>
      </c>
      <c r="F238" s="6" t="s">
        <v>46</v>
      </c>
      <c r="G238" s="7" t="s">
        <v>47</v>
      </c>
      <c r="H238" s="7" t="s">
        <v>48</v>
      </c>
      <c r="I238" s="6" t="s">
        <v>193</v>
      </c>
      <c r="J238" s="7" t="s">
        <v>200</v>
      </c>
      <c r="K238" s="6" t="s">
        <v>26</v>
      </c>
      <c r="L238" s="7" t="s">
        <v>1170</v>
      </c>
      <c r="M238" s="7" t="s">
        <v>1171</v>
      </c>
      <c r="N238" s="9">
        <v>35147.0</v>
      </c>
    </row>
    <row r="239" ht="19.5" customHeight="1">
      <c r="A239" s="6" t="s">
        <v>1172</v>
      </c>
      <c r="B239" s="7" t="s">
        <v>6</v>
      </c>
      <c r="C239" s="7" t="s">
        <v>1173</v>
      </c>
      <c r="D239" s="7" t="s">
        <v>6</v>
      </c>
      <c r="E239" s="7" t="s">
        <v>45</v>
      </c>
      <c r="F239" s="6" t="s">
        <v>46</v>
      </c>
      <c r="G239" s="7" t="s">
        <v>1175</v>
      </c>
      <c r="H239" s="7" t="s">
        <v>48</v>
      </c>
      <c r="I239" s="6" t="s">
        <v>198</v>
      </c>
      <c r="J239" s="7" t="s">
        <v>337</v>
      </c>
      <c r="K239" s="6" t="s">
        <v>26</v>
      </c>
      <c r="L239" s="7" t="s">
        <v>1176</v>
      </c>
      <c r="M239" s="7" t="s">
        <v>1177</v>
      </c>
      <c r="N239" s="9">
        <v>35630.0</v>
      </c>
    </row>
    <row r="240" ht="19.5" customHeight="1">
      <c r="A240" s="6" t="s">
        <v>1178</v>
      </c>
      <c r="B240" s="7" t="s">
        <v>6</v>
      </c>
      <c r="C240" s="7" t="s">
        <v>1179</v>
      </c>
      <c r="D240" s="7" t="s">
        <v>6</v>
      </c>
      <c r="E240" s="7" t="s">
        <v>45</v>
      </c>
      <c r="F240" s="6" t="s">
        <v>46</v>
      </c>
      <c r="G240" s="7" t="s">
        <v>1180</v>
      </c>
      <c r="H240" s="7" t="s">
        <v>48</v>
      </c>
      <c r="I240" s="6" t="s">
        <v>320</v>
      </c>
      <c r="J240" s="7" t="s">
        <v>590</v>
      </c>
      <c r="K240" s="6" t="s">
        <v>81</v>
      </c>
      <c r="L240" s="7" t="s">
        <v>1181</v>
      </c>
      <c r="M240" s="7" t="s">
        <v>1182</v>
      </c>
      <c r="N240" s="9">
        <v>45647.0</v>
      </c>
    </row>
    <row r="241" ht="19.5" customHeight="1">
      <c r="A241" s="6" t="s">
        <v>1183</v>
      </c>
      <c r="B241" s="7" t="s">
        <v>6</v>
      </c>
      <c r="C241" s="7" t="s">
        <v>1184</v>
      </c>
      <c r="D241" s="7" t="s">
        <v>6</v>
      </c>
      <c r="E241" s="7" t="s">
        <v>45</v>
      </c>
      <c r="F241" s="6" t="s">
        <v>46</v>
      </c>
      <c r="G241" s="7" t="s">
        <v>1185</v>
      </c>
      <c r="H241" s="7" t="s">
        <v>48</v>
      </c>
      <c r="I241" s="6" t="s">
        <v>193</v>
      </c>
      <c r="J241" s="7" t="s">
        <v>200</v>
      </c>
      <c r="K241" s="6" t="s">
        <v>26</v>
      </c>
      <c r="L241" s="7" t="s">
        <v>1186</v>
      </c>
      <c r="M241" s="7" t="s">
        <v>1187</v>
      </c>
      <c r="N241" s="9">
        <v>35113.0</v>
      </c>
    </row>
    <row r="242" ht="19.5" customHeight="1">
      <c r="A242" s="6" t="s">
        <v>1188</v>
      </c>
      <c r="B242" s="7" t="s">
        <v>6</v>
      </c>
      <c r="C242" s="7" t="s">
        <v>1189</v>
      </c>
      <c r="D242" s="7" t="s">
        <v>6</v>
      </c>
      <c r="E242" s="7" t="s">
        <v>45</v>
      </c>
      <c r="F242" s="6" t="s">
        <v>46</v>
      </c>
      <c r="G242" s="7" t="s">
        <v>1190</v>
      </c>
      <c r="H242" s="7" t="s">
        <v>48</v>
      </c>
      <c r="I242" s="6" t="s">
        <v>198</v>
      </c>
      <c r="J242" s="7" t="s">
        <v>337</v>
      </c>
      <c r="K242" s="6" t="s">
        <v>26</v>
      </c>
      <c r="L242" s="7" t="s">
        <v>1191</v>
      </c>
      <c r="M242" s="7" t="s">
        <v>1192</v>
      </c>
      <c r="N242" s="9">
        <v>35629.0</v>
      </c>
    </row>
    <row r="243" ht="19.5" customHeight="1">
      <c r="A243" s="6" t="s">
        <v>1193</v>
      </c>
      <c r="B243" s="7" t="s">
        <v>6</v>
      </c>
      <c r="C243" s="7" t="s">
        <v>1194</v>
      </c>
      <c r="D243" s="7" t="s">
        <v>6</v>
      </c>
      <c r="E243" s="7" t="s">
        <v>45</v>
      </c>
      <c r="F243" s="6" t="s">
        <v>46</v>
      </c>
      <c r="G243" s="7" t="s">
        <v>1195</v>
      </c>
      <c r="H243" s="7" t="s">
        <v>48</v>
      </c>
      <c r="I243" s="6" t="s">
        <v>193</v>
      </c>
      <c r="J243" s="7" t="s">
        <v>200</v>
      </c>
      <c r="K243" s="6" t="s">
        <v>81</v>
      </c>
      <c r="L243" s="7" t="s">
        <v>1196</v>
      </c>
      <c r="M243" s="7" t="s">
        <v>1197</v>
      </c>
      <c r="N243" s="9">
        <v>34985.0</v>
      </c>
    </row>
    <row r="244" ht="19.5" customHeight="1">
      <c r="A244" s="6" t="s">
        <v>1198</v>
      </c>
      <c r="B244" s="7" t="s">
        <v>6</v>
      </c>
      <c r="C244" s="7" t="s">
        <v>1199</v>
      </c>
      <c r="D244" s="7" t="s">
        <v>6</v>
      </c>
      <c r="E244" s="7" t="s">
        <v>45</v>
      </c>
      <c r="F244" s="6" t="s">
        <v>46</v>
      </c>
      <c r="G244" s="7" t="s">
        <v>1200</v>
      </c>
      <c r="H244" s="7" t="s">
        <v>48</v>
      </c>
      <c r="I244" s="6" t="s">
        <v>92</v>
      </c>
      <c r="J244" s="7" t="s">
        <v>93</v>
      </c>
      <c r="K244" s="6" t="s">
        <v>26</v>
      </c>
      <c r="L244" s="7" t="s">
        <v>1201</v>
      </c>
      <c r="M244" s="7" t="s">
        <v>1202</v>
      </c>
      <c r="N244" s="9">
        <v>35802.0</v>
      </c>
    </row>
    <row r="245" ht="19.5" customHeight="1">
      <c r="A245" s="6" t="s">
        <v>1203</v>
      </c>
      <c r="B245" s="7" t="s">
        <v>6</v>
      </c>
      <c r="C245" s="7" t="s">
        <v>1204</v>
      </c>
      <c r="D245" s="7" t="s">
        <v>6</v>
      </c>
      <c r="E245" s="7" t="s">
        <v>45</v>
      </c>
      <c r="F245" s="6" t="s">
        <v>46</v>
      </c>
      <c r="G245" s="7" t="s">
        <v>1185</v>
      </c>
      <c r="H245" s="7" t="s">
        <v>23</v>
      </c>
      <c r="I245" s="6" t="s">
        <v>131</v>
      </c>
      <c r="J245" s="7" t="s">
        <v>132</v>
      </c>
      <c r="K245" s="6" t="s">
        <v>26</v>
      </c>
      <c r="L245" s="7" t="s">
        <v>1205</v>
      </c>
      <c r="M245" s="7" t="s">
        <v>1206</v>
      </c>
      <c r="N245" s="9">
        <v>36259.0</v>
      </c>
    </row>
    <row r="246" ht="19.5" customHeight="1">
      <c r="A246" s="6" t="s">
        <v>1207</v>
      </c>
      <c r="B246" s="7" t="s">
        <v>6</v>
      </c>
      <c r="C246" s="7" t="s">
        <v>1209</v>
      </c>
      <c r="D246" s="7" t="s">
        <v>6</v>
      </c>
      <c r="E246" s="7" t="s">
        <v>45</v>
      </c>
      <c r="F246" s="6" t="s">
        <v>46</v>
      </c>
      <c r="G246" s="7" t="s">
        <v>1210</v>
      </c>
      <c r="H246" s="7" t="s">
        <v>48</v>
      </c>
      <c r="I246" s="6" t="s">
        <v>112</v>
      </c>
      <c r="J246" s="7" t="s">
        <v>113</v>
      </c>
      <c r="K246" s="6" t="s">
        <v>26</v>
      </c>
      <c r="L246" s="7" t="s">
        <v>1211</v>
      </c>
      <c r="M246" s="7" t="s">
        <v>1212</v>
      </c>
      <c r="N246" s="9">
        <v>32537.0</v>
      </c>
    </row>
    <row r="247" ht="19.5" customHeight="1">
      <c r="A247" s="6" t="s">
        <v>1213</v>
      </c>
      <c r="B247" s="7" t="s">
        <v>6</v>
      </c>
      <c r="C247" s="7" t="s">
        <v>1214</v>
      </c>
      <c r="D247" s="7" t="s">
        <v>6</v>
      </c>
      <c r="E247" s="7" t="s">
        <v>45</v>
      </c>
      <c r="F247" s="6" t="s">
        <v>46</v>
      </c>
      <c r="G247" s="7" t="s">
        <v>1215</v>
      </c>
      <c r="H247" s="7" t="s">
        <v>48</v>
      </c>
      <c r="I247" s="6" t="s">
        <v>189</v>
      </c>
      <c r="J247" s="7" t="s">
        <v>210</v>
      </c>
      <c r="K247" s="6" t="s">
        <v>26</v>
      </c>
      <c r="L247" s="7" t="s">
        <v>1216</v>
      </c>
      <c r="M247" s="7" t="s">
        <v>1217</v>
      </c>
      <c r="N247" s="9">
        <v>34763.0</v>
      </c>
    </row>
    <row r="248" ht="19.5" customHeight="1">
      <c r="A248" s="6" t="s">
        <v>1218</v>
      </c>
      <c r="B248" s="7" t="s">
        <v>6</v>
      </c>
      <c r="C248" s="7" t="s">
        <v>1219</v>
      </c>
      <c r="D248" s="7" t="s">
        <v>6</v>
      </c>
      <c r="E248" s="7" t="s">
        <v>45</v>
      </c>
      <c r="F248" s="6" t="s">
        <v>46</v>
      </c>
      <c r="G248" s="7" t="s">
        <v>433</v>
      </c>
      <c r="H248" s="7" t="s">
        <v>48</v>
      </c>
      <c r="I248" s="6" t="s">
        <v>159</v>
      </c>
      <c r="J248" s="7" t="s">
        <v>1027</v>
      </c>
      <c r="K248" s="6" t="s">
        <v>81</v>
      </c>
      <c r="L248" s="7" t="s">
        <v>1220</v>
      </c>
      <c r="M248" s="7" t="s">
        <v>1221</v>
      </c>
      <c r="N248" s="9">
        <v>31750.0</v>
      </c>
    </row>
    <row r="249" ht="19.5" customHeight="1">
      <c r="A249" s="6" t="s">
        <v>1222</v>
      </c>
      <c r="B249" s="7" t="s">
        <v>6</v>
      </c>
      <c r="C249" s="7" t="s">
        <v>1223</v>
      </c>
      <c r="D249" s="7" t="s">
        <v>6</v>
      </c>
      <c r="E249" s="7" t="s">
        <v>45</v>
      </c>
      <c r="F249" s="6" t="s">
        <v>46</v>
      </c>
      <c r="G249" s="7" t="s">
        <v>1224</v>
      </c>
      <c r="H249" s="7" t="s">
        <v>48</v>
      </c>
      <c r="I249" s="6" t="s">
        <v>184</v>
      </c>
      <c r="J249" s="7" t="s">
        <v>439</v>
      </c>
      <c r="K249" s="6" t="s">
        <v>26</v>
      </c>
      <c r="L249" s="7" t="s">
        <v>1225</v>
      </c>
      <c r="M249" s="7" t="s">
        <v>1226</v>
      </c>
      <c r="N249" s="9">
        <v>34537.0</v>
      </c>
    </row>
    <row r="250" ht="19.5" customHeight="1">
      <c r="A250" s="6" t="s">
        <v>1227</v>
      </c>
      <c r="B250" s="7" t="s">
        <v>6</v>
      </c>
      <c r="C250" s="7" t="s">
        <v>1228</v>
      </c>
      <c r="D250" s="7" t="s">
        <v>6</v>
      </c>
      <c r="E250" s="7" t="s">
        <v>45</v>
      </c>
      <c r="F250" s="6" t="s">
        <v>46</v>
      </c>
      <c r="G250" s="7" t="s">
        <v>1229</v>
      </c>
      <c r="H250" s="7" t="s">
        <v>48</v>
      </c>
      <c r="I250" s="6" t="s">
        <v>184</v>
      </c>
      <c r="J250" s="7" t="s">
        <v>439</v>
      </c>
      <c r="K250" s="6" t="s">
        <v>26</v>
      </c>
      <c r="L250" s="7" t="s">
        <v>1230</v>
      </c>
      <c r="M250" s="7" t="s">
        <v>1231</v>
      </c>
      <c r="N250" s="9">
        <v>34523.0</v>
      </c>
    </row>
    <row r="251" ht="19.5" customHeight="1">
      <c r="A251" s="6" t="s">
        <v>1232</v>
      </c>
      <c r="B251" s="7" t="s">
        <v>6</v>
      </c>
      <c r="C251" s="7" t="s">
        <v>1233</v>
      </c>
      <c r="D251" s="7" t="s">
        <v>6</v>
      </c>
      <c r="E251" s="7" t="s">
        <v>45</v>
      </c>
      <c r="F251" s="6" t="s">
        <v>46</v>
      </c>
      <c r="G251" s="7" t="s">
        <v>1234</v>
      </c>
      <c r="H251" s="7" t="s">
        <v>48</v>
      </c>
      <c r="I251" s="6" t="s">
        <v>189</v>
      </c>
      <c r="J251" s="7" t="s">
        <v>210</v>
      </c>
      <c r="K251" s="6" t="s">
        <v>81</v>
      </c>
      <c r="L251" s="7" t="s">
        <v>1235</v>
      </c>
      <c r="M251" s="7" t="s">
        <v>1236</v>
      </c>
      <c r="N251" s="9">
        <v>34698.0</v>
      </c>
    </row>
    <row r="252" ht="19.5" customHeight="1">
      <c r="A252" s="6" t="s">
        <v>1237</v>
      </c>
      <c r="B252" s="7" t="s">
        <v>6</v>
      </c>
      <c r="C252" s="7" t="s">
        <v>1238</v>
      </c>
      <c r="D252" s="7" t="s">
        <v>6</v>
      </c>
      <c r="E252" s="7" t="s">
        <v>45</v>
      </c>
      <c r="F252" s="6" t="s">
        <v>46</v>
      </c>
      <c r="G252" s="7" t="s">
        <v>1239</v>
      </c>
      <c r="H252" s="7" t="s">
        <v>48</v>
      </c>
      <c r="I252" s="6" t="s">
        <v>145</v>
      </c>
      <c r="J252" s="7" t="s">
        <v>146</v>
      </c>
      <c r="K252" s="6" t="s">
        <v>26</v>
      </c>
      <c r="L252" s="7" t="s">
        <v>1240</v>
      </c>
      <c r="M252" s="7" t="s">
        <v>1241</v>
      </c>
      <c r="N252" s="9">
        <v>37303.0</v>
      </c>
    </row>
    <row r="253" ht="19.5" customHeight="1">
      <c r="A253" s="6" t="s">
        <v>1242</v>
      </c>
      <c r="B253" s="7" t="s">
        <v>6</v>
      </c>
      <c r="C253" s="7" t="s">
        <v>1243</v>
      </c>
      <c r="D253" s="7" t="s">
        <v>6</v>
      </c>
      <c r="E253" s="7" t="s">
        <v>45</v>
      </c>
      <c r="F253" s="6" t="s">
        <v>46</v>
      </c>
      <c r="G253" s="7" t="s">
        <v>1244</v>
      </c>
      <c r="H253" s="7" t="s">
        <v>48</v>
      </c>
      <c r="I253" s="6" t="s">
        <v>198</v>
      </c>
      <c r="J253" s="7" t="s">
        <v>337</v>
      </c>
      <c r="K253" s="6" t="s">
        <v>26</v>
      </c>
      <c r="L253" s="7" t="s">
        <v>1245</v>
      </c>
      <c r="M253" s="7" t="s">
        <v>1246</v>
      </c>
      <c r="N253" s="9">
        <v>35674.0</v>
      </c>
    </row>
    <row r="254" ht="19.5" customHeight="1">
      <c r="A254" s="6" t="s">
        <v>1247</v>
      </c>
      <c r="B254" s="7" t="s">
        <v>6</v>
      </c>
      <c r="C254" s="7" t="s">
        <v>1248</v>
      </c>
      <c r="D254" s="7" t="s">
        <v>6</v>
      </c>
      <c r="E254" s="7" t="s">
        <v>45</v>
      </c>
      <c r="F254" s="6" t="s">
        <v>46</v>
      </c>
      <c r="G254" s="7" t="s">
        <v>1249</v>
      </c>
      <c r="H254" s="7" t="s">
        <v>48</v>
      </c>
      <c r="I254" s="6" t="s">
        <v>49</v>
      </c>
      <c r="J254" s="7" t="s">
        <v>50</v>
      </c>
      <c r="K254" s="6" t="s">
        <v>26</v>
      </c>
      <c r="L254" s="7" t="s">
        <v>1250</v>
      </c>
      <c r="M254" s="7" t="s">
        <v>1251</v>
      </c>
      <c r="N254" s="9">
        <v>37004.0</v>
      </c>
    </row>
    <row r="255" ht="19.5" customHeight="1">
      <c r="A255" s="6" t="s">
        <v>1252</v>
      </c>
      <c r="B255" s="7" t="s">
        <v>6</v>
      </c>
      <c r="C255" s="7" t="s">
        <v>1253</v>
      </c>
      <c r="D255" s="7" t="s">
        <v>6</v>
      </c>
      <c r="E255" s="7" t="s">
        <v>45</v>
      </c>
      <c r="F255" s="6" t="s">
        <v>46</v>
      </c>
      <c r="G255" s="7" t="s">
        <v>1254</v>
      </c>
      <c r="H255" s="7" t="s">
        <v>48</v>
      </c>
      <c r="I255" s="6" t="s">
        <v>1255</v>
      </c>
      <c r="J255" s="7" t="s">
        <v>1256</v>
      </c>
      <c r="K255" s="6" t="s">
        <v>26</v>
      </c>
      <c r="L255" s="7" t="s">
        <v>1257</v>
      </c>
      <c r="M255" s="7" t="s">
        <v>1258</v>
      </c>
      <c r="N255" s="9">
        <v>32294.0</v>
      </c>
    </row>
    <row r="256" ht="19.5" customHeight="1">
      <c r="A256" s="6" t="s">
        <v>1259</v>
      </c>
      <c r="B256" s="7" t="s">
        <v>6</v>
      </c>
      <c r="C256" s="7" t="s">
        <v>1260</v>
      </c>
      <c r="D256" s="7" t="s">
        <v>6</v>
      </c>
      <c r="E256" s="7" t="s">
        <v>45</v>
      </c>
      <c r="F256" s="6" t="s">
        <v>46</v>
      </c>
      <c r="G256" s="7" t="s">
        <v>47</v>
      </c>
      <c r="H256" s="7" t="s">
        <v>48</v>
      </c>
      <c r="I256" s="6" t="s">
        <v>49</v>
      </c>
      <c r="J256" s="7" t="s">
        <v>50</v>
      </c>
      <c r="K256" s="6" t="s">
        <v>26</v>
      </c>
      <c r="L256" s="7" t="s">
        <v>1261</v>
      </c>
      <c r="M256" s="7" t="s">
        <v>1262</v>
      </c>
      <c r="N256" s="9">
        <v>36899.0</v>
      </c>
    </row>
    <row r="257" ht="19.5" customHeight="1">
      <c r="A257" s="6" t="s">
        <v>1263</v>
      </c>
      <c r="B257" s="7" t="s">
        <v>6</v>
      </c>
      <c r="C257" s="7" t="s">
        <v>1264</v>
      </c>
      <c r="D257" s="7" t="s">
        <v>6</v>
      </c>
      <c r="E257" s="7" t="s">
        <v>45</v>
      </c>
      <c r="F257" s="6" t="s">
        <v>46</v>
      </c>
      <c r="G257" s="7" t="s">
        <v>1265</v>
      </c>
      <c r="H257" s="7" t="s">
        <v>48</v>
      </c>
      <c r="I257" s="6" t="s">
        <v>176</v>
      </c>
      <c r="J257" s="7" t="s">
        <v>428</v>
      </c>
      <c r="K257" s="6" t="s">
        <v>26</v>
      </c>
      <c r="L257" s="7" t="s">
        <v>1266</v>
      </c>
      <c r="M257" s="7" t="s">
        <v>1267</v>
      </c>
      <c r="N257" s="9">
        <v>33877.0</v>
      </c>
    </row>
    <row r="258" ht="19.5" customHeight="1">
      <c r="A258" s="6" t="s">
        <v>1268</v>
      </c>
      <c r="B258" s="7" t="s">
        <v>6</v>
      </c>
      <c r="C258" s="7" t="s">
        <v>1269</v>
      </c>
      <c r="D258" s="7" t="s">
        <v>6</v>
      </c>
      <c r="E258" s="7" t="s">
        <v>45</v>
      </c>
      <c r="F258" s="6" t="s">
        <v>46</v>
      </c>
      <c r="G258" s="7" t="s">
        <v>1270</v>
      </c>
      <c r="H258" s="7" t="s">
        <v>48</v>
      </c>
      <c r="I258" s="6" t="s">
        <v>193</v>
      </c>
      <c r="J258" s="7" t="s">
        <v>200</v>
      </c>
      <c r="K258" s="6" t="s">
        <v>81</v>
      </c>
      <c r="L258" s="7" t="s">
        <v>1271</v>
      </c>
      <c r="M258" s="7" t="s">
        <v>1272</v>
      </c>
      <c r="N258" s="9">
        <v>35014.0</v>
      </c>
    </row>
    <row r="259" ht="19.5" customHeight="1">
      <c r="A259" s="6" t="s">
        <v>1273</v>
      </c>
      <c r="B259" s="7" t="s">
        <v>6</v>
      </c>
      <c r="C259" s="7" t="s">
        <v>1274</v>
      </c>
      <c r="D259" s="7" t="s">
        <v>6</v>
      </c>
      <c r="E259" s="7" t="s">
        <v>45</v>
      </c>
      <c r="F259" s="6" t="s">
        <v>46</v>
      </c>
      <c r="G259" s="7" t="s">
        <v>47</v>
      </c>
      <c r="H259" s="7" t="s">
        <v>48</v>
      </c>
      <c r="I259" s="6" t="s">
        <v>145</v>
      </c>
      <c r="J259" s="7" t="s">
        <v>146</v>
      </c>
      <c r="K259" s="6" t="s">
        <v>81</v>
      </c>
      <c r="L259" s="7" t="s">
        <v>1275</v>
      </c>
      <c r="M259" s="7" t="s">
        <v>1276</v>
      </c>
      <c r="N259" s="9">
        <v>37243.0</v>
      </c>
    </row>
    <row r="260" ht="19.5" customHeight="1">
      <c r="A260" s="6" t="s">
        <v>1277</v>
      </c>
      <c r="B260" s="7" t="s">
        <v>6</v>
      </c>
      <c r="C260" s="7" t="s">
        <v>1278</v>
      </c>
      <c r="D260" s="7" t="s">
        <v>6</v>
      </c>
      <c r="E260" s="7" t="s">
        <v>45</v>
      </c>
      <c r="F260" s="6" t="s">
        <v>46</v>
      </c>
      <c r="G260" s="7" t="s">
        <v>47</v>
      </c>
      <c r="H260" s="7" t="s">
        <v>48</v>
      </c>
      <c r="I260" s="6" t="s">
        <v>49</v>
      </c>
      <c r="J260" s="7" t="s">
        <v>50</v>
      </c>
      <c r="K260" s="6" t="s">
        <v>26</v>
      </c>
      <c r="L260" s="7" t="s">
        <v>1279</v>
      </c>
      <c r="M260" s="7" t="s">
        <v>1280</v>
      </c>
      <c r="N260" s="9">
        <v>36956.0</v>
      </c>
    </row>
    <row r="261" ht="19.5" customHeight="1">
      <c r="A261" s="6" t="s">
        <v>1281</v>
      </c>
      <c r="B261" s="7" t="s">
        <v>6</v>
      </c>
      <c r="C261" s="7" t="s">
        <v>1282</v>
      </c>
      <c r="D261" s="7" t="s">
        <v>6</v>
      </c>
      <c r="E261" s="7" t="s">
        <v>45</v>
      </c>
      <c r="F261" s="6" t="s">
        <v>46</v>
      </c>
      <c r="G261" s="7" t="s">
        <v>47</v>
      </c>
      <c r="H261" s="7" t="s">
        <v>48</v>
      </c>
      <c r="I261" s="6" t="s">
        <v>49</v>
      </c>
      <c r="J261" s="7" t="s">
        <v>50</v>
      </c>
      <c r="K261" s="6" t="s">
        <v>26</v>
      </c>
      <c r="L261" s="7" t="s">
        <v>1283</v>
      </c>
      <c r="M261" s="7" t="s">
        <v>1284</v>
      </c>
      <c r="N261" s="9">
        <v>37040.0</v>
      </c>
    </row>
    <row r="262" ht="19.5" customHeight="1">
      <c r="A262" s="6" t="s">
        <v>1285</v>
      </c>
      <c r="B262" s="7" t="s">
        <v>6</v>
      </c>
      <c r="C262" s="7" t="s">
        <v>1286</v>
      </c>
      <c r="D262" s="7" t="s">
        <v>6</v>
      </c>
      <c r="E262" s="7" t="s">
        <v>45</v>
      </c>
      <c r="F262" s="6" t="s">
        <v>46</v>
      </c>
      <c r="G262" s="7" t="s">
        <v>1287</v>
      </c>
      <c r="H262" s="7" t="s">
        <v>48</v>
      </c>
      <c r="I262" s="6" t="s">
        <v>124</v>
      </c>
      <c r="J262" s="7" t="s">
        <v>125</v>
      </c>
      <c r="K262" s="6" t="s">
        <v>26</v>
      </c>
      <c r="L262" s="7" t="s">
        <v>1288</v>
      </c>
      <c r="M262" s="7" t="s">
        <v>1289</v>
      </c>
      <c r="N262" s="9">
        <v>32965.0</v>
      </c>
    </row>
    <row r="263" ht="19.5" customHeight="1">
      <c r="A263" s="6" t="s">
        <v>1290</v>
      </c>
      <c r="B263" s="7" t="s">
        <v>6</v>
      </c>
      <c r="C263" s="7" t="s">
        <v>1291</v>
      </c>
      <c r="D263" s="7" t="s">
        <v>6</v>
      </c>
      <c r="E263" s="7" t="s">
        <v>45</v>
      </c>
      <c r="F263" s="6" t="s">
        <v>46</v>
      </c>
      <c r="G263" s="7" t="s">
        <v>47</v>
      </c>
      <c r="H263" s="7" t="s">
        <v>48</v>
      </c>
      <c r="I263" s="6" t="s">
        <v>154</v>
      </c>
      <c r="J263" s="7" t="s">
        <v>434</v>
      </c>
      <c r="K263" s="6" t="s">
        <v>81</v>
      </c>
      <c r="L263" s="7" t="s">
        <v>1292</v>
      </c>
      <c r="M263" s="7" t="s">
        <v>1293</v>
      </c>
      <c r="N263" s="9">
        <v>31345.0</v>
      </c>
    </row>
    <row r="264" ht="19.5" customHeight="1">
      <c r="A264" s="6" t="s">
        <v>1294</v>
      </c>
      <c r="B264" s="7" t="s">
        <v>6</v>
      </c>
      <c r="C264" s="7" t="s">
        <v>1295</v>
      </c>
      <c r="D264" s="7" t="s">
        <v>6</v>
      </c>
      <c r="E264" s="7" t="s">
        <v>45</v>
      </c>
      <c r="F264" s="6" t="s">
        <v>46</v>
      </c>
      <c r="G264" s="7" t="s">
        <v>47</v>
      </c>
      <c r="H264" s="7" t="s">
        <v>48</v>
      </c>
      <c r="I264" s="6" t="s">
        <v>170</v>
      </c>
      <c r="J264" s="7" t="s">
        <v>409</v>
      </c>
      <c r="K264" s="6" t="s">
        <v>26</v>
      </c>
      <c r="L264" s="7" t="s">
        <v>1296</v>
      </c>
      <c r="M264" s="7" t="s">
        <v>1297</v>
      </c>
      <c r="N264" s="9">
        <v>33334.0</v>
      </c>
    </row>
    <row r="265" ht="19.5" customHeight="1">
      <c r="A265" s="6" t="s">
        <v>1298</v>
      </c>
      <c r="B265" s="7" t="s">
        <v>6</v>
      </c>
      <c r="C265" s="7" t="s">
        <v>1299</v>
      </c>
      <c r="D265" s="7" t="s">
        <v>6</v>
      </c>
      <c r="E265" s="7" t="s">
        <v>45</v>
      </c>
      <c r="F265" s="6" t="s">
        <v>46</v>
      </c>
      <c r="G265" s="7" t="s">
        <v>1300</v>
      </c>
      <c r="H265" s="7" t="s">
        <v>48</v>
      </c>
      <c r="I265" s="6" t="s">
        <v>184</v>
      </c>
      <c r="J265" s="7" t="s">
        <v>439</v>
      </c>
      <c r="K265" s="6" t="s">
        <v>81</v>
      </c>
      <c r="L265" s="7" t="s">
        <v>1301</v>
      </c>
      <c r="M265" s="7" t="s">
        <v>1303</v>
      </c>
      <c r="N265" s="9">
        <v>34275.0</v>
      </c>
    </row>
    <row r="266" ht="19.5" customHeight="1">
      <c r="A266" s="6" t="s">
        <v>1304</v>
      </c>
      <c r="B266" s="7" t="s">
        <v>6</v>
      </c>
      <c r="C266" s="7" t="s">
        <v>1305</v>
      </c>
      <c r="D266" s="7" t="s">
        <v>6</v>
      </c>
      <c r="E266" s="7" t="s">
        <v>45</v>
      </c>
      <c r="F266" s="6" t="s">
        <v>46</v>
      </c>
      <c r="G266" s="7" t="s">
        <v>1306</v>
      </c>
      <c r="H266" s="7" t="s">
        <v>48</v>
      </c>
      <c r="I266" s="6" t="s">
        <v>184</v>
      </c>
      <c r="J266" s="7" t="s">
        <v>439</v>
      </c>
      <c r="K266" s="6" t="s">
        <v>26</v>
      </c>
      <c r="L266" s="7" t="s">
        <v>1307</v>
      </c>
      <c r="M266" s="7" t="s">
        <v>1308</v>
      </c>
      <c r="N266" s="9">
        <v>34502.0</v>
      </c>
    </row>
    <row r="267" ht="19.5" customHeight="1">
      <c r="A267" s="6" t="s">
        <v>1309</v>
      </c>
      <c r="B267" s="7" t="s">
        <v>6</v>
      </c>
      <c r="C267" s="7" t="s">
        <v>1310</v>
      </c>
      <c r="D267" s="7" t="s">
        <v>6</v>
      </c>
      <c r="E267" s="7" t="s">
        <v>45</v>
      </c>
      <c r="F267" s="6" t="s">
        <v>46</v>
      </c>
      <c r="G267" s="7" t="s">
        <v>1311</v>
      </c>
      <c r="H267" s="7" t="s">
        <v>48</v>
      </c>
      <c r="I267" s="6" t="s">
        <v>159</v>
      </c>
      <c r="J267" s="7" t="s">
        <v>1027</v>
      </c>
      <c r="K267" s="6" t="s">
        <v>26</v>
      </c>
      <c r="L267" s="7" t="s">
        <v>1313</v>
      </c>
      <c r="M267" s="7" t="s">
        <v>1314</v>
      </c>
      <c r="N267" s="9">
        <v>31989.0</v>
      </c>
    </row>
    <row r="268" ht="19.5" customHeight="1">
      <c r="A268" s="6" t="s">
        <v>1315</v>
      </c>
      <c r="B268" s="7" t="s">
        <v>6</v>
      </c>
      <c r="C268" s="7" t="s">
        <v>1316</v>
      </c>
      <c r="D268" s="7" t="s">
        <v>6</v>
      </c>
      <c r="E268" s="7" t="s">
        <v>45</v>
      </c>
      <c r="F268" s="6" t="s">
        <v>46</v>
      </c>
      <c r="G268" s="7" t="s">
        <v>47</v>
      </c>
      <c r="H268" s="7" t="s">
        <v>48</v>
      </c>
      <c r="I268" s="6" t="s">
        <v>1255</v>
      </c>
      <c r="J268" s="7" t="s">
        <v>1256</v>
      </c>
      <c r="K268" s="6" t="s">
        <v>26</v>
      </c>
      <c r="L268" s="7" t="s">
        <v>1317</v>
      </c>
      <c r="M268" s="7" t="s">
        <v>1318</v>
      </c>
      <c r="N268" s="9">
        <v>32279.0</v>
      </c>
    </row>
    <row r="269" ht="19.5" customHeight="1">
      <c r="A269" s="6" t="s">
        <v>1319</v>
      </c>
      <c r="B269" s="7" t="s">
        <v>6</v>
      </c>
      <c r="C269" s="7" t="s">
        <v>1320</v>
      </c>
      <c r="D269" s="7" t="s">
        <v>6</v>
      </c>
      <c r="E269" s="7" t="s">
        <v>45</v>
      </c>
      <c r="F269" s="6" t="s">
        <v>46</v>
      </c>
      <c r="G269" s="7" t="s">
        <v>1321</v>
      </c>
      <c r="H269" s="7" t="s">
        <v>48</v>
      </c>
      <c r="I269" s="6" t="s">
        <v>315</v>
      </c>
      <c r="J269" s="7" t="s">
        <v>1131</v>
      </c>
      <c r="K269" s="6" t="s">
        <v>26</v>
      </c>
      <c r="L269" s="7" t="s">
        <v>1322</v>
      </c>
      <c r="M269" s="7" t="s">
        <v>1324</v>
      </c>
      <c r="N269" s="9">
        <v>45453.0</v>
      </c>
    </row>
    <row r="270" ht="19.5" customHeight="1">
      <c r="A270" s="6" t="s">
        <v>1325</v>
      </c>
      <c r="B270" s="7" t="s">
        <v>6</v>
      </c>
      <c r="C270" s="7" t="s">
        <v>1326</v>
      </c>
      <c r="D270" s="7" t="s">
        <v>6</v>
      </c>
      <c r="E270" s="7" t="s">
        <v>45</v>
      </c>
      <c r="F270" s="6" t="s">
        <v>46</v>
      </c>
      <c r="G270" s="7" t="s">
        <v>47</v>
      </c>
      <c r="H270" s="7" t="s">
        <v>48</v>
      </c>
      <c r="I270" s="6" t="s">
        <v>184</v>
      </c>
      <c r="J270" s="7" t="s">
        <v>439</v>
      </c>
      <c r="K270" s="6" t="s">
        <v>26</v>
      </c>
      <c r="L270" s="7" t="s">
        <v>1327</v>
      </c>
      <c r="M270" s="7" t="s">
        <v>1328</v>
      </c>
      <c r="N270" s="9">
        <v>34348.0</v>
      </c>
    </row>
    <row r="271" ht="19.5" customHeight="1">
      <c r="A271" s="6" t="s">
        <v>1329</v>
      </c>
      <c r="B271" s="7" t="s">
        <v>6</v>
      </c>
      <c r="C271" s="7" t="s">
        <v>1330</v>
      </c>
      <c r="D271" s="7" t="s">
        <v>6</v>
      </c>
      <c r="E271" s="7" t="s">
        <v>45</v>
      </c>
      <c r="F271" s="6" t="s">
        <v>46</v>
      </c>
      <c r="G271" s="7" t="s">
        <v>1331</v>
      </c>
      <c r="H271" s="7" t="s">
        <v>48</v>
      </c>
      <c r="I271" s="6" t="s">
        <v>92</v>
      </c>
      <c r="J271" s="7" t="s">
        <v>93</v>
      </c>
      <c r="K271" s="6" t="s">
        <v>26</v>
      </c>
      <c r="L271" s="7" t="s">
        <v>1332</v>
      </c>
      <c r="M271" s="7" t="s">
        <v>6</v>
      </c>
      <c r="N271" s="9">
        <v>35882.0</v>
      </c>
    </row>
    <row r="272" ht="19.5" customHeight="1">
      <c r="A272" s="6" t="s">
        <v>1333</v>
      </c>
      <c r="B272" s="7" t="s">
        <v>6</v>
      </c>
      <c r="C272" s="7" t="s">
        <v>1334</v>
      </c>
      <c r="D272" s="7" t="s">
        <v>6</v>
      </c>
      <c r="E272" s="7" t="s">
        <v>45</v>
      </c>
      <c r="F272" s="6" t="s">
        <v>46</v>
      </c>
      <c r="G272" s="7" t="s">
        <v>1335</v>
      </c>
      <c r="H272" s="7" t="s">
        <v>48</v>
      </c>
      <c r="I272" s="6" t="s">
        <v>166</v>
      </c>
      <c r="J272" s="7" t="s">
        <v>167</v>
      </c>
      <c r="K272" s="6" t="s">
        <v>26</v>
      </c>
      <c r="L272" s="7" t="s">
        <v>1336</v>
      </c>
      <c r="M272" s="7" t="s">
        <v>1337</v>
      </c>
      <c r="N272" s="9">
        <v>36717.0</v>
      </c>
    </row>
    <row r="273" ht="19.5" customHeight="1">
      <c r="A273" s="6" t="s">
        <v>1338</v>
      </c>
      <c r="B273" s="7" t="s">
        <v>6</v>
      </c>
      <c r="C273" s="7" t="s">
        <v>1339</v>
      </c>
      <c r="D273" s="7" t="s">
        <v>6</v>
      </c>
      <c r="E273" s="7" t="s">
        <v>45</v>
      </c>
      <c r="F273" s="6" t="s">
        <v>46</v>
      </c>
      <c r="G273" s="7" t="s">
        <v>1340</v>
      </c>
      <c r="H273" s="7" t="s">
        <v>48</v>
      </c>
      <c r="I273" s="6" t="s">
        <v>1255</v>
      </c>
      <c r="J273" s="7" t="s">
        <v>1256</v>
      </c>
      <c r="K273" s="6" t="s">
        <v>26</v>
      </c>
      <c r="L273" s="7" t="s">
        <v>1341</v>
      </c>
      <c r="M273" s="7" t="s">
        <v>1342</v>
      </c>
      <c r="N273" s="9">
        <v>32339.0</v>
      </c>
    </row>
    <row r="274" ht="19.5" customHeight="1">
      <c r="A274" s="6" t="s">
        <v>1343</v>
      </c>
      <c r="B274" s="7" t="s">
        <v>6</v>
      </c>
      <c r="C274" s="7" t="s">
        <v>1344</v>
      </c>
      <c r="D274" s="7" t="s">
        <v>6</v>
      </c>
      <c r="E274" s="7" t="s">
        <v>45</v>
      </c>
      <c r="F274" s="6" t="s">
        <v>46</v>
      </c>
      <c r="G274" s="7" t="s">
        <v>1345</v>
      </c>
      <c r="H274" s="7" t="s">
        <v>48</v>
      </c>
      <c r="I274" s="6" t="s">
        <v>166</v>
      </c>
      <c r="J274" s="7" t="s">
        <v>167</v>
      </c>
      <c r="K274" s="6" t="s">
        <v>81</v>
      </c>
      <c r="L274" s="7" t="s">
        <v>1346</v>
      </c>
      <c r="M274" s="7" t="s">
        <v>1347</v>
      </c>
      <c r="N274" s="9">
        <v>36461.0</v>
      </c>
    </row>
    <row r="275" ht="19.5" customHeight="1">
      <c r="A275" s="6" t="s">
        <v>1348</v>
      </c>
      <c r="B275" s="7" t="s">
        <v>6</v>
      </c>
      <c r="C275" s="7" t="s">
        <v>1349</v>
      </c>
      <c r="D275" s="7" t="s">
        <v>6</v>
      </c>
      <c r="E275" s="7" t="s">
        <v>45</v>
      </c>
      <c r="F275" s="6" t="s">
        <v>46</v>
      </c>
      <c r="G275" s="7" t="s">
        <v>1351</v>
      </c>
      <c r="H275" s="7" t="s">
        <v>48</v>
      </c>
      <c r="I275" s="6" t="s">
        <v>166</v>
      </c>
      <c r="J275" s="7" t="s">
        <v>167</v>
      </c>
      <c r="K275" s="6" t="s">
        <v>81</v>
      </c>
      <c r="L275" s="7" t="s">
        <v>1352</v>
      </c>
      <c r="M275" s="7" t="s">
        <v>1353</v>
      </c>
      <c r="N275" s="9">
        <v>36445.0</v>
      </c>
    </row>
    <row r="276" ht="19.5" customHeight="1">
      <c r="A276" s="6" t="s">
        <v>1354</v>
      </c>
      <c r="B276" s="7" t="s">
        <v>6</v>
      </c>
      <c r="C276" s="7" t="s">
        <v>1355</v>
      </c>
      <c r="D276" s="7" t="s">
        <v>6</v>
      </c>
      <c r="E276" s="7" t="s">
        <v>45</v>
      </c>
      <c r="F276" s="6" t="s">
        <v>46</v>
      </c>
      <c r="G276" s="7" t="s">
        <v>1356</v>
      </c>
      <c r="H276" s="7" t="s">
        <v>48</v>
      </c>
      <c r="I276" s="6" t="s">
        <v>1255</v>
      </c>
      <c r="J276" s="7" t="s">
        <v>1256</v>
      </c>
      <c r="K276" s="6" t="s">
        <v>26</v>
      </c>
      <c r="L276" s="7" t="s">
        <v>1357</v>
      </c>
      <c r="M276" s="7" t="s">
        <v>1358</v>
      </c>
      <c r="N276" s="9">
        <v>32252.0</v>
      </c>
    </row>
    <row r="277" ht="19.5" customHeight="1">
      <c r="A277" s="6" t="s">
        <v>1359</v>
      </c>
      <c r="B277" s="7" t="s">
        <v>6</v>
      </c>
      <c r="C277" s="7" t="s">
        <v>1360</v>
      </c>
      <c r="D277" s="7" t="s">
        <v>6</v>
      </c>
      <c r="E277" s="7" t="s">
        <v>45</v>
      </c>
      <c r="F277" s="6" t="s">
        <v>46</v>
      </c>
      <c r="G277" s="7" t="s">
        <v>1361</v>
      </c>
      <c r="H277" s="7" t="s">
        <v>48</v>
      </c>
      <c r="I277" s="6" t="s">
        <v>189</v>
      </c>
      <c r="J277" s="7" t="s">
        <v>210</v>
      </c>
      <c r="K277" s="6" t="s">
        <v>26</v>
      </c>
      <c r="L277" s="7" t="s">
        <v>1362</v>
      </c>
      <c r="M277" s="7" t="s">
        <v>1363</v>
      </c>
      <c r="N277" s="9">
        <v>34778.0</v>
      </c>
    </row>
    <row r="278" ht="19.5" customHeight="1">
      <c r="A278" s="6" t="s">
        <v>1364</v>
      </c>
      <c r="B278" s="7" t="s">
        <v>6</v>
      </c>
      <c r="C278" s="7" t="s">
        <v>1365</v>
      </c>
      <c r="D278" s="7" t="s">
        <v>6</v>
      </c>
      <c r="E278" s="7" t="s">
        <v>45</v>
      </c>
      <c r="F278" s="6" t="s">
        <v>46</v>
      </c>
      <c r="G278" s="7" t="s">
        <v>1366</v>
      </c>
      <c r="H278" s="7" t="s">
        <v>48</v>
      </c>
      <c r="I278" s="6" t="s">
        <v>193</v>
      </c>
      <c r="J278" s="7" t="s">
        <v>200</v>
      </c>
      <c r="K278" s="6" t="s">
        <v>26</v>
      </c>
      <c r="L278" s="7" t="s">
        <v>1367</v>
      </c>
      <c r="M278" s="7" t="s">
        <v>1368</v>
      </c>
      <c r="N278" s="9">
        <v>35262.0</v>
      </c>
    </row>
    <row r="279" ht="19.5" customHeight="1">
      <c r="A279" s="6" t="s">
        <v>1369</v>
      </c>
      <c r="B279" s="7" t="s">
        <v>6</v>
      </c>
      <c r="C279" s="7" t="s">
        <v>1370</v>
      </c>
      <c r="D279" s="7" t="s">
        <v>6</v>
      </c>
      <c r="E279" s="7" t="s">
        <v>45</v>
      </c>
      <c r="F279" s="6" t="s">
        <v>46</v>
      </c>
      <c r="G279" s="7" t="s">
        <v>1371</v>
      </c>
      <c r="H279" s="7" t="s">
        <v>48</v>
      </c>
      <c r="I279" s="6" t="s">
        <v>176</v>
      </c>
      <c r="J279" s="7" t="s">
        <v>428</v>
      </c>
      <c r="K279" s="6" t="s">
        <v>26</v>
      </c>
      <c r="L279" s="7" t="s">
        <v>1372</v>
      </c>
      <c r="M279" s="7" t="s">
        <v>1373</v>
      </c>
      <c r="N279" s="9">
        <v>33661.0</v>
      </c>
    </row>
    <row r="280" ht="19.5" customHeight="1">
      <c r="A280" s="6" t="s">
        <v>1374</v>
      </c>
      <c r="B280" s="7" t="s">
        <v>6</v>
      </c>
      <c r="C280" s="7" t="s">
        <v>1375</v>
      </c>
      <c r="D280" s="7" t="s">
        <v>6</v>
      </c>
      <c r="E280" s="7" t="s">
        <v>45</v>
      </c>
      <c r="F280" s="6" t="s">
        <v>46</v>
      </c>
      <c r="G280" s="7" t="s">
        <v>1376</v>
      </c>
      <c r="H280" s="7" t="s">
        <v>48</v>
      </c>
      <c r="I280" s="6" t="s">
        <v>176</v>
      </c>
      <c r="J280" s="7" t="s">
        <v>428</v>
      </c>
      <c r="K280" s="6" t="s">
        <v>81</v>
      </c>
      <c r="L280" s="7" t="s">
        <v>1377</v>
      </c>
      <c r="M280" s="7" t="s">
        <v>1378</v>
      </c>
      <c r="N280" s="9">
        <v>33522.0</v>
      </c>
    </row>
    <row r="281" ht="19.5" customHeight="1">
      <c r="A281" s="6" t="s">
        <v>1379</v>
      </c>
      <c r="B281" s="7" t="s">
        <v>6</v>
      </c>
      <c r="C281" s="7" t="s">
        <v>1380</v>
      </c>
      <c r="D281" s="7" t="s">
        <v>6</v>
      </c>
      <c r="E281" s="7" t="s">
        <v>45</v>
      </c>
      <c r="F281" s="6" t="s">
        <v>46</v>
      </c>
      <c r="G281" s="7" t="s">
        <v>47</v>
      </c>
      <c r="H281" s="7" t="s">
        <v>48</v>
      </c>
      <c r="I281" s="6" t="s">
        <v>49</v>
      </c>
      <c r="J281" s="7" t="s">
        <v>50</v>
      </c>
      <c r="K281" s="6" t="s">
        <v>26</v>
      </c>
      <c r="L281" s="7" t="s">
        <v>1381</v>
      </c>
      <c r="M281" s="7" t="s">
        <v>1382</v>
      </c>
      <c r="N281" s="9">
        <v>36958.0</v>
      </c>
    </row>
    <row r="282" ht="19.5" customHeight="1">
      <c r="A282" s="6" t="s">
        <v>1383</v>
      </c>
      <c r="B282" s="7" t="s">
        <v>6</v>
      </c>
      <c r="C282" s="7" t="s">
        <v>1384</v>
      </c>
      <c r="D282" s="7" t="s">
        <v>6</v>
      </c>
      <c r="E282" s="7" t="s">
        <v>45</v>
      </c>
      <c r="F282" s="6" t="s">
        <v>46</v>
      </c>
      <c r="G282" s="7" t="s">
        <v>217</v>
      </c>
      <c r="H282" s="7" t="s">
        <v>48</v>
      </c>
      <c r="I282" s="6" t="s">
        <v>145</v>
      </c>
      <c r="J282" s="7" t="s">
        <v>146</v>
      </c>
      <c r="K282" s="6" t="s">
        <v>81</v>
      </c>
      <c r="L282" s="7" t="s">
        <v>1385</v>
      </c>
      <c r="M282" s="7" t="s">
        <v>1386</v>
      </c>
      <c r="N282" s="9">
        <v>37193.0</v>
      </c>
    </row>
    <row r="283" ht="19.5" customHeight="1">
      <c r="A283" s="6" t="s">
        <v>1387</v>
      </c>
      <c r="B283" s="7" t="s">
        <v>6</v>
      </c>
      <c r="C283" s="7" t="s">
        <v>1388</v>
      </c>
      <c r="D283" s="7" t="s">
        <v>6</v>
      </c>
      <c r="E283" s="7" t="s">
        <v>45</v>
      </c>
      <c r="F283" s="6" t="s">
        <v>46</v>
      </c>
      <c r="G283" s="7" t="s">
        <v>1389</v>
      </c>
      <c r="H283" s="7" t="s">
        <v>48</v>
      </c>
      <c r="I283" s="6" t="s">
        <v>49</v>
      </c>
      <c r="J283" s="7" t="s">
        <v>50</v>
      </c>
      <c r="K283" s="6" t="s">
        <v>26</v>
      </c>
      <c r="L283" s="7" t="s">
        <v>1391</v>
      </c>
      <c r="M283" s="7" t="s">
        <v>1392</v>
      </c>
      <c r="N283" s="9">
        <v>36969.0</v>
      </c>
    </row>
    <row r="284" ht="19.5" customHeight="1">
      <c r="A284" s="6" t="s">
        <v>1393</v>
      </c>
      <c r="B284" s="7" t="s">
        <v>6</v>
      </c>
      <c r="C284" s="7" t="s">
        <v>1394</v>
      </c>
      <c r="D284" s="7" t="s">
        <v>6</v>
      </c>
      <c r="E284" s="7" t="s">
        <v>45</v>
      </c>
      <c r="F284" s="6" t="s">
        <v>46</v>
      </c>
      <c r="G284" s="7" t="s">
        <v>1395</v>
      </c>
      <c r="H284" s="7" t="s">
        <v>48</v>
      </c>
      <c r="I284" s="6" t="s">
        <v>49</v>
      </c>
      <c r="J284" s="7" t="s">
        <v>50</v>
      </c>
      <c r="K284" s="6" t="s">
        <v>26</v>
      </c>
      <c r="L284" s="7" t="s">
        <v>1396</v>
      </c>
      <c r="M284" s="7" t="s">
        <v>1397</v>
      </c>
      <c r="N284" s="9">
        <v>36978.0</v>
      </c>
    </row>
    <row r="285" ht="19.5" customHeight="1">
      <c r="A285" s="6" t="s">
        <v>1398</v>
      </c>
      <c r="B285" s="7" t="s">
        <v>6</v>
      </c>
      <c r="C285" s="7" t="s">
        <v>1399</v>
      </c>
      <c r="D285" s="7" t="s">
        <v>6</v>
      </c>
      <c r="E285" s="7" t="s">
        <v>45</v>
      </c>
      <c r="F285" s="6" t="s">
        <v>46</v>
      </c>
      <c r="G285" s="7" t="s">
        <v>178</v>
      </c>
      <c r="H285" s="7" t="s">
        <v>48</v>
      </c>
      <c r="I285" s="6" t="s">
        <v>49</v>
      </c>
      <c r="J285" s="7" t="s">
        <v>50</v>
      </c>
      <c r="K285" s="6" t="s">
        <v>26</v>
      </c>
      <c r="L285" s="7" t="s">
        <v>1400</v>
      </c>
      <c r="M285" s="7" t="s">
        <v>1401</v>
      </c>
      <c r="N285" s="9">
        <v>37083.0</v>
      </c>
    </row>
    <row r="286" ht="19.5" customHeight="1">
      <c r="A286" s="6" t="s">
        <v>1402</v>
      </c>
      <c r="B286" s="7" t="s">
        <v>6</v>
      </c>
      <c r="C286" s="7" t="s">
        <v>1403</v>
      </c>
      <c r="D286" s="7" t="s">
        <v>6</v>
      </c>
      <c r="E286" s="7" t="s">
        <v>45</v>
      </c>
      <c r="F286" s="6" t="s">
        <v>46</v>
      </c>
      <c r="G286" s="7" t="s">
        <v>1405</v>
      </c>
      <c r="H286" s="7" t="s">
        <v>23</v>
      </c>
      <c r="I286" s="6" t="s">
        <v>145</v>
      </c>
      <c r="J286" s="7" t="s">
        <v>146</v>
      </c>
      <c r="K286" s="6" t="s">
        <v>81</v>
      </c>
      <c r="L286" s="7" t="s">
        <v>1406</v>
      </c>
      <c r="M286" s="7" t="s">
        <v>1407</v>
      </c>
      <c r="N286" s="9">
        <v>37203.0</v>
      </c>
    </row>
    <row r="287" ht="19.5" customHeight="1">
      <c r="A287" s="6" t="s">
        <v>1408</v>
      </c>
      <c r="B287" s="7" t="s">
        <v>6</v>
      </c>
      <c r="C287" s="7" t="s">
        <v>1409</v>
      </c>
      <c r="D287" s="7" t="s">
        <v>6</v>
      </c>
      <c r="E287" s="7" t="s">
        <v>45</v>
      </c>
      <c r="F287" s="6" t="s">
        <v>46</v>
      </c>
      <c r="G287" s="7" t="s">
        <v>1410</v>
      </c>
      <c r="H287" s="7" t="s">
        <v>48</v>
      </c>
      <c r="I287" s="6" t="s">
        <v>145</v>
      </c>
      <c r="J287" s="7" t="s">
        <v>146</v>
      </c>
      <c r="K287" s="6" t="s">
        <v>26</v>
      </c>
      <c r="L287" s="7" t="s">
        <v>1411</v>
      </c>
      <c r="M287" s="7" t="s">
        <v>1412</v>
      </c>
      <c r="N287" s="9">
        <v>37336.0</v>
      </c>
    </row>
    <row r="288" ht="19.5" customHeight="1">
      <c r="A288" s="6" t="s">
        <v>1413</v>
      </c>
      <c r="B288" s="7" t="s">
        <v>6</v>
      </c>
      <c r="C288" s="7" t="s">
        <v>1414</v>
      </c>
      <c r="D288" s="7" t="s">
        <v>6</v>
      </c>
      <c r="E288" s="7" t="s">
        <v>45</v>
      </c>
      <c r="F288" s="6" t="s">
        <v>46</v>
      </c>
      <c r="G288" s="7" t="s">
        <v>1415</v>
      </c>
      <c r="H288" s="7" t="s">
        <v>48</v>
      </c>
      <c r="I288" s="6" t="s">
        <v>49</v>
      </c>
      <c r="J288" s="7" t="s">
        <v>50</v>
      </c>
      <c r="K288" s="6" t="s">
        <v>26</v>
      </c>
      <c r="L288" s="7" t="s">
        <v>1416</v>
      </c>
      <c r="M288" s="7" t="s">
        <v>1417</v>
      </c>
      <c r="N288" s="9">
        <v>37153.0</v>
      </c>
    </row>
    <row r="289" ht="19.5" customHeight="1">
      <c r="A289" s="6" t="s">
        <v>1418</v>
      </c>
      <c r="B289" s="7" t="s">
        <v>6</v>
      </c>
      <c r="C289" s="7" t="s">
        <v>1419</v>
      </c>
      <c r="D289" s="7" t="s">
        <v>6</v>
      </c>
      <c r="E289" s="7" t="s">
        <v>45</v>
      </c>
      <c r="F289" s="6" t="s">
        <v>46</v>
      </c>
      <c r="G289" s="7" t="s">
        <v>452</v>
      </c>
      <c r="H289" s="7" t="s">
        <v>48</v>
      </c>
      <c r="I289" s="6" t="s">
        <v>145</v>
      </c>
      <c r="J289" s="7" t="s">
        <v>146</v>
      </c>
      <c r="K289" s="6" t="s">
        <v>26</v>
      </c>
      <c r="L289" s="7" t="s">
        <v>1420</v>
      </c>
      <c r="M289" s="7" t="s">
        <v>1421</v>
      </c>
      <c r="N289" s="9">
        <v>37285.0</v>
      </c>
    </row>
    <row r="290" ht="19.5" customHeight="1">
      <c r="A290" s="6" t="s">
        <v>1422</v>
      </c>
      <c r="B290" s="7" t="s">
        <v>6</v>
      </c>
      <c r="C290" s="7" t="s">
        <v>1423</v>
      </c>
      <c r="D290" s="7" t="s">
        <v>6</v>
      </c>
      <c r="E290" s="7" t="s">
        <v>45</v>
      </c>
      <c r="F290" s="6" t="s">
        <v>46</v>
      </c>
      <c r="G290" s="7" t="s">
        <v>1234</v>
      </c>
      <c r="H290" s="7" t="s">
        <v>48</v>
      </c>
      <c r="I290" s="6" t="s">
        <v>145</v>
      </c>
      <c r="J290" s="7" t="s">
        <v>146</v>
      </c>
      <c r="K290" s="6" t="s">
        <v>26</v>
      </c>
      <c r="L290" s="7" t="s">
        <v>1424</v>
      </c>
      <c r="M290" s="7" t="s">
        <v>1425</v>
      </c>
      <c r="N290" s="9">
        <v>37370.0</v>
      </c>
    </row>
    <row r="291" ht="19.5" customHeight="1">
      <c r="A291" s="6" t="s">
        <v>1426</v>
      </c>
      <c r="B291" s="7" t="s">
        <v>6</v>
      </c>
      <c r="C291" s="7" t="s">
        <v>1427</v>
      </c>
      <c r="D291" s="7" t="s">
        <v>6</v>
      </c>
      <c r="E291" s="7" t="s">
        <v>45</v>
      </c>
      <c r="F291" s="6" t="s">
        <v>46</v>
      </c>
      <c r="G291" s="7" t="s">
        <v>1428</v>
      </c>
      <c r="H291" s="7" t="s">
        <v>48</v>
      </c>
      <c r="I291" s="6" t="s">
        <v>315</v>
      </c>
      <c r="J291" s="7" t="s">
        <v>1131</v>
      </c>
      <c r="K291" s="6" t="s">
        <v>26</v>
      </c>
      <c r="L291" s="7" t="s">
        <v>1429</v>
      </c>
      <c r="M291" s="7" t="s">
        <v>1430</v>
      </c>
      <c r="N291" s="9">
        <v>45551.0</v>
      </c>
    </row>
    <row r="292" ht="19.5" customHeight="1">
      <c r="A292" s="6" t="s">
        <v>1431</v>
      </c>
      <c r="B292" s="7" t="s">
        <v>6</v>
      </c>
      <c r="C292" s="7" t="s">
        <v>1432</v>
      </c>
      <c r="D292" s="7" t="s">
        <v>6</v>
      </c>
      <c r="E292" s="7" t="s">
        <v>45</v>
      </c>
      <c r="F292" s="6" t="s">
        <v>46</v>
      </c>
      <c r="G292" s="7" t="s">
        <v>1287</v>
      </c>
      <c r="H292" s="7" t="s">
        <v>48</v>
      </c>
      <c r="I292" s="6" t="s">
        <v>224</v>
      </c>
      <c r="J292" s="7" t="s">
        <v>238</v>
      </c>
      <c r="K292" s="6" t="s">
        <v>81</v>
      </c>
      <c r="L292" s="7" t="s">
        <v>1434</v>
      </c>
      <c r="M292" s="7" t="s">
        <v>1435</v>
      </c>
      <c r="N292" s="9">
        <v>38342.0</v>
      </c>
    </row>
    <row r="293" ht="19.5" customHeight="1">
      <c r="A293" s="6" t="s">
        <v>1436</v>
      </c>
      <c r="B293" s="7" t="s">
        <v>6</v>
      </c>
      <c r="C293" s="7" t="s">
        <v>1437</v>
      </c>
      <c r="D293" s="7" t="s">
        <v>6</v>
      </c>
      <c r="E293" s="7" t="s">
        <v>45</v>
      </c>
      <c r="F293" s="6" t="s">
        <v>46</v>
      </c>
      <c r="G293" s="7" t="s">
        <v>1438</v>
      </c>
      <c r="H293" s="7" t="s">
        <v>48</v>
      </c>
      <c r="I293" s="6" t="s">
        <v>198</v>
      </c>
      <c r="J293" s="7" t="s">
        <v>337</v>
      </c>
      <c r="K293" s="6" t="s">
        <v>26</v>
      </c>
      <c r="L293" s="7" t="s">
        <v>1439</v>
      </c>
      <c r="M293" s="7" t="s">
        <v>1440</v>
      </c>
      <c r="N293" s="9">
        <v>35515.0</v>
      </c>
    </row>
    <row r="294" ht="19.5" customHeight="1">
      <c r="A294" s="6" t="s">
        <v>1441</v>
      </c>
      <c r="B294" s="7" t="s">
        <v>6</v>
      </c>
      <c r="C294" s="7" t="s">
        <v>1442</v>
      </c>
      <c r="D294" s="7" t="s">
        <v>6</v>
      </c>
      <c r="E294" s="7" t="s">
        <v>45</v>
      </c>
      <c r="F294" s="6" t="s">
        <v>46</v>
      </c>
      <c r="G294" s="7" t="s">
        <v>1443</v>
      </c>
      <c r="H294" s="7" t="s">
        <v>48</v>
      </c>
      <c r="I294" s="6" t="s">
        <v>198</v>
      </c>
      <c r="J294" s="7" t="s">
        <v>337</v>
      </c>
      <c r="K294" s="6" t="s">
        <v>26</v>
      </c>
      <c r="L294" s="7" t="s">
        <v>1444</v>
      </c>
      <c r="M294" s="7" t="s">
        <v>1445</v>
      </c>
      <c r="N294" s="9">
        <v>35506.0</v>
      </c>
    </row>
    <row r="295" ht="19.5" customHeight="1">
      <c r="A295" s="6" t="s">
        <v>1446</v>
      </c>
      <c r="B295" s="7" t="s">
        <v>6</v>
      </c>
      <c r="C295" s="7" t="s">
        <v>1447</v>
      </c>
      <c r="D295" s="7" t="s">
        <v>6</v>
      </c>
      <c r="E295" s="7" t="s">
        <v>45</v>
      </c>
      <c r="F295" s="6" t="s">
        <v>46</v>
      </c>
      <c r="G295" s="7" t="s">
        <v>1448</v>
      </c>
      <c r="H295" s="7" t="s">
        <v>48</v>
      </c>
      <c r="I295" s="6" t="s">
        <v>131</v>
      </c>
      <c r="J295" s="7" t="s">
        <v>132</v>
      </c>
      <c r="K295" s="6" t="s">
        <v>26</v>
      </c>
      <c r="L295" s="7" t="s">
        <v>1449</v>
      </c>
      <c r="M295" s="7" t="s">
        <v>1451</v>
      </c>
      <c r="N295" s="9">
        <v>36224.0</v>
      </c>
    </row>
    <row r="296" ht="19.5" customHeight="1">
      <c r="A296" s="6" t="s">
        <v>1452</v>
      </c>
      <c r="B296" s="7" t="s">
        <v>6</v>
      </c>
      <c r="C296" s="7" t="s">
        <v>1453</v>
      </c>
      <c r="D296" s="7" t="s">
        <v>6</v>
      </c>
      <c r="E296" s="7" t="s">
        <v>45</v>
      </c>
      <c r="F296" s="6" t="s">
        <v>46</v>
      </c>
      <c r="G296" s="7" t="s">
        <v>1454</v>
      </c>
      <c r="H296" s="7" t="s">
        <v>48</v>
      </c>
      <c r="I296" s="6" t="s">
        <v>92</v>
      </c>
      <c r="J296" s="7" t="s">
        <v>93</v>
      </c>
      <c r="K296" s="6" t="s">
        <v>26</v>
      </c>
      <c r="L296" s="7" t="s">
        <v>1455</v>
      </c>
      <c r="M296" s="7" t="s">
        <v>1456</v>
      </c>
      <c r="N296" s="9">
        <v>35937.0</v>
      </c>
    </row>
    <row r="297" ht="19.5" customHeight="1">
      <c r="A297" s="6" t="s">
        <v>1457</v>
      </c>
      <c r="B297" s="7" t="s">
        <v>6</v>
      </c>
      <c r="C297" s="7" t="s">
        <v>1458</v>
      </c>
      <c r="D297" s="7" t="s">
        <v>6</v>
      </c>
      <c r="E297" s="7" t="s">
        <v>45</v>
      </c>
      <c r="F297" s="6" t="s">
        <v>46</v>
      </c>
      <c r="G297" s="7" t="s">
        <v>1459</v>
      </c>
      <c r="H297" s="7" t="s">
        <v>48</v>
      </c>
      <c r="I297" s="6" t="s">
        <v>184</v>
      </c>
      <c r="J297" s="7" t="s">
        <v>439</v>
      </c>
      <c r="K297" s="6" t="s">
        <v>26</v>
      </c>
      <c r="L297" s="7" t="s">
        <v>1460</v>
      </c>
      <c r="M297" s="7" t="s">
        <v>1461</v>
      </c>
      <c r="N297" s="9">
        <v>34486.0</v>
      </c>
    </row>
    <row r="298" ht="19.5" customHeight="1">
      <c r="A298" s="6" t="s">
        <v>1462</v>
      </c>
      <c r="B298" s="7" t="s">
        <v>6</v>
      </c>
      <c r="C298" s="7" t="s">
        <v>1463</v>
      </c>
      <c r="D298" s="7" t="s">
        <v>6</v>
      </c>
      <c r="E298" s="7" t="s">
        <v>45</v>
      </c>
      <c r="F298" s="6" t="s">
        <v>46</v>
      </c>
      <c r="G298" s="7" t="s">
        <v>1464</v>
      </c>
      <c r="H298" s="7" t="s">
        <v>48</v>
      </c>
      <c r="I298" s="6" t="s">
        <v>184</v>
      </c>
      <c r="J298" s="7" t="s">
        <v>439</v>
      </c>
      <c r="K298" s="6" t="s">
        <v>81</v>
      </c>
      <c r="L298" s="7" t="s">
        <v>1465</v>
      </c>
      <c r="M298" s="7" t="s">
        <v>1466</v>
      </c>
      <c r="N298" s="9">
        <v>34259.0</v>
      </c>
    </row>
    <row r="299" ht="19.5" customHeight="1">
      <c r="A299" s="6" t="s">
        <v>1467</v>
      </c>
      <c r="B299" s="7" t="s">
        <v>6</v>
      </c>
      <c r="C299" s="7" t="s">
        <v>1468</v>
      </c>
      <c r="D299" s="7" t="s">
        <v>6</v>
      </c>
      <c r="E299" s="7" t="s">
        <v>45</v>
      </c>
      <c r="F299" s="6" t="s">
        <v>46</v>
      </c>
      <c r="G299" s="7" t="s">
        <v>243</v>
      </c>
      <c r="H299" s="7" t="s">
        <v>48</v>
      </c>
      <c r="I299" s="6" t="s">
        <v>170</v>
      </c>
      <c r="J299" s="7" t="s">
        <v>409</v>
      </c>
      <c r="K299" s="6" t="s">
        <v>26</v>
      </c>
      <c r="L299" s="7" t="s">
        <v>1469</v>
      </c>
      <c r="M299" s="7" t="s">
        <v>1470</v>
      </c>
      <c r="N299" s="9">
        <v>33453.0</v>
      </c>
    </row>
    <row r="300" ht="19.5" customHeight="1">
      <c r="A300" s="6" t="s">
        <v>1471</v>
      </c>
      <c r="B300" s="7" t="s">
        <v>6</v>
      </c>
      <c r="C300" s="7" t="s">
        <v>1472</v>
      </c>
      <c r="D300" s="7" t="s">
        <v>6</v>
      </c>
      <c r="E300" s="7" t="s">
        <v>45</v>
      </c>
      <c r="F300" s="6" t="s">
        <v>46</v>
      </c>
      <c r="G300" s="7" t="s">
        <v>548</v>
      </c>
      <c r="H300" s="7" t="s">
        <v>48</v>
      </c>
      <c r="I300" s="6" t="s">
        <v>67</v>
      </c>
      <c r="J300" s="7" t="s">
        <v>68</v>
      </c>
      <c r="K300" s="6" t="s">
        <v>81</v>
      </c>
      <c r="L300" s="7" t="s">
        <v>1473</v>
      </c>
      <c r="M300" s="7" t="s">
        <v>1474</v>
      </c>
      <c r="N300" s="9">
        <v>37553.0</v>
      </c>
    </row>
    <row r="301" ht="19.5" customHeight="1">
      <c r="A301" s="6" t="s">
        <v>1475</v>
      </c>
      <c r="B301" s="7" t="s">
        <v>6</v>
      </c>
      <c r="C301" s="7" t="s">
        <v>1476</v>
      </c>
      <c r="D301" s="7" t="s">
        <v>6</v>
      </c>
      <c r="E301" s="7" t="s">
        <v>45</v>
      </c>
      <c r="F301" s="6" t="s">
        <v>46</v>
      </c>
      <c r="G301" s="7" t="s">
        <v>1477</v>
      </c>
      <c r="H301" s="7" t="s">
        <v>48</v>
      </c>
      <c r="I301" s="6" t="s">
        <v>170</v>
      </c>
      <c r="J301" s="7" t="s">
        <v>409</v>
      </c>
      <c r="K301" s="6" t="s">
        <v>26</v>
      </c>
      <c r="L301" s="7" t="s">
        <v>1478</v>
      </c>
      <c r="M301" s="7" t="s">
        <v>1479</v>
      </c>
      <c r="N301" s="9">
        <v>33304.0</v>
      </c>
    </row>
    <row r="302" ht="19.5" customHeight="1">
      <c r="A302" s="6" t="s">
        <v>1480</v>
      </c>
      <c r="B302" s="7" t="s">
        <v>6</v>
      </c>
      <c r="C302" s="7" t="s">
        <v>1481</v>
      </c>
      <c r="D302" s="7" t="s">
        <v>6</v>
      </c>
      <c r="E302" s="7" t="s">
        <v>45</v>
      </c>
      <c r="F302" s="6" t="s">
        <v>46</v>
      </c>
      <c r="G302" s="7" t="s">
        <v>1482</v>
      </c>
      <c r="H302" s="7" t="s">
        <v>48</v>
      </c>
      <c r="I302" s="6" t="s">
        <v>61</v>
      </c>
      <c r="J302" s="7" t="s">
        <v>62</v>
      </c>
      <c r="K302" s="6" t="s">
        <v>26</v>
      </c>
      <c r="L302" s="7" t="s">
        <v>1484</v>
      </c>
      <c r="M302" s="7" t="s">
        <v>1485</v>
      </c>
      <c r="N302" s="9">
        <v>38130.0</v>
      </c>
    </row>
    <row r="303" ht="19.5" customHeight="1">
      <c r="A303" s="6" t="s">
        <v>1486</v>
      </c>
      <c r="B303" s="7" t="s">
        <v>6</v>
      </c>
      <c r="C303" s="7" t="s">
        <v>1487</v>
      </c>
      <c r="D303" s="7" t="s">
        <v>6</v>
      </c>
      <c r="E303" s="7" t="s">
        <v>45</v>
      </c>
      <c r="F303" s="6" t="s">
        <v>46</v>
      </c>
      <c r="G303" s="7" t="s">
        <v>1488</v>
      </c>
      <c r="H303" s="7" t="s">
        <v>48</v>
      </c>
      <c r="I303" s="6" t="s">
        <v>189</v>
      </c>
      <c r="J303" s="7" t="s">
        <v>210</v>
      </c>
      <c r="K303" s="6" t="s">
        <v>81</v>
      </c>
      <c r="L303" s="7" t="s">
        <v>1489</v>
      </c>
      <c r="M303" s="7" t="s">
        <v>1490</v>
      </c>
      <c r="N303" s="9">
        <v>34669.0</v>
      </c>
    </row>
    <row r="304" ht="19.5" customHeight="1">
      <c r="A304" s="6" t="s">
        <v>1492</v>
      </c>
      <c r="B304" s="7" t="s">
        <v>6</v>
      </c>
      <c r="C304" s="7" t="s">
        <v>1493</v>
      </c>
      <c r="D304" s="7" t="s">
        <v>6</v>
      </c>
      <c r="E304" s="7" t="s">
        <v>45</v>
      </c>
      <c r="F304" s="6" t="s">
        <v>46</v>
      </c>
      <c r="G304" s="7" t="s">
        <v>1494</v>
      </c>
      <c r="H304" s="7" t="s">
        <v>48</v>
      </c>
      <c r="I304" s="6" t="s">
        <v>193</v>
      </c>
      <c r="J304" s="7" t="s">
        <v>200</v>
      </c>
      <c r="K304" s="6" t="s">
        <v>26</v>
      </c>
      <c r="L304" s="7" t="s">
        <v>1495</v>
      </c>
      <c r="M304" s="7" t="s">
        <v>1496</v>
      </c>
      <c r="N304" s="9">
        <v>35318.0</v>
      </c>
    </row>
    <row r="305" ht="19.5" customHeight="1">
      <c r="A305" s="6" t="s">
        <v>1497</v>
      </c>
      <c r="B305" s="7" t="s">
        <v>6</v>
      </c>
      <c r="C305" s="7" t="s">
        <v>1498</v>
      </c>
      <c r="D305" s="7" t="s">
        <v>6</v>
      </c>
      <c r="E305" s="7" t="s">
        <v>45</v>
      </c>
      <c r="F305" s="6" t="s">
        <v>46</v>
      </c>
      <c r="G305" s="7" t="s">
        <v>1499</v>
      </c>
      <c r="H305" s="7" t="s">
        <v>48</v>
      </c>
      <c r="I305" s="6" t="s">
        <v>193</v>
      </c>
      <c r="J305" s="7" t="s">
        <v>200</v>
      </c>
      <c r="K305" s="6" t="s">
        <v>26</v>
      </c>
      <c r="L305" s="7" t="s">
        <v>1500</v>
      </c>
      <c r="M305" s="7" t="s">
        <v>1501</v>
      </c>
      <c r="N305" s="9">
        <v>35327.0</v>
      </c>
    </row>
    <row r="306" ht="19.5" customHeight="1">
      <c r="A306" s="6" t="s">
        <v>1502</v>
      </c>
      <c r="B306" s="7" t="s">
        <v>6</v>
      </c>
      <c r="C306" s="7" t="s">
        <v>1503</v>
      </c>
      <c r="D306" s="7" t="s">
        <v>6</v>
      </c>
      <c r="E306" s="7" t="s">
        <v>45</v>
      </c>
      <c r="F306" s="6" t="s">
        <v>46</v>
      </c>
      <c r="G306" s="7" t="s">
        <v>1504</v>
      </c>
      <c r="H306" s="7" t="s">
        <v>48</v>
      </c>
      <c r="I306" s="6" t="s">
        <v>198</v>
      </c>
      <c r="J306" s="7" t="s">
        <v>337</v>
      </c>
      <c r="K306" s="6" t="s">
        <v>81</v>
      </c>
      <c r="L306" s="7" t="s">
        <v>1505</v>
      </c>
      <c r="M306" s="7" t="s">
        <v>1506</v>
      </c>
      <c r="N306" s="9">
        <v>35421.0</v>
      </c>
    </row>
    <row r="307" ht="19.5" customHeight="1">
      <c r="A307" s="6" t="s">
        <v>1507</v>
      </c>
      <c r="B307" s="7" t="s">
        <v>6</v>
      </c>
      <c r="C307" s="7" t="s">
        <v>1508</v>
      </c>
      <c r="D307" s="7" t="s">
        <v>6</v>
      </c>
      <c r="E307" s="7" t="s">
        <v>45</v>
      </c>
      <c r="F307" s="6" t="s">
        <v>46</v>
      </c>
      <c r="G307" s="7" t="s">
        <v>1509</v>
      </c>
      <c r="H307" s="7" t="s">
        <v>48</v>
      </c>
      <c r="I307" s="6" t="s">
        <v>131</v>
      </c>
      <c r="J307" s="7" t="s">
        <v>132</v>
      </c>
      <c r="K307" s="6" t="s">
        <v>26</v>
      </c>
      <c r="L307" s="7" t="s">
        <v>1510</v>
      </c>
      <c r="M307" s="7" t="s">
        <v>1511</v>
      </c>
      <c r="N307" s="9">
        <v>36342.0</v>
      </c>
    </row>
    <row r="308" ht="19.5" customHeight="1">
      <c r="A308" s="6" t="s">
        <v>1512</v>
      </c>
      <c r="B308" s="7" t="s">
        <v>6</v>
      </c>
      <c r="C308" s="7" t="s">
        <v>1513</v>
      </c>
      <c r="D308" s="7" t="s">
        <v>6</v>
      </c>
      <c r="E308" s="7" t="s">
        <v>45</v>
      </c>
      <c r="F308" s="6" t="s">
        <v>46</v>
      </c>
      <c r="G308" s="7" t="s">
        <v>47</v>
      </c>
      <c r="H308" s="7" t="s">
        <v>48</v>
      </c>
      <c r="I308" s="6" t="s">
        <v>166</v>
      </c>
      <c r="J308" s="7" t="s">
        <v>167</v>
      </c>
      <c r="K308" s="6" t="s">
        <v>26</v>
      </c>
      <c r="L308" s="7" t="s">
        <v>1514</v>
      </c>
      <c r="M308" s="7" t="s">
        <v>1515</v>
      </c>
      <c r="N308" s="9">
        <v>36541.0</v>
      </c>
    </row>
    <row r="309" ht="19.5" customHeight="1">
      <c r="A309" s="6" t="s">
        <v>1516</v>
      </c>
      <c r="B309" s="7" t="s">
        <v>6</v>
      </c>
      <c r="C309" s="7" t="s">
        <v>1517</v>
      </c>
      <c r="D309" s="7" t="s">
        <v>6</v>
      </c>
      <c r="E309" s="7" t="s">
        <v>45</v>
      </c>
      <c r="F309" s="6" t="s">
        <v>46</v>
      </c>
      <c r="G309" s="7" t="s">
        <v>47</v>
      </c>
      <c r="H309" s="7" t="s">
        <v>48</v>
      </c>
      <c r="I309" s="6" t="s">
        <v>166</v>
      </c>
      <c r="J309" s="7" t="s">
        <v>167</v>
      </c>
      <c r="K309" s="6" t="s">
        <v>26</v>
      </c>
      <c r="L309" s="7" t="s">
        <v>1518</v>
      </c>
      <c r="M309" s="7" t="s">
        <v>1519</v>
      </c>
      <c r="N309" s="9">
        <v>36598.0</v>
      </c>
    </row>
    <row r="310" ht="19.5" customHeight="1">
      <c r="A310" s="6" t="s">
        <v>1520</v>
      </c>
      <c r="B310" s="7" t="s">
        <v>6</v>
      </c>
      <c r="C310" s="7" t="s">
        <v>1521</v>
      </c>
      <c r="D310" s="7" t="s">
        <v>6</v>
      </c>
      <c r="E310" s="7" t="s">
        <v>45</v>
      </c>
      <c r="F310" s="6" t="s">
        <v>46</v>
      </c>
      <c r="G310" s="7" t="s">
        <v>726</v>
      </c>
      <c r="H310" s="7" t="s">
        <v>23</v>
      </c>
      <c r="I310" s="6" t="s">
        <v>131</v>
      </c>
      <c r="J310" s="7" t="s">
        <v>132</v>
      </c>
      <c r="K310" s="6" t="s">
        <v>26</v>
      </c>
      <c r="L310" s="7" t="s">
        <v>1522</v>
      </c>
      <c r="M310" s="7" t="s">
        <v>1523</v>
      </c>
      <c r="N310" s="9">
        <v>36297.0</v>
      </c>
    </row>
    <row r="311" ht="19.5" customHeight="1">
      <c r="A311" s="6" t="s">
        <v>1524</v>
      </c>
      <c r="B311" s="7" t="s">
        <v>6</v>
      </c>
      <c r="C311" s="7" t="s">
        <v>1525</v>
      </c>
      <c r="D311" s="7" t="s">
        <v>6</v>
      </c>
      <c r="E311" s="7" t="s">
        <v>45</v>
      </c>
      <c r="F311" s="6" t="s">
        <v>46</v>
      </c>
      <c r="G311" s="7" t="s">
        <v>1526</v>
      </c>
      <c r="H311" s="7" t="s">
        <v>48</v>
      </c>
      <c r="I311" s="6" t="s">
        <v>176</v>
      </c>
      <c r="J311" s="7" t="s">
        <v>428</v>
      </c>
      <c r="K311" s="6" t="s">
        <v>81</v>
      </c>
      <c r="L311" s="7" t="s">
        <v>1527</v>
      </c>
      <c r="M311" s="7" t="s">
        <v>1528</v>
      </c>
      <c r="N311" s="9">
        <v>33589.0</v>
      </c>
    </row>
    <row r="312" ht="19.5" customHeight="1">
      <c r="A312" s="6" t="s">
        <v>1529</v>
      </c>
      <c r="B312" s="7" t="s">
        <v>6</v>
      </c>
      <c r="C312" s="7" t="s">
        <v>1530</v>
      </c>
      <c r="D312" s="7" t="s">
        <v>6</v>
      </c>
      <c r="E312" s="7" t="s">
        <v>45</v>
      </c>
      <c r="F312" s="6" t="s">
        <v>46</v>
      </c>
      <c r="G312" s="7" t="s">
        <v>1531</v>
      </c>
      <c r="H312" s="7" t="s">
        <v>48</v>
      </c>
      <c r="I312" s="6" t="s">
        <v>24</v>
      </c>
      <c r="J312" s="7" t="s">
        <v>25</v>
      </c>
      <c r="K312" s="6" t="s">
        <v>26</v>
      </c>
      <c r="L312" s="7" t="s">
        <v>1532</v>
      </c>
      <c r="M312" s="7" t="s">
        <v>1533</v>
      </c>
      <c r="N312" s="9">
        <v>33975.0</v>
      </c>
    </row>
    <row r="313" ht="19.5" customHeight="1">
      <c r="A313" s="6" t="s">
        <v>1534</v>
      </c>
      <c r="B313" s="7" t="s">
        <v>6</v>
      </c>
      <c r="C313" s="7" t="s">
        <v>1536</v>
      </c>
      <c r="D313" s="7" t="s">
        <v>6</v>
      </c>
      <c r="E313" s="7" t="s">
        <v>45</v>
      </c>
      <c r="F313" s="6" t="s">
        <v>46</v>
      </c>
      <c r="G313" s="7" t="s">
        <v>47</v>
      </c>
      <c r="H313" s="7" t="s">
        <v>48</v>
      </c>
      <c r="I313" s="6" t="s">
        <v>49</v>
      </c>
      <c r="J313" s="7" t="s">
        <v>50</v>
      </c>
      <c r="K313" s="6" t="s">
        <v>26</v>
      </c>
      <c r="L313" s="7" t="s">
        <v>1537</v>
      </c>
      <c r="M313" s="7" t="s">
        <v>1538</v>
      </c>
      <c r="N313" s="9">
        <v>37122.0</v>
      </c>
    </row>
    <row r="314" ht="19.5" customHeight="1">
      <c r="A314" s="6" t="s">
        <v>1539</v>
      </c>
      <c r="B314" s="7" t="s">
        <v>6</v>
      </c>
      <c r="C314" s="7" t="s">
        <v>1540</v>
      </c>
      <c r="D314" s="7" t="s">
        <v>6</v>
      </c>
      <c r="E314" s="7" t="s">
        <v>45</v>
      </c>
      <c r="F314" s="6" t="s">
        <v>46</v>
      </c>
      <c r="G314" s="7" t="s">
        <v>47</v>
      </c>
      <c r="H314" s="7" t="s">
        <v>48</v>
      </c>
      <c r="I314" s="6" t="s">
        <v>145</v>
      </c>
      <c r="J314" s="7" t="s">
        <v>146</v>
      </c>
      <c r="K314" s="6" t="s">
        <v>81</v>
      </c>
      <c r="L314" s="7" t="s">
        <v>1541</v>
      </c>
      <c r="M314" s="7" t="s">
        <v>6</v>
      </c>
      <c r="N314" s="9">
        <v>37201.0</v>
      </c>
    </row>
    <row r="315" ht="19.5" customHeight="1">
      <c r="A315" s="6" t="s">
        <v>1542</v>
      </c>
      <c r="B315" s="7" t="s">
        <v>6</v>
      </c>
      <c r="C315" s="7" t="s">
        <v>1543</v>
      </c>
      <c r="D315" s="7" t="s">
        <v>6</v>
      </c>
      <c r="E315" s="7" t="s">
        <v>45</v>
      </c>
      <c r="F315" s="6" t="s">
        <v>46</v>
      </c>
      <c r="G315" s="7" t="s">
        <v>317</v>
      </c>
      <c r="H315" s="7" t="s">
        <v>48</v>
      </c>
      <c r="I315" s="6" t="s">
        <v>61</v>
      </c>
      <c r="J315" s="7" t="s">
        <v>62</v>
      </c>
      <c r="K315" s="6" t="s">
        <v>26</v>
      </c>
      <c r="L315" s="7" t="s">
        <v>1544</v>
      </c>
      <c r="M315" s="7" t="s">
        <v>1545</v>
      </c>
      <c r="N315" s="9">
        <v>38059.0</v>
      </c>
    </row>
    <row r="316" ht="19.5" customHeight="1">
      <c r="A316" s="6" t="s">
        <v>1546</v>
      </c>
      <c r="B316" s="7" t="s">
        <v>6</v>
      </c>
      <c r="C316" s="7" t="s">
        <v>1547</v>
      </c>
      <c r="D316" s="7" t="s">
        <v>6</v>
      </c>
      <c r="E316" s="7" t="s">
        <v>45</v>
      </c>
      <c r="F316" s="6" t="s">
        <v>46</v>
      </c>
      <c r="G316" s="7" t="s">
        <v>47</v>
      </c>
      <c r="H316" s="7" t="s">
        <v>48</v>
      </c>
      <c r="I316" s="6" t="s">
        <v>224</v>
      </c>
      <c r="J316" s="7" t="s">
        <v>238</v>
      </c>
      <c r="K316" s="6" t="s">
        <v>81</v>
      </c>
      <c r="L316" s="7" t="s">
        <v>1548</v>
      </c>
      <c r="M316" s="7" t="s">
        <v>6</v>
      </c>
      <c r="N316" s="9">
        <v>38262.0</v>
      </c>
    </row>
    <row r="317" ht="19.5" customHeight="1">
      <c r="A317" s="6" t="s">
        <v>1549</v>
      </c>
      <c r="B317" s="7" t="s">
        <v>6</v>
      </c>
      <c r="C317" s="7" t="s">
        <v>1550</v>
      </c>
      <c r="D317" s="7" t="s">
        <v>6</v>
      </c>
      <c r="E317" s="7" t="s">
        <v>45</v>
      </c>
      <c r="F317" s="6" t="s">
        <v>46</v>
      </c>
      <c r="G317" s="7" t="s">
        <v>47</v>
      </c>
      <c r="H317" s="7" t="s">
        <v>48</v>
      </c>
      <c r="I317" s="6" t="s">
        <v>145</v>
      </c>
      <c r="J317" s="7" t="s">
        <v>146</v>
      </c>
      <c r="K317" s="6" t="s">
        <v>26</v>
      </c>
      <c r="L317" s="7" t="s">
        <v>1551</v>
      </c>
      <c r="M317" s="7" t="s">
        <v>6</v>
      </c>
      <c r="N317" s="9">
        <v>37474.0</v>
      </c>
    </row>
    <row r="318" ht="19.5" customHeight="1">
      <c r="A318" s="6" t="s">
        <v>1552</v>
      </c>
      <c r="B318" s="7" t="s">
        <v>6</v>
      </c>
      <c r="C318" s="7" t="s">
        <v>1553</v>
      </c>
      <c r="D318" s="7" t="s">
        <v>6</v>
      </c>
      <c r="E318" s="7" t="s">
        <v>45</v>
      </c>
      <c r="F318" s="6" t="s">
        <v>46</v>
      </c>
      <c r="G318" s="7" t="s">
        <v>47</v>
      </c>
      <c r="H318" s="7" t="s">
        <v>48</v>
      </c>
      <c r="I318" s="6" t="s">
        <v>61</v>
      </c>
      <c r="J318" s="7" t="s">
        <v>62</v>
      </c>
      <c r="K318" s="6" t="s">
        <v>26</v>
      </c>
      <c r="L318" s="7" t="s">
        <v>1554</v>
      </c>
      <c r="M318" s="7" t="s">
        <v>6</v>
      </c>
      <c r="N318" s="9">
        <v>38255.0</v>
      </c>
    </row>
    <row r="319" ht="19.5" customHeight="1">
      <c r="A319" s="6" t="s">
        <v>1555</v>
      </c>
      <c r="B319" s="7" t="s">
        <v>6</v>
      </c>
      <c r="C319" s="7" t="s">
        <v>1556</v>
      </c>
      <c r="D319" s="7" t="s">
        <v>6</v>
      </c>
      <c r="E319" s="7" t="s">
        <v>45</v>
      </c>
      <c r="F319" s="6" t="s">
        <v>46</v>
      </c>
      <c r="G319" s="7" t="s">
        <v>47</v>
      </c>
      <c r="H319" s="7" t="s">
        <v>48</v>
      </c>
      <c r="I319" s="6" t="s">
        <v>224</v>
      </c>
      <c r="J319" s="7" t="s">
        <v>238</v>
      </c>
      <c r="K319" s="6" t="s">
        <v>26</v>
      </c>
      <c r="L319" s="7" t="s">
        <v>1558</v>
      </c>
      <c r="M319" s="7" t="s">
        <v>6</v>
      </c>
      <c r="N319" s="9">
        <v>38388.0</v>
      </c>
    </row>
    <row r="320" ht="19.5" customHeight="1">
      <c r="A320" s="6" t="s">
        <v>1559</v>
      </c>
      <c r="B320" s="7" t="s">
        <v>6</v>
      </c>
      <c r="C320" s="7" t="s">
        <v>1560</v>
      </c>
      <c r="D320" s="7" t="s">
        <v>6</v>
      </c>
      <c r="E320" s="7" t="s">
        <v>45</v>
      </c>
      <c r="F320" s="6" t="s">
        <v>46</v>
      </c>
      <c r="G320" s="7" t="s">
        <v>47</v>
      </c>
      <c r="H320" s="7" t="s">
        <v>48</v>
      </c>
      <c r="I320" s="6" t="s">
        <v>67</v>
      </c>
      <c r="J320" s="7" t="s">
        <v>68</v>
      </c>
      <c r="K320" s="6" t="s">
        <v>26</v>
      </c>
      <c r="L320" s="7" t="s">
        <v>1561</v>
      </c>
      <c r="M320" s="7" t="s">
        <v>6</v>
      </c>
      <c r="N320" s="9">
        <v>37765.0</v>
      </c>
    </row>
    <row r="321" ht="19.5" customHeight="1">
      <c r="A321" s="6" t="s">
        <v>1562</v>
      </c>
      <c r="B321" s="7" t="s">
        <v>6</v>
      </c>
      <c r="C321" s="7" t="s">
        <v>1563</v>
      </c>
      <c r="D321" s="7" t="s">
        <v>6</v>
      </c>
      <c r="E321" s="7" t="s">
        <v>45</v>
      </c>
      <c r="F321" s="6" t="s">
        <v>46</v>
      </c>
      <c r="G321" s="7" t="s">
        <v>47</v>
      </c>
      <c r="H321" s="7" t="s">
        <v>48</v>
      </c>
      <c r="I321" s="6" t="s">
        <v>224</v>
      </c>
      <c r="J321" s="7" t="s">
        <v>238</v>
      </c>
      <c r="K321" s="6" t="s">
        <v>26</v>
      </c>
      <c r="L321" s="7" t="s">
        <v>1564</v>
      </c>
      <c r="M321" s="7" t="s">
        <v>6</v>
      </c>
      <c r="N321" s="9">
        <v>38448.0</v>
      </c>
    </row>
    <row r="322" ht="19.5" customHeight="1">
      <c r="A322" s="6" t="s">
        <v>1565</v>
      </c>
      <c r="B322" s="7" t="s">
        <v>6</v>
      </c>
      <c r="C322" s="7" t="s">
        <v>1566</v>
      </c>
      <c r="D322" s="7" t="s">
        <v>6</v>
      </c>
      <c r="E322" s="7" t="s">
        <v>45</v>
      </c>
      <c r="F322" s="6" t="s">
        <v>46</v>
      </c>
      <c r="G322" s="7" t="s">
        <v>47</v>
      </c>
      <c r="H322" s="7" t="s">
        <v>48</v>
      </c>
      <c r="I322" s="6" t="s">
        <v>61</v>
      </c>
      <c r="J322" s="7" t="s">
        <v>62</v>
      </c>
      <c r="K322" s="6" t="s">
        <v>26</v>
      </c>
      <c r="L322" s="7" t="s">
        <v>1568</v>
      </c>
      <c r="M322" s="7" t="s">
        <v>6</v>
      </c>
      <c r="N322" s="9">
        <v>38146.0</v>
      </c>
    </row>
    <row r="323" ht="19.5" customHeight="1">
      <c r="A323" s="6" t="s">
        <v>1569</v>
      </c>
      <c r="B323" s="7" t="s">
        <v>6</v>
      </c>
      <c r="C323" s="7" t="s">
        <v>1570</v>
      </c>
      <c r="D323" s="7" t="s">
        <v>6</v>
      </c>
      <c r="E323" s="7" t="s">
        <v>45</v>
      </c>
      <c r="F323" s="6" t="s">
        <v>46</v>
      </c>
      <c r="G323" s="7" t="s">
        <v>1571</v>
      </c>
      <c r="H323" s="7" t="s">
        <v>48</v>
      </c>
      <c r="I323" s="6" t="s">
        <v>198</v>
      </c>
      <c r="J323" s="7" t="s">
        <v>337</v>
      </c>
      <c r="K323" s="6" t="s">
        <v>26</v>
      </c>
      <c r="L323" s="7" t="s">
        <v>1572</v>
      </c>
      <c r="M323" s="7" t="s">
        <v>6</v>
      </c>
      <c r="N323" s="9">
        <v>35497.0</v>
      </c>
    </row>
    <row r="324" ht="19.5" customHeight="1">
      <c r="A324" s="6" t="s">
        <v>1573</v>
      </c>
      <c r="B324" s="7" t="s">
        <v>6</v>
      </c>
      <c r="C324" s="7" t="s">
        <v>1574</v>
      </c>
      <c r="D324" s="7" t="s">
        <v>6</v>
      </c>
      <c r="E324" s="7" t="s">
        <v>45</v>
      </c>
      <c r="F324" s="6" t="s">
        <v>46</v>
      </c>
      <c r="G324" s="7" t="s">
        <v>47</v>
      </c>
      <c r="H324" s="7" t="s">
        <v>48</v>
      </c>
      <c r="I324" s="6" t="s">
        <v>198</v>
      </c>
      <c r="J324" s="7" t="s">
        <v>337</v>
      </c>
      <c r="K324" s="6" t="s">
        <v>26</v>
      </c>
      <c r="L324" s="7" t="s">
        <v>1575</v>
      </c>
      <c r="M324" s="7" t="s">
        <v>1576</v>
      </c>
      <c r="N324" s="9">
        <v>35444.0</v>
      </c>
    </row>
    <row r="325" ht="19.5" customHeight="1">
      <c r="A325" s="6" t="s">
        <v>1577</v>
      </c>
      <c r="B325" s="7" t="s">
        <v>6</v>
      </c>
      <c r="C325" s="7" t="s">
        <v>1578</v>
      </c>
      <c r="D325" s="7" t="s">
        <v>6</v>
      </c>
      <c r="E325" s="7" t="s">
        <v>45</v>
      </c>
      <c r="F325" s="6" t="s">
        <v>46</v>
      </c>
      <c r="G325" s="7" t="s">
        <v>1579</v>
      </c>
      <c r="H325" s="7" t="s">
        <v>48</v>
      </c>
      <c r="I325" s="6" t="s">
        <v>124</v>
      </c>
      <c r="J325" s="7" t="s">
        <v>125</v>
      </c>
      <c r="K325" s="6" t="s">
        <v>81</v>
      </c>
      <c r="L325" s="7" t="s">
        <v>1580</v>
      </c>
      <c r="M325" s="7" t="s">
        <v>1581</v>
      </c>
      <c r="N325" s="9">
        <v>32865.0</v>
      </c>
    </row>
    <row r="326" ht="19.5" customHeight="1">
      <c r="A326" s="6" t="s">
        <v>1582</v>
      </c>
      <c r="B326" s="7" t="s">
        <v>6</v>
      </c>
      <c r="C326" s="7" t="s">
        <v>1583</v>
      </c>
      <c r="D326" s="7" t="s">
        <v>6</v>
      </c>
      <c r="E326" s="7" t="s">
        <v>45</v>
      </c>
      <c r="F326" s="6" t="s">
        <v>46</v>
      </c>
      <c r="G326" s="7" t="s">
        <v>1584</v>
      </c>
      <c r="H326" s="7" t="s">
        <v>48</v>
      </c>
      <c r="I326" s="6" t="s">
        <v>184</v>
      </c>
      <c r="J326" s="7" t="s">
        <v>439</v>
      </c>
      <c r="K326" s="6" t="s">
        <v>26</v>
      </c>
      <c r="L326" s="7" t="s">
        <v>1585</v>
      </c>
      <c r="M326" s="7" t="s">
        <v>1586</v>
      </c>
      <c r="N326" s="9">
        <v>34396.0</v>
      </c>
    </row>
    <row r="327" ht="19.5" customHeight="1">
      <c r="A327" s="6" t="s">
        <v>1587</v>
      </c>
      <c r="B327" s="7" t="s">
        <v>6</v>
      </c>
      <c r="C327" s="7" t="s">
        <v>1588</v>
      </c>
      <c r="D327" s="7" t="s">
        <v>6</v>
      </c>
      <c r="E327" s="7" t="s">
        <v>45</v>
      </c>
      <c r="F327" s="6" t="s">
        <v>46</v>
      </c>
      <c r="G327" s="7" t="s">
        <v>1589</v>
      </c>
      <c r="H327" s="7" t="s">
        <v>48</v>
      </c>
      <c r="I327" s="6" t="s">
        <v>193</v>
      </c>
      <c r="J327" s="7" t="s">
        <v>200</v>
      </c>
      <c r="K327" s="6" t="s">
        <v>81</v>
      </c>
      <c r="L327" s="7" t="s">
        <v>1590</v>
      </c>
      <c r="M327" s="7" t="s">
        <v>1591</v>
      </c>
      <c r="N327" s="9">
        <v>35035.0</v>
      </c>
    </row>
    <row r="328" ht="19.5" customHeight="1">
      <c r="A328" s="6" t="s">
        <v>1592</v>
      </c>
      <c r="B328" s="7" t="s">
        <v>6</v>
      </c>
      <c r="C328" s="7" t="s">
        <v>1593</v>
      </c>
      <c r="D328" s="7" t="s">
        <v>6</v>
      </c>
      <c r="E328" s="7" t="s">
        <v>45</v>
      </c>
      <c r="F328" s="6" t="s">
        <v>46</v>
      </c>
      <c r="G328" s="7" t="s">
        <v>408</v>
      </c>
      <c r="H328" s="7" t="s">
        <v>23</v>
      </c>
      <c r="I328" s="6" t="s">
        <v>193</v>
      </c>
      <c r="J328" s="7" t="s">
        <v>200</v>
      </c>
      <c r="K328" s="6" t="s">
        <v>26</v>
      </c>
      <c r="L328" s="7" t="s">
        <v>1594</v>
      </c>
      <c r="M328" s="7" t="s">
        <v>1595</v>
      </c>
      <c r="N328" s="9">
        <v>35248.0</v>
      </c>
    </row>
    <row r="329" ht="19.5" customHeight="1">
      <c r="A329" s="6" t="s">
        <v>1596</v>
      </c>
      <c r="B329" s="7" t="s">
        <v>6</v>
      </c>
      <c r="C329" s="7" t="s">
        <v>1597</v>
      </c>
      <c r="D329" s="7" t="s">
        <v>6</v>
      </c>
      <c r="E329" s="7" t="s">
        <v>45</v>
      </c>
      <c r="F329" s="6" t="s">
        <v>46</v>
      </c>
      <c r="G329" s="7" t="s">
        <v>47</v>
      </c>
      <c r="H329" s="7" t="s">
        <v>48</v>
      </c>
      <c r="I329" s="6" t="s">
        <v>189</v>
      </c>
      <c r="J329" s="7" t="s">
        <v>210</v>
      </c>
      <c r="K329" s="6" t="s">
        <v>26</v>
      </c>
      <c r="L329" s="7" t="s">
        <v>1598</v>
      </c>
      <c r="M329" s="7" t="s">
        <v>6</v>
      </c>
      <c r="N329" s="9">
        <v>34884.0</v>
      </c>
    </row>
    <row r="330" ht="19.5" customHeight="1">
      <c r="A330" s="6" t="s">
        <v>1599</v>
      </c>
      <c r="B330" s="7" t="s">
        <v>6</v>
      </c>
      <c r="C330" s="7" t="s">
        <v>1600</v>
      </c>
      <c r="D330" s="7" t="s">
        <v>6</v>
      </c>
      <c r="E330" s="7" t="s">
        <v>45</v>
      </c>
      <c r="F330" s="6" t="s">
        <v>46</v>
      </c>
      <c r="G330" s="7" t="s">
        <v>47</v>
      </c>
      <c r="H330" s="7" t="s">
        <v>48</v>
      </c>
      <c r="I330" s="6" t="s">
        <v>189</v>
      </c>
      <c r="J330" s="7" t="s">
        <v>210</v>
      </c>
      <c r="K330" s="6" t="s">
        <v>26</v>
      </c>
      <c r="L330" s="7" t="s">
        <v>1602</v>
      </c>
      <c r="M330" s="7" t="s">
        <v>6</v>
      </c>
      <c r="N330" s="9">
        <v>34793.0</v>
      </c>
    </row>
    <row r="331" ht="19.5" customHeight="1">
      <c r="A331" s="6" t="s">
        <v>1603</v>
      </c>
      <c r="B331" s="7" t="s">
        <v>6</v>
      </c>
      <c r="C331" s="7" t="s">
        <v>1604</v>
      </c>
      <c r="D331" s="7" t="s">
        <v>6</v>
      </c>
      <c r="E331" s="7" t="s">
        <v>45</v>
      </c>
      <c r="F331" s="6" t="s">
        <v>46</v>
      </c>
      <c r="G331" s="7" t="s">
        <v>47</v>
      </c>
      <c r="H331" s="7" t="s">
        <v>48</v>
      </c>
      <c r="I331" s="6" t="s">
        <v>189</v>
      </c>
      <c r="J331" s="7" t="s">
        <v>210</v>
      </c>
      <c r="K331" s="6" t="s">
        <v>26</v>
      </c>
      <c r="L331" s="7" t="s">
        <v>1605</v>
      </c>
      <c r="M331" s="7" t="s">
        <v>1606</v>
      </c>
      <c r="N331" s="9">
        <v>34948.0</v>
      </c>
    </row>
    <row r="332" ht="19.5" customHeight="1">
      <c r="A332" s="6" t="s">
        <v>1607</v>
      </c>
      <c r="B332" s="7" t="s">
        <v>6</v>
      </c>
      <c r="C332" s="7" t="s">
        <v>1608</v>
      </c>
      <c r="D332" s="7" t="s">
        <v>6</v>
      </c>
      <c r="E332" s="7" t="s">
        <v>45</v>
      </c>
      <c r="F332" s="6" t="s">
        <v>46</v>
      </c>
      <c r="G332" s="7" t="s">
        <v>1609</v>
      </c>
      <c r="H332" s="7" t="s">
        <v>48</v>
      </c>
      <c r="I332" s="6" t="s">
        <v>166</v>
      </c>
      <c r="J332" s="7" t="s">
        <v>167</v>
      </c>
      <c r="K332" s="6" t="s">
        <v>81</v>
      </c>
      <c r="L332" s="7" t="s">
        <v>1610</v>
      </c>
      <c r="M332" s="7" t="s">
        <v>1611</v>
      </c>
      <c r="N332" s="9">
        <v>36446.0</v>
      </c>
    </row>
    <row r="333" ht="19.5" customHeight="1">
      <c r="A333" s="6" t="s">
        <v>1612</v>
      </c>
      <c r="B333" s="7" t="s">
        <v>6</v>
      </c>
      <c r="C333" s="7" t="s">
        <v>1613</v>
      </c>
      <c r="D333" s="7" t="s">
        <v>6</v>
      </c>
      <c r="E333" s="7" t="s">
        <v>45</v>
      </c>
      <c r="F333" s="6" t="s">
        <v>46</v>
      </c>
      <c r="G333" s="7" t="s">
        <v>47</v>
      </c>
      <c r="H333" s="7" t="s">
        <v>48</v>
      </c>
      <c r="I333" s="6" t="s">
        <v>112</v>
      </c>
      <c r="J333" s="7" t="s">
        <v>113</v>
      </c>
      <c r="K333" s="6" t="s">
        <v>81</v>
      </c>
      <c r="L333" s="7" t="s">
        <v>1614</v>
      </c>
      <c r="M333" s="7" t="s">
        <v>1615</v>
      </c>
      <c r="N333" s="9">
        <v>32423.0</v>
      </c>
    </row>
    <row r="334" ht="19.5" customHeight="1">
      <c r="A334" s="6" t="s">
        <v>1617</v>
      </c>
      <c r="B334" s="7" t="s">
        <v>6</v>
      </c>
      <c r="C334" s="7" t="s">
        <v>1618</v>
      </c>
      <c r="D334" s="7" t="s">
        <v>6</v>
      </c>
      <c r="E334" s="7" t="s">
        <v>45</v>
      </c>
      <c r="F334" s="6" t="s">
        <v>46</v>
      </c>
      <c r="G334" s="7" t="s">
        <v>47</v>
      </c>
      <c r="H334" s="7" t="s">
        <v>48</v>
      </c>
      <c r="I334" s="6" t="s">
        <v>184</v>
      </c>
      <c r="J334" s="7" t="s">
        <v>439</v>
      </c>
      <c r="K334" s="6" t="s">
        <v>26</v>
      </c>
      <c r="L334" s="7" t="s">
        <v>1619</v>
      </c>
      <c r="M334" s="7" t="s">
        <v>1620</v>
      </c>
      <c r="N334" s="9">
        <v>34458.0</v>
      </c>
    </row>
    <row r="335" ht="19.5" customHeight="1">
      <c r="A335" s="6" t="s">
        <v>1621</v>
      </c>
      <c r="B335" s="7" t="s">
        <v>6</v>
      </c>
      <c r="C335" s="7" t="s">
        <v>1622</v>
      </c>
      <c r="D335" s="7" t="s">
        <v>6</v>
      </c>
      <c r="E335" s="7" t="s">
        <v>45</v>
      </c>
      <c r="F335" s="6" t="s">
        <v>46</v>
      </c>
      <c r="G335" s="7" t="s">
        <v>1623</v>
      </c>
      <c r="H335" s="7" t="s">
        <v>48</v>
      </c>
      <c r="I335" s="6" t="s">
        <v>166</v>
      </c>
      <c r="J335" s="7" t="s">
        <v>167</v>
      </c>
      <c r="K335" s="6" t="s">
        <v>26</v>
      </c>
      <c r="L335" s="7" t="s">
        <v>1624</v>
      </c>
      <c r="M335" s="7" t="s">
        <v>1625</v>
      </c>
      <c r="N335" s="9">
        <v>36696.0</v>
      </c>
    </row>
    <row r="336" ht="19.5" customHeight="1">
      <c r="A336" s="6" t="s">
        <v>1626</v>
      </c>
      <c r="B336" s="7" t="s">
        <v>6</v>
      </c>
      <c r="C336" s="7" t="s">
        <v>1627</v>
      </c>
      <c r="D336" s="7" t="s">
        <v>6</v>
      </c>
      <c r="E336" s="7" t="s">
        <v>45</v>
      </c>
      <c r="F336" s="6" t="s">
        <v>46</v>
      </c>
      <c r="G336" s="7" t="s">
        <v>1628</v>
      </c>
      <c r="H336" s="7" t="s">
        <v>48</v>
      </c>
      <c r="I336" s="6" t="s">
        <v>92</v>
      </c>
      <c r="J336" s="7" t="s">
        <v>93</v>
      </c>
      <c r="K336" s="6" t="s">
        <v>26</v>
      </c>
      <c r="L336" s="7" t="s">
        <v>1629</v>
      </c>
      <c r="M336" s="7" t="s">
        <v>1630</v>
      </c>
      <c r="N336" s="9">
        <v>35981.0</v>
      </c>
    </row>
    <row r="337" ht="19.5" customHeight="1">
      <c r="A337" s="6" t="s">
        <v>1631</v>
      </c>
      <c r="B337" s="7" t="s">
        <v>6</v>
      </c>
      <c r="C337" s="7" t="s">
        <v>1632</v>
      </c>
      <c r="D337" s="7" t="s">
        <v>6</v>
      </c>
      <c r="E337" s="7" t="s">
        <v>45</v>
      </c>
      <c r="F337" s="6" t="s">
        <v>46</v>
      </c>
      <c r="G337" s="7" t="s">
        <v>1633</v>
      </c>
      <c r="H337" s="7" t="s">
        <v>48</v>
      </c>
      <c r="I337" s="6" t="s">
        <v>198</v>
      </c>
      <c r="J337" s="7" t="s">
        <v>337</v>
      </c>
      <c r="K337" s="6" t="s">
        <v>26</v>
      </c>
      <c r="L337" s="7" t="s">
        <v>1634</v>
      </c>
      <c r="M337" s="7" t="s">
        <v>1635</v>
      </c>
      <c r="N337" s="9">
        <v>35529.0</v>
      </c>
    </row>
    <row r="338" ht="19.5" customHeight="1">
      <c r="A338" s="6" t="s">
        <v>1636</v>
      </c>
      <c r="B338" s="7" t="s">
        <v>6</v>
      </c>
      <c r="C338" s="7" t="s">
        <v>1637</v>
      </c>
      <c r="D338" s="7" t="s">
        <v>6</v>
      </c>
      <c r="E338" s="7" t="s">
        <v>45</v>
      </c>
      <c r="F338" s="6" t="s">
        <v>46</v>
      </c>
      <c r="G338" s="7" t="s">
        <v>1638</v>
      </c>
      <c r="H338" s="7" t="s">
        <v>48</v>
      </c>
      <c r="I338" s="6" t="s">
        <v>143</v>
      </c>
      <c r="J338" s="7" t="s">
        <v>1639</v>
      </c>
      <c r="K338" s="6" t="s">
        <v>26</v>
      </c>
      <c r="L338" s="7" t="s">
        <v>1640</v>
      </c>
      <c r="M338" s="7" t="s">
        <v>1641</v>
      </c>
      <c r="N338" s="9">
        <v>30927.0</v>
      </c>
    </row>
    <row r="339" ht="19.5" customHeight="1">
      <c r="A339" s="6" t="s">
        <v>1642</v>
      </c>
      <c r="B339" s="7" t="s">
        <v>6</v>
      </c>
      <c r="C339" s="7" t="s">
        <v>1643</v>
      </c>
      <c r="D339" s="7" t="s">
        <v>6</v>
      </c>
      <c r="E339" s="7" t="s">
        <v>45</v>
      </c>
      <c r="F339" s="6" t="s">
        <v>46</v>
      </c>
      <c r="G339" s="7" t="s">
        <v>736</v>
      </c>
      <c r="H339" s="7" t="s">
        <v>48</v>
      </c>
      <c r="I339" s="6" t="s">
        <v>92</v>
      </c>
      <c r="J339" s="7" t="s">
        <v>93</v>
      </c>
      <c r="K339" s="6" t="s">
        <v>26</v>
      </c>
      <c r="L339" s="7" t="s">
        <v>1644</v>
      </c>
      <c r="M339" s="7" t="s">
        <v>1645</v>
      </c>
      <c r="N339" s="9">
        <v>35998.0</v>
      </c>
    </row>
    <row r="340" ht="19.5" customHeight="1">
      <c r="A340" s="6" t="s">
        <v>1646</v>
      </c>
      <c r="B340" s="7" t="s">
        <v>6</v>
      </c>
      <c r="C340" s="7" t="s">
        <v>1647</v>
      </c>
      <c r="D340" s="7" t="s">
        <v>6</v>
      </c>
      <c r="E340" s="7" t="s">
        <v>45</v>
      </c>
      <c r="F340" s="6" t="s">
        <v>46</v>
      </c>
      <c r="G340" s="7" t="s">
        <v>47</v>
      </c>
      <c r="H340" s="7" t="s">
        <v>48</v>
      </c>
      <c r="I340" s="6" t="s">
        <v>24</v>
      </c>
      <c r="J340" s="7" t="s">
        <v>25</v>
      </c>
      <c r="K340" s="6" t="s">
        <v>26</v>
      </c>
      <c r="L340" s="7" t="s">
        <v>1648</v>
      </c>
      <c r="M340" s="7" t="s">
        <v>1649</v>
      </c>
      <c r="N340" s="9">
        <v>34022.0</v>
      </c>
    </row>
    <row r="341" ht="19.5" customHeight="1">
      <c r="A341" s="6" t="s">
        <v>1650</v>
      </c>
      <c r="B341" s="7" t="s">
        <v>6</v>
      </c>
      <c r="C341" s="7" t="s">
        <v>1651</v>
      </c>
      <c r="D341" s="7" t="s">
        <v>6</v>
      </c>
      <c r="E341" s="7" t="s">
        <v>45</v>
      </c>
      <c r="F341" s="6" t="s">
        <v>46</v>
      </c>
      <c r="G341" s="7" t="s">
        <v>1652</v>
      </c>
      <c r="H341" s="7" t="s">
        <v>48</v>
      </c>
      <c r="I341" s="6" t="s">
        <v>166</v>
      </c>
      <c r="J341" s="7" t="s">
        <v>167</v>
      </c>
      <c r="K341" s="6" t="s">
        <v>26</v>
      </c>
      <c r="L341" s="7" t="s">
        <v>1653</v>
      </c>
      <c r="M341" s="7" t="s">
        <v>1654</v>
      </c>
      <c r="N341" s="9">
        <v>36566.0</v>
      </c>
    </row>
    <row r="342" ht="19.5" customHeight="1">
      <c r="A342" s="6" t="s">
        <v>1655</v>
      </c>
      <c r="B342" s="7" t="s">
        <v>6</v>
      </c>
      <c r="C342" s="7" t="s">
        <v>1656</v>
      </c>
      <c r="D342" s="7" t="s">
        <v>6</v>
      </c>
      <c r="E342" s="7" t="s">
        <v>45</v>
      </c>
      <c r="F342" s="6" t="s">
        <v>46</v>
      </c>
      <c r="G342" s="7" t="s">
        <v>1657</v>
      </c>
      <c r="H342" s="7" t="s">
        <v>48</v>
      </c>
      <c r="I342" s="6" t="s">
        <v>176</v>
      </c>
      <c r="J342" s="7" t="s">
        <v>428</v>
      </c>
      <c r="K342" s="6" t="s">
        <v>26</v>
      </c>
      <c r="L342" s="7" t="s">
        <v>1658</v>
      </c>
      <c r="M342" s="7" t="s">
        <v>1659</v>
      </c>
      <c r="N342" s="9">
        <v>33771.0</v>
      </c>
    </row>
    <row r="343" ht="19.5" customHeight="1">
      <c r="A343" s="6" t="s">
        <v>1660</v>
      </c>
      <c r="B343" s="7" t="s">
        <v>6</v>
      </c>
      <c r="C343" s="7" t="s">
        <v>1661</v>
      </c>
      <c r="D343" s="7" t="s">
        <v>6</v>
      </c>
      <c r="E343" s="7" t="s">
        <v>45</v>
      </c>
      <c r="F343" s="6" t="s">
        <v>46</v>
      </c>
      <c r="G343" s="7" t="s">
        <v>47</v>
      </c>
      <c r="H343" s="7" t="s">
        <v>48</v>
      </c>
      <c r="I343" s="6" t="s">
        <v>170</v>
      </c>
      <c r="J343" s="7" t="s">
        <v>409</v>
      </c>
      <c r="K343" s="6" t="s">
        <v>26</v>
      </c>
      <c r="L343" s="7" t="s">
        <v>1662</v>
      </c>
      <c r="M343" s="7" t="s">
        <v>6</v>
      </c>
      <c r="N343" s="9">
        <v>33429.0</v>
      </c>
    </row>
    <row r="344" ht="19.5" customHeight="1">
      <c r="A344" s="6" t="s">
        <v>1663</v>
      </c>
      <c r="B344" s="7" t="s">
        <v>6</v>
      </c>
      <c r="C344" s="7" t="s">
        <v>1664</v>
      </c>
      <c r="D344" s="7" t="s">
        <v>6</v>
      </c>
      <c r="E344" s="7" t="s">
        <v>45</v>
      </c>
      <c r="F344" s="6" t="s">
        <v>46</v>
      </c>
      <c r="G344" s="7" t="s">
        <v>47</v>
      </c>
      <c r="H344" s="7" t="s">
        <v>48</v>
      </c>
      <c r="I344" s="6" t="s">
        <v>92</v>
      </c>
      <c r="J344" s="7" t="s">
        <v>93</v>
      </c>
      <c r="K344" s="6" t="s">
        <v>26</v>
      </c>
      <c r="L344" s="7" t="s">
        <v>1665</v>
      </c>
      <c r="M344" s="7" t="s">
        <v>1666</v>
      </c>
      <c r="N344" s="9">
        <v>35906.0</v>
      </c>
    </row>
    <row r="345" ht="19.5" customHeight="1">
      <c r="A345" s="6" t="s">
        <v>1667</v>
      </c>
      <c r="B345" s="7" t="s">
        <v>6</v>
      </c>
      <c r="C345" s="7" t="s">
        <v>1668</v>
      </c>
      <c r="D345" s="7" t="s">
        <v>6</v>
      </c>
      <c r="E345" s="7" t="s">
        <v>45</v>
      </c>
      <c r="F345" s="6" t="s">
        <v>46</v>
      </c>
      <c r="G345" s="7" t="s">
        <v>47</v>
      </c>
      <c r="H345" s="7" t="s">
        <v>48</v>
      </c>
      <c r="I345" s="6" t="s">
        <v>112</v>
      </c>
      <c r="J345" s="7" t="s">
        <v>113</v>
      </c>
      <c r="K345" s="6" t="s">
        <v>26</v>
      </c>
      <c r="L345" s="7" t="s">
        <v>1669</v>
      </c>
      <c r="M345" s="7" t="s">
        <v>6</v>
      </c>
      <c r="N345" s="9">
        <v>32562.0</v>
      </c>
    </row>
    <row r="346" ht="19.5" customHeight="1">
      <c r="A346" s="6" t="s">
        <v>1670</v>
      </c>
      <c r="B346" s="7" t="s">
        <v>6</v>
      </c>
      <c r="C346" s="7" t="s">
        <v>1671</v>
      </c>
      <c r="D346" s="7" t="s">
        <v>6</v>
      </c>
      <c r="E346" s="7" t="s">
        <v>45</v>
      </c>
      <c r="F346" s="6" t="s">
        <v>46</v>
      </c>
      <c r="G346" s="7" t="s">
        <v>47</v>
      </c>
      <c r="H346" s="7" t="s">
        <v>48</v>
      </c>
      <c r="I346" s="6" t="s">
        <v>1255</v>
      </c>
      <c r="J346" s="7" t="s">
        <v>1256</v>
      </c>
      <c r="K346" s="6" t="s">
        <v>26</v>
      </c>
      <c r="L346" s="7" t="s">
        <v>1672</v>
      </c>
      <c r="M346" s="7" t="s">
        <v>1673</v>
      </c>
      <c r="N346" s="9">
        <v>32401.0</v>
      </c>
    </row>
    <row r="347" ht="19.5" customHeight="1">
      <c r="A347" s="6" t="s">
        <v>1674</v>
      </c>
      <c r="B347" s="7" t="s">
        <v>6</v>
      </c>
      <c r="C347" s="7" t="s">
        <v>1675</v>
      </c>
      <c r="D347" s="7" t="s">
        <v>6</v>
      </c>
      <c r="E347" s="7" t="s">
        <v>45</v>
      </c>
      <c r="F347" s="6" t="s">
        <v>46</v>
      </c>
      <c r="G347" s="7" t="s">
        <v>47</v>
      </c>
      <c r="H347" s="7" t="s">
        <v>48</v>
      </c>
      <c r="I347" s="6" t="s">
        <v>1255</v>
      </c>
      <c r="J347" s="7" t="s">
        <v>1256</v>
      </c>
      <c r="K347" s="6" t="s">
        <v>26</v>
      </c>
      <c r="L347" s="7" t="s">
        <v>1676</v>
      </c>
      <c r="M347" s="7" t="s">
        <v>1677</v>
      </c>
      <c r="N347" s="9">
        <v>32183.0</v>
      </c>
    </row>
    <row r="348" ht="19.5" customHeight="1">
      <c r="A348" s="6" t="s">
        <v>1678</v>
      </c>
      <c r="B348" s="7" t="s">
        <v>6</v>
      </c>
      <c r="C348" s="7" t="s">
        <v>1679</v>
      </c>
      <c r="D348" s="7" t="s">
        <v>6</v>
      </c>
      <c r="E348" s="7" t="s">
        <v>45</v>
      </c>
      <c r="F348" s="6" t="s">
        <v>46</v>
      </c>
      <c r="G348" s="7" t="s">
        <v>47</v>
      </c>
      <c r="H348" s="7" t="s">
        <v>48</v>
      </c>
      <c r="I348" s="6" t="s">
        <v>109</v>
      </c>
      <c r="J348" s="7" t="s">
        <v>1680</v>
      </c>
      <c r="K348" s="6" t="s">
        <v>26</v>
      </c>
      <c r="L348" s="7" t="s">
        <v>1681</v>
      </c>
      <c r="M348" s="7" t="s">
        <v>1682</v>
      </c>
      <c r="N348" s="9">
        <v>28208.0</v>
      </c>
    </row>
    <row r="349" ht="19.5" customHeight="1">
      <c r="A349" s="6" t="s">
        <v>1683</v>
      </c>
      <c r="B349" s="7" t="s">
        <v>6</v>
      </c>
      <c r="C349" s="7" t="s">
        <v>1684</v>
      </c>
      <c r="D349" s="7" t="s">
        <v>6</v>
      </c>
      <c r="E349" s="7" t="s">
        <v>45</v>
      </c>
      <c r="F349" s="6" t="s">
        <v>46</v>
      </c>
      <c r="G349" s="7" t="s">
        <v>47</v>
      </c>
      <c r="H349" s="7" t="s">
        <v>48</v>
      </c>
      <c r="I349" s="6" t="s">
        <v>159</v>
      </c>
      <c r="J349" s="7" t="s">
        <v>1027</v>
      </c>
      <c r="K349" s="6" t="s">
        <v>81</v>
      </c>
      <c r="L349" s="7" t="s">
        <v>1685</v>
      </c>
      <c r="M349" s="7" t="s">
        <v>1686</v>
      </c>
      <c r="N349" s="9">
        <v>31715.0</v>
      </c>
    </row>
    <row r="350" ht="19.5" customHeight="1">
      <c r="A350" s="6" t="s">
        <v>1687</v>
      </c>
      <c r="B350" s="7" t="s">
        <v>6</v>
      </c>
      <c r="C350" s="7" t="s">
        <v>1688</v>
      </c>
      <c r="D350" s="7" t="s">
        <v>6</v>
      </c>
      <c r="E350" s="7" t="s">
        <v>45</v>
      </c>
      <c r="F350" s="6" t="s">
        <v>46</v>
      </c>
      <c r="G350" s="7" t="s">
        <v>47</v>
      </c>
      <c r="H350" s="7" t="s">
        <v>48</v>
      </c>
      <c r="I350" s="6" t="s">
        <v>148</v>
      </c>
      <c r="J350" s="7" t="s">
        <v>182</v>
      </c>
      <c r="K350" s="6" t="s">
        <v>26</v>
      </c>
      <c r="L350" s="7" t="s">
        <v>1689</v>
      </c>
      <c r="M350" s="7" t="s">
        <v>1690</v>
      </c>
      <c r="N350" s="9">
        <v>31311.0</v>
      </c>
    </row>
    <row r="351" ht="19.5" customHeight="1">
      <c r="A351" s="6" t="s">
        <v>1691</v>
      </c>
      <c r="B351" s="7" t="s">
        <v>6</v>
      </c>
      <c r="C351" s="7" t="s">
        <v>1692</v>
      </c>
      <c r="D351" s="7" t="s">
        <v>6</v>
      </c>
      <c r="E351" s="7" t="s">
        <v>45</v>
      </c>
      <c r="F351" s="6" t="s">
        <v>46</v>
      </c>
      <c r="G351" s="7" t="s">
        <v>1693</v>
      </c>
      <c r="H351" s="7" t="s">
        <v>48</v>
      </c>
      <c r="I351" s="6" t="s">
        <v>193</v>
      </c>
      <c r="J351" s="7" t="s">
        <v>200</v>
      </c>
      <c r="K351" s="6" t="s">
        <v>26</v>
      </c>
      <c r="L351" s="7" t="s">
        <v>1694</v>
      </c>
      <c r="M351" s="7" t="s">
        <v>1695</v>
      </c>
      <c r="N351" s="9">
        <v>35276.0</v>
      </c>
    </row>
    <row r="352" ht="19.5" customHeight="1">
      <c r="A352" s="6" t="s">
        <v>1696</v>
      </c>
      <c r="B352" s="7" t="s">
        <v>6</v>
      </c>
      <c r="C352" s="7" t="s">
        <v>1697</v>
      </c>
      <c r="D352" s="7" t="s">
        <v>6</v>
      </c>
      <c r="E352" s="7" t="s">
        <v>45</v>
      </c>
      <c r="F352" s="6" t="s">
        <v>46</v>
      </c>
      <c r="G352" s="7" t="s">
        <v>648</v>
      </c>
      <c r="H352" s="7" t="s">
        <v>48</v>
      </c>
      <c r="I352" s="6" t="s">
        <v>170</v>
      </c>
      <c r="J352" s="7" t="s">
        <v>409</v>
      </c>
      <c r="K352" s="6" t="s">
        <v>26</v>
      </c>
      <c r="L352" s="7" t="s">
        <v>1698</v>
      </c>
      <c r="M352" s="7" t="s">
        <v>1699</v>
      </c>
      <c r="N352" s="9">
        <v>33299.0</v>
      </c>
    </row>
    <row r="353" ht="19.5" customHeight="1">
      <c r="A353" s="6" t="s">
        <v>1700</v>
      </c>
      <c r="B353" s="7" t="s">
        <v>6</v>
      </c>
      <c r="C353" s="7" t="s">
        <v>1701</v>
      </c>
      <c r="D353" s="7" t="s">
        <v>6</v>
      </c>
      <c r="E353" s="7" t="s">
        <v>45</v>
      </c>
      <c r="F353" s="6" t="s">
        <v>46</v>
      </c>
      <c r="G353" s="7" t="s">
        <v>1488</v>
      </c>
      <c r="H353" s="7" t="s">
        <v>48</v>
      </c>
      <c r="I353" s="6" t="s">
        <v>49</v>
      </c>
      <c r="J353" s="7" t="s">
        <v>50</v>
      </c>
      <c r="K353" s="6" t="s">
        <v>81</v>
      </c>
      <c r="L353" s="7" t="s">
        <v>1702</v>
      </c>
      <c r="M353" s="7" t="s">
        <v>1703</v>
      </c>
      <c r="N353" s="9">
        <v>36878.0</v>
      </c>
    </row>
    <row r="354" ht="19.5" customHeight="1">
      <c r="A354" s="6" t="s">
        <v>1704</v>
      </c>
      <c r="B354" s="7" t="s">
        <v>6</v>
      </c>
      <c r="C354" s="7" t="s">
        <v>1705</v>
      </c>
      <c r="D354" s="7" t="s">
        <v>6</v>
      </c>
      <c r="E354" s="7" t="s">
        <v>45</v>
      </c>
      <c r="F354" s="6" t="s">
        <v>46</v>
      </c>
      <c r="G354" s="7" t="s">
        <v>1707</v>
      </c>
      <c r="H354" s="7" t="s">
        <v>48</v>
      </c>
      <c r="I354" s="6" t="s">
        <v>1255</v>
      </c>
      <c r="J354" s="7" t="s">
        <v>1256</v>
      </c>
      <c r="K354" s="6" t="s">
        <v>26</v>
      </c>
      <c r="L354" s="7" t="s">
        <v>1708</v>
      </c>
      <c r="M354" s="7" t="s">
        <v>1709</v>
      </c>
      <c r="N354" s="9">
        <v>32262.0</v>
      </c>
    </row>
    <row r="355" ht="19.5" customHeight="1">
      <c r="A355" s="6" t="s">
        <v>1710</v>
      </c>
      <c r="B355" s="7" t="s">
        <v>6</v>
      </c>
      <c r="C355" s="7" t="s">
        <v>1711</v>
      </c>
      <c r="D355" s="7" t="s">
        <v>6</v>
      </c>
      <c r="E355" s="7" t="s">
        <v>45</v>
      </c>
      <c r="F355" s="6" t="s">
        <v>46</v>
      </c>
      <c r="G355" s="7" t="s">
        <v>47</v>
      </c>
      <c r="H355" s="7" t="s">
        <v>48</v>
      </c>
      <c r="I355" s="6" t="s">
        <v>49</v>
      </c>
      <c r="J355" s="7" t="s">
        <v>50</v>
      </c>
      <c r="K355" s="6" t="s">
        <v>81</v>
      </c>
      <c r="L355" s="7" t="s">
        <v>1712</v>
      </c>
      <c r="M355" s="7" t="s">
        <v>1713</v>
      </c>
      <c r="N355" s="9">
        <v>36844.0</v>
      </c>
    </row>
    <row r="356" ht="19.5" customHeight="1">
      <c r="A356" s="6" t="s">
        <v>1714</v>
      </c>
      <c r="B356" s="7" t="s">
        <v>6</v>
      </c>
      <c r="C356" s="7" t="s">
        <v>1715</v>
      </c>
      <c r="D356" s="7" t="s">
        <v>6</v>
      </c>
      <c r="E356" s="7" t="s">
        <v>45</v>
      </c>
      <c r="F356" s="6" t="s">
        <v>46</v>
      </c>
      <c r="G356" s="7" t="s">
        <v>47</v>
      </c>
      <c r="H356" s="7" t="s">
        <v>48</v>
      </c>
      <c r="I356" s="6" t="s">
        <v>166</v>
      </c>
      <c r="J356" s="7" t="s">
        <v>167</v>
      </c>
      <c r="K356" s="6" t="s">
        <v>26</v>
      </c>
      <c r="L356" s="7" t="s">
        <v>1717</v>
      </c>
      <c r="M356" s="7" t="s">
        <v>1718</v>
      </c>
      <c r="N356" s="9">
        <v>36689.0</v>
      </c>
    </row>
    <row r="357" ht="19.5" customHeight="1">
      <c r="A357" s="6" t="s">
        <v>1719</v>
      </c>
      <c r="B357" s="7" t="s">
        <v>6</v>
      </c>
      <c r="C357" s="7" t="s">
        <v>1720</v>
      </c>
      <c r="D357" s="7" t="s">
        <v>6</v>
      </c>
      <c r="E357" s="7" t="s">
        <v>45</v>
      </c>
      <c r="F357" s="6" t="s">
        <v>46</v>
      </c>
      <c r="G357" s="7" t="s">
        <v>47</v>
      </c>
      <c r="H357" s="7" t="s">
        <v>48</v>
      </c>
      <c r="I357" s="6" t="s">
        <v>166</v>
      </c>
      <c r="J357" s="7" t="s">
        <v>167</v>
      </c>
      <c r="K357" s="6" t="s">
        <v>26</v>
      </c>
      <c r="L357" s="7" t="s">
        <v>1721</v>
      </c>
      <c r="M357" s="7" t="s">
        <v>1722</v>
      </c>
      <c r="N357" s="9">
        <v>36563.0</v>
      </c>
    </row>
    <row r="358" ht="19.5" customHeight="1">
      <c r="A358" s="6" t="s">
        <v>1723</v>
      </c>
      <c r="B358" s="7" t="s">
        <v>6</v>
      </c>
      <c r="C358" s="7" t="s">
        <v>1724</v>
      </c>
      <c r="D358" s="7" t="s">
        <v>6</v>
      </c>
      <c r="E358" s="7" t="s">
        <v>45</v>
      </c>
      <c r="F358" s="6" t="s">
        <v>46</v>
      </c>
      <c r="G358" s="7" t="s">
        <v>47</v>
      </c>
      <c r="H358" s="7" t="s">
        <v>48</v>
      </c>
      <c r="I358" s="6" t="s">
        <v>166</v>
      </c>
      <c r="J358" s="7" t="s">
        <v>167</v>
      </c>
      <c r="K358" s="6" t="s">
        <v>26</v>
      </c>
      <c r="L358" s="7" t="s">
        <v>1725</v>
      </c>
      <c r="M358" s="7" t="s">
        <v>1726</v>
      </c>
      <c r="N358" s="9">
        <v>36556.0</v>
      </c>
    </row>
    <row r="359" ht="19.5" customHeight="1">
      <c r="A359" s="6" t="s">
        <v>1727</v>
      </c>
      <c r="B359" s="7" t="s">
        <v>6</v>
      </c>
      <c r="C359" s="7" t="s">
        <v>1728</v>
      </c>
      <c r="D359" s="7" t="s">
        <v>6</v>
      </c>
      <c r="E359" s="7" t="s">
        <v>45</v>
      </c>
      <c r="F359" s="6" t="s">
        <v>46</v>
      </c>
      <c r="G359" s="7" t="s">
        <v>47</v>
      </c>
      <c r="H359" s="7" t="s">
        <v>48</v>
      </c>
      <c r="I359" s="6" t="s">
        <v>49</v>
      </c>
      <c r="J359" s="7" t="s">
        <v>50</v>
      </c>
      <c r="K359" s="6" t="s">
        <v>26</v>
      </c>
      <c r="L359" s="7" t="s">
        <v>1729</v>
      </c>
      <c r="M359" s="7" t="s">
        <v>1730</v>
      </c>
      <c r="N359" s="9">
        <v>37036.0</v>
      </c>
    </row>
    <row r="360" ht="19.5" customHeight="1">
      <c r="A360" s="6" t="s">
        <v>1731</v>
      </c>
      <c r="B360" s="7" t="s">
        <v>6</v>
      </c>
      <c r="C360" s="7" t="s">
        <v>1732</v>
      </c>
      <c r="D360" s="7" t="s">
        <v>6</v>
      </c>
      <c r="E360" s="7" t="s">
        <v>45</v>
      </c>
      <c r="F360" s="6" t="s">
        <v>46</v>
      </c>
      <c r="G360" s="7" t="s">
        <v>47</v>
      </c>
      <c r="H360" s="7" t="s">
        <v>48</v>
      </c>
      <c r="I360" s="6" t="s">
        <v>166</v>
      </c>
      <c r="J360" s="7" t="s">
        <v>167</v>
      </c>
      <c r="K360" s="6" t="s">
        <v>26</v>
      </c>
      <c r="L360" s="7" t="s">
        <v>1733</v>
      </c>
      <c r="M360" s="7" t="s">
        <v>1734</v>
      </c>
      <c r="N360" s="9">
        <v>36582.0</v>
      </c>
    </row>
    <row r="361" ht="19.5" customHeight="1">
      <c r="A361" s="6" t="s">
        <v>1735</v>
      </c>
      <c r="B361" s="7" t="s">
        <v>6</v>
      </c>
      <c r="C361" s="7" t="s">
        <v>1736</v>
      </c>
      <c r="D361" s="7" t="s">
        <v>6</v>
      </c>
      <c r="E361" s="7" t="s">
        <v>45</v>
      </c>
      <c r="F361" s="6" t="s">
        <v>46</v>
      </c>
      <c r="G361" s="7" t="s">
        <v>47</v>
      </c>
      <c r="H361" s="7" t="s">
        <v>48</v>
      </c>
      <c r="I361" s="6" t="s">
        <v>92</v>
      </c>
      <c r="J361" s="7" t="s">
        <v>93</v>
      </c>
      <c r="K361" s="6" t="s">
        <v>26</v>
      </c>
      <c r="L361" s="7" t="s">
        <v>1737</v>
      </c>
      <c r="M361" s="7" t="s">
        <v>1738</v>
      </c>
      <c r="N361" s="9">
        <v>36047.0</v>
      </c>
    </row>
    <row r="362" ht="19.5" customHeight="1">
      <c r="A362" s="6" t="s">
        <v>1739</v>
      </c>
      <c r="B362" s="7" t="s">
        <v>6</v>
      </c>
      <c r="C362" s="7" t="s">
        <v>1740</v>
      </c>
      <c r="D362" s="7" t="s">
        <v>6</v>
      </c>
      <c r="E362" s="7" t="s">
        <v>45</v>
      </c>
      <c r="F362" s="6" t="s">
        <v>46</v>
      </c>
      <c r="G362" s="7" t="s">
        <v>47</v>
      </c>
      <c r="H362" s="7" t="s">
        <v>48</v>
      </c>
      <c r="I362" s="6" t="s">
        <v>49</v>
      </c>
      <c r="J362" s="7" t="s">
        <v>50</v>
      </c>
      <c r="K362" s="6" t="s">
        <v>26</v>
      </c>
      <c r="L362" s="7" t="s">
        <v>1741</v>
      </c>
      <c r="M362" s="7" t="s">
        <v>1742</v>
      </c>
      <c r="N362" s="9">
        <v>37003.0</v>
      </c>
    </row>
    <row r="363" ht="19.5" customHeight="1">
      <c r="A363" s="6" t="s">
        <v>1743</v>
      </c>
      <c r="B363" s="7" t="s">
        <v>6</v>
      </c>
      <c r="C363" s="7" t="s">
        <v>1744</v>
      </c>
      <c r="D363" s="7" t="s">
        <v>6</v>
      </c>
      <c r="E363" s="7" t="s">
        <v>45</v>
      </c>
      <c r="F363" s="6" t="s">
        <v>46</v>
      </c>
      <c r="G363" s="7" t="s">
        <v>47</v>
      </c>
      <c r="H363" s="7" t="s">
        <v>48</v>
      </c>
      <c r="I363" s="6" t="s">
        <v>49</v>
      </c>
      <c r="J363" s="7" t="s">
        <v>50</v>
      </c>
      <c r="K363" s="6" t="s">
        <v>81</v>
      </c>
      <c r="L363" s="7" t="s">
        <v>1745</v>
      </c>
      <c r="M363" s="7" t="s">
        <v>1747</v>
      </c>
      <c r="N363" s="9">
        <v>36837.0</v>
      </c>
    </row>
    <row r="364" ht="19.5" customHeight="1">
      <c r="A364" s="6" t="s">
        <v>1748</v>
      </c>
      <c r="B364" s="7" t="s">
        <v>6</v>
      </c>
      <c r="C364" s="7" t="s">
        <v>1749</v>
      </c>
      <c r="D364" s="7" t="s">
        <v>6</v>
      </c>
      <c r="E364" s="7" t="s">
        <v>45</v>
      </c>
      <c r="F364" s="6" t="s">
        <v>46</v>
      </c>
      <c r="G364" s="7" t="s">
        <v>47</v>
      </c>
      <c r="H364" s="7" t="s">
        <v>48</v>
      </c>
      <c r="I364" s="6" t="s">
        <v>131</v>
      </c>
      <c r="J364" s="7" t="s">
        <v>132</v>
      </c>
      <c r="K364" s="6" t="s">
        <v>26</v>
      </c>
      <c r="L364" s="7" t="s">
        <v>1750</v>
      </c>
      <c r="M364" s="7" t="s">
        <v>1752</v>
      </c>
      <c r="N364" s="9">
        <v>36321.0</v>
      </c>
    </row>
    <row r="365" ht="19.5" customHeight="1">
      <c r="A365" s="6" t="s">
        <v>1753</v>
      </c>
      <c r="B365" s="7" t="s">
        <v>6</v>
      </c>
      <c r="C365" s="7" t="s">
        <v>1754</v>
      </c>
      <c r="D365" s="7" t="s">
        <v>6</v>
      </c>
      <c r="E365" s="7" t="s">
        <v>45</v>
      </c>
      <c r="F365" s="6" t="s">
        <v>46</v>
      </c>
      <c r="G365" s="7" t="s">
        <v>1755</v>
      </c>
      <c r="H365" s="7" t="s">
        <v>48</v>
      </c>
      <c r="I365" s="6" t="s">
        <v>92</v>
      </c>
      <c r="J365" s="7" t="s">
        <v>93</v>
      </c>
      <c r="K365" s="6" t="s">
        <v>26</v>
      </c>
      <c r="L365" s="7" t="s">
        <v>1756</v>
      </c>
      <c r="M365" s="7" t="s">
        <v>1757</v>
      </c>
      <c r="N365" s="9">
        <v>35986.0</v>
      </c>
    </row>
    <row r="366" ht="19.5" customHeight="1">
      <c r="A366" s="6" t="s">
        <v>1758</v>
      </c>
      <c r="B366" s="7" t="s">
        <v>6</v>
      </c>
      <c r="C366" s="7" t="s">
        <v>1759</v>
      </c>
      <c r="D366" s="7" t="s">
        <v>6</v>
      </c>
      <c r="E366" s="7" t="s">
        <v>45</v>
      </c>
      <c r="F366" s="6" t="s">
        <v>46</v>
      </c>
      <c r="G366" s="7" t="s">
        <v>1760</v>
      </c>
      <c r="H366" s="7" t="s">
        <v>48</v>
      </c>
      <c r="I366" s="6" t="s">
        <v>24</v>
      </c>
      <c r="J366" s="7" t="s">
        <v>25</v>
      </c>
      <c r="K366" s="6" t="s">
        <v>26</v>
      </c>
      <c r="L366" s="7" t="s">
        <v>1761</v>
      </c>
      <c r="M366" s="7" t="s">
        <v>1762</v>
      </c>
      <c r="N366" s="9">
        <v>34079.0</v>
      </c>
    </row>
    <row r="367" ht="19.5" customHeight="1">
      <c r="A367" s="6" t="s">
        <v>1763</v>
      </c>
      <c r="B367" s="7" t="s">
        <v>6</v>
      </c>
      <c r="C367" s="7" t="s">
        <v>1764</v>
      </c>
      <c r="D367" s="7" t="s">
        <v>6</v>
      </c>
      <c r="E367" s="7" t="s">
        <v>45</v>
      </c>
      <c r="F367" s="6" t="s">
        <v>46</v>
      </c>
      <c r="G367" s="7" t="s">
        <v>1765</v>
      </c>
      <c r="H367" s="7" t="s">
        <v>48</v>
      </c>
      <c r="I367" s="6" t="s">
        <v>67</v>
      </c>
      <c r="J367" s="7" t="s">
        <v>68</v>
      </c>
      <c r="K367" s="6" t="s">
        <v>26</v>
      </c>
      <c r="L367" s="7" t="s">
        <v>1766</v>
      </c>
      <c r="M367" s="7" t="s">
        <v>1767</v>
      </c>
      <c r="N367" s="9">
        <v>37656.0</v>
      </c>
    </row>
    <row r="368" ht="19.5" customHeight="1">
      <c r="A368" s="6" t="s">
        <v>1768</v>
      </c>
      <c r="B368" s="7" t="s">
        <v>6</v>
      </c>
      <c r="C368" s="7" t="s">
        <v>1769</v>
      </c>
      <c r="D368" s="7" t="s">
        <v>6</v>
      </c>
      <c r="E368" s="7" t="s">
        <v>45</v>
      </c>
      <c r="F368" s="6" t="s">
        <v>46</v>
      </c>
      <c r="G368" s="7" t="s">
        <v>1770</v>
      </c>
      <c r="H368" s="7" t="s">
        <v>48</v>
      </c>
      <c r="I368" s="6" t="s">
        <v>124</v>
      </c>
      <c r="J368" s="7" t="s">
        <v>125</v>
      </c>
      <c r="K368" s="6" t="s">
        <v>81</v>
      </c>
      <c r="L368" s="7" t="s">
        <v>1771</v>
      </c>
      <c r="M368" s="7" t="s">
        <v>1772</v>
      </c>
      <c r="N368" s="9">
        <v>32796.0</v>
      </c>
    </row>
    <row r="369" ht="19.5" customHeight="1">
      <c r="A369" s="6" t="s">
        <v>1773</v>
      </c>
      <c r="B369" s="7" t="s">
        <v>6</v>
      </c>
      <c r="C369" s="7" t="s">
        <v>1774</v>
      </c>
      <c r="D369" s="7" t="s">
        <v>6</v>
      </c>
      <c r="E369" s="7" t="s">
        <v>45</v>
      </c>
      <c r="F369" s="6" t="s">
        <v>46</v>
      </c>
      <c r="G369" s="7" t="s">
        <v>1775</v>
      </c>
      <c r="H369" s="7" t="s">
        <v>48</v>
      </c>
      <c r="I369" s="6" t="s">
        <v>154</v>
      </c>
      <c r="J369" s="7" t="s">
        <v>434</v>
      </c>
      <c r="K369" s="6" t="s">
        <v>26</v>
      </c>
      <c r="L369" s="7" t="s">
        <v>1776</v>
      </c>
      <c r="M369" s="7" t="s">
        <v>1777</v>
      </c>
      <c r="N369" s="9">
        <v>31596.0</v>
      </c>
    </row>
    <row r="370" ht="19.5" customHeight="1">
      <c r="A370" s="6" t="s">
        <v>1778</v>
      </c>
      <c r="B370" s="7" t="s">
        <v>6</v>
      </c>
      <c r="C370" s="7" t="s">
        <v>1779</v>
      </c>
      <c r="D370" s="7" t="s">
        <v>6</v>
      </c>
      <c r="E370" s="7" t="s">
        <v>45</v>
      </c>
      <c r="F370" s="6" t="s">
        <v>46</v>
      </c>
      <c r="G370" s="7" t="s">
        <v>1693</v>
      </c>
      <c r="H370" s="7" t="s">
        <v>48</v>
      </c>
      <c r="I370" s="6" t="s">
        <v>154</v>
      </c>
      <c r="J370" s="7" t="s">
        <v>434</v>
      </c>
      <c r="K370" s="6" t="s">
        <v>81</v>
      </c>
      <c r="L370" s="7" t="s">
        <v>1780</v>
      </c>
      <c r="M370" s="7" t="s">
        <v>1781</v>
      </c>
      <c r="N370" s="9">
        <v>31388.0</v>
      </c>
    </row>
    <row r="371" ht="19.5" customHeight="1">
      <c r="A371" s="6" t="s">
        <v>1782</v>
      </c>
      <c r="B371" s="7" t="s">
        <v>6</v>
      </c>
      <c r="C371" s="7" t="s">
        <v>1783</v>
      </c>
      <c r="D371" s="7" t="s">
        <v>6</v>
      </c>
      <c r="E371" s="7" t="s">
        <v>45</v>
      </c>
      <c r="F371" s="6" t="s">
        <v>46</v>
      </c>
      <c r="G371" s="7" t="s">
        <v>47</v>
      </c>
      <c r="H371" s="7" t="s">
        <v>48</v>
      </c>
      <c r="I371" s="6" t="s">
        <v>193</v>
      </c>
      <c r="J371" s="7" t="s">
        <v>200</v>
      </c>
      <c r="K371" s="6" t="s">
        <v>26</v>
      </c>
      <c r="L371" s="7" t="s">
        <v>1784</v>
      </c>
      <c r="M371" s="7" t="s">
        <v>1785</v>
      </c>
      <c r="N371" s="9">
        <v>35213.0</v>
      </c>
    </row>
    <row r="372" ht="19.5" customHeight="1">
      <c r="A372" s="6" t="s">
        <v>1786</v>
      </c>
      <c r="B372" s="7" t="s">
        <v>6</v>
      </c>
      <c r="C372" s="7" t="s">
        <v>1787</v>
      </c>
      <c r="D372" s="7" t="s">
        <v>6</v>
      </c>
      <c r="E372" s="7" t="s">
        <v>45</v>
      </c>
      <c r="F372" s="6" t="s">
        <v>46</v>
      </c>
      <c r="G372" s="7" t="s">
        <v>47</v>
      </c>
      <c r="H372" s="7" t="s">
        <v>48</v>
      </c>
      <c r="I372" s="6" t="s">
        <v>176</v>
      </c>
      <c r="J372" s="7" t="s">
        <v>428</v>
      </c>
      <c r="K372" s="6" t="s">
        <v>26</v>
      </c>
      <c r="L372" s="7" t="s">
        <v>1788</v>
      </c>
      <c r="M372" s="7" t="s">
        <v>1789</v>
      </c>
      <c r="N372" s="9">
        <v>33665.0</v>
      </c>
    </row>
    <row r="373" ht="19.5" customHeight="1">
      <c r="A373" s="6" t="s">
        <v>1790</v>
      </c>
      <c r="B373" s="7" t="s">
        <v>6</v>
      </c>
      <c r="C373" s="7" t="s">
        <v>1791</v>
      </c>
      <c r="D373" s="7" t="s">
        <v>6</v>
      </c>
      <c r="E373" s="7" t="s">
        <v>45</v>
      </c>
      <c r="F373" s="6" t="s">
        <v>46</v>
      </c>
      <c r="G373" s="7" t="s">
        <v>47</v>
      </c>
      <c r="H373" s="7" t="s">
        <v>48</v>
      </c>
      <c r="I373" s="6" t="s">
        <v>112</v>
      </c>
      <c r="J373" s="7" t="s">
        <v>113</v>
      </c>
      <c r="K373" s="6" t="s">
        <v>26</v>
      </c>
      <c r="L373" s="7" t="s">
        <v>1792</v>
      </c>
      <c r="M373" s="7" t="s">
        <v>6</v>
      </c>
      <c r="N373" s="9">
        <v>32629.0</v>
      </c>
    </row>
    <row r="374" ht="19.5" customHeight="1">
      <c r="A374" s="6" t="s">
        <v>1793</v>
      </c>
      <c r="B374" s="7" t="s">
        <v>6</v>
      </c>
      <c r="C374" s="7" t="s">
        <v>1794</v>
      </c>
      <c r="D374" s="7" t="s">
        <v>6</v>
      </c>
      <c r="E374" s="7" t="s">
        <v>45</v>
      </c>
      <c r="F374" s="6" t="s">
        <v>46</v>
      </c>
      <c r="G374" s="7" t="s">
        <v>1311</v>
      </c>
      <c r="H374" s="7" t="s">
        <v>48</v>
      </c>
      <c r="I374" s="6" t="s">
        <v>154</v>
      </c>
      <c r="J374" s="7" t="s">
        <v>434</v>
      </c>
      <c r="K374" s="6" t="s">
        <v>26</v>
      </c>
      <c r="L374" s="7" t="s">
        <v>1795</v>
      </c>
      <c r="M374" s="7" t="s">
        <v>1796</v>
      </c>
      <c r="N374" s="9">
        <v>31557.0</v>
      </c>
    </row>
    <row r="375" ht="19.5" customHeight="1">
      <c r="A375" s="6" t="s">
        <v>1797</v>
      </c>
      <c r="B375" s="7" t="s">
        <v>6</v>
      </c>
      <c r="C375" s="7" t="s">
        <v>1798</v>
      </c>
      <c r="D375" s="7" t="s">
        <v>6</v>
      </c>
      <c r="E375" s="7" t="s">
        <v>45</v>
      </c>
      <c r="F375" s="6" t="s">
        <v>46</v>
      </c>
      <c r="G375" s="7" t="s">
        <v>47</v>
      </c>
      <c r="H375" s="7" t="s">
        <v>48</v>
      </c>
      <c r="I375" s="6" t="s">
        <v>193</v>
      </c>
      <c r="J375" s="7" t="s">
        <v>200</v>
      </c>
      <c r="K375" s="6" t="s">
        <v>81</v>
      </c>
      <c r="L375" s="7" t="s">
        <v>1799</v>
      </c>
      <c r="M375" s="7" t="s">
        <v>6</v>
      </c>
      <c r="N375" s="9">
        <v>35012.0</v>
      </c>
    </row>
    <row r="376" ht="19.5" customHeight="1">
      <c r="A376" s="6" t="s">
        <v>1800</v>
      </c>
      <c r="B376" s="7" t="s">
        <v>6</v>
      </c>
      <c r="C376" s="7" t="s">
        <v>1801</v>
      </c>
      <c r="D376" s="7" t="s">
        <v>6</v>
      </c>
      <c r="E376" s="7" t="s">
        <v>45</v>
      </c>
      <c r="F376" s="6" t="s">
        <v>46</v>
      </c>
      <c r="G376" s="7" t="s">
        <v>47</v>
      </c>
      <c r="H376" s="7" t="s">
        <v>48</v>
      </c>
      <c r="I376" s="6" t="s">
        <v>39</v>
      </c>
      <c r="J376" s="7" t="s">
        <v>40</v>
      </c>
      <c r="K376" s="6" t="s">
        <v>26</v>
      </c>
      <c r="L376" s="7" t="s">
        <v>1802</v>
      </c>
      <c r="M376" s="7" t="s">
        <v>6</v>
      </c>
      <c r="N376" s="9">
        <v>29989.0</v>
      </c>
    </row>
    <row r="377" ht="19.5" customHeight="1">
      <c r="A377" s="6" t="s">
        <v>1803</v>
      </c>
      <c r="B377" s="7" t="s">
        <v>6</v>
      </c>
      <c r="C377" s="7" t="s">
        <v>1804</v>
      </c>
      <c r="D377" s="7" t="s">
        <v>6</v>
      </c>
      <c r="E377" s="7" t="s">
        <v>45</v>
      </c>
      <c r="F377" s="6" t="s">
        <v>46</v>
      </c>
      <c r="G377" s="7" t="s">
        <v>1805</v>
      </c>
      <c r="H377" s="7" t="s">
        <v>48</v>
      </c>
      <c r="I377" s="6" t="s">
        <v>166</v>
      </c>
      <c r="J377" s="7" t="s">
        <v>167</v>
      </c>
      <c r="K377" s="6" t="s">
        <v>26</v>
      </c>
      <c r="L377" s="7" t="s">
        <v>1806</v>
      </c>
      <c r="M377" s="7" t="s">
        <v>1807</v>
      </c>
      <c r="N377" s="9">
        <v>36578.0</v>
      </c>
    </row>
    <row r="378" ht="19.5" customHeight="1">
      <c r="A378" s="6" t="s">
        <v>1808</v>
      </c>
      <c r="B378" s="7" t="s">
        <v>6</v>
      </c>
      <c r="C378" s="7" t="s">
        <v>1809</v>
      </c>
      <c r="D378" s="7" t="s">
        <v>6</v>
      </c>
      <c r="E378" s="7" t="s">
        <v>45</v>
      </c>
      <c r="F378" s="6" t="s">
        <v>46</v>
      </c>
      <c r="G378" s="7" t="s">
        <v>47</v>
      </c>
      <c r="H378" s="7" t="s">
        <v>48</v>
      </c>
      <c r="I378" s="6" t="s">
        <v>49</v>
      </c>
      <c r="J378" s="7" t="s">
        <v>50</v>
      </c>
      <c r="K378" s="6" t="s">
        <v>26</v>
      </c>
      <c r="L378" s="7" t="s">
        <v>1810</v>
      </c>
      <c r="M378" s="7" t="s">
        <v>1811</v>
      </c>
      <c r="N378" s="9">
        <v>37048.0</v>
      </c>
    </row>
    <row r="379" ht="19.5" customHeight="1">
      <c r="A379" s="6" t="s">
        <v>1812</v>
      </c>
      <c r="B379" s="7" t="s">
        <v>6</v>
      </c>
      <c r="C379" s="7" t="s">
        <v>1813</v>
      </c>
      <c r="D379" s="7" t="s">
        <v>6</v>
      </c>
      <c r="E379" s="7" t="s">
        <v>45</v>
      </c>
      <c r="F379" s="6" t="s">
        <v>46</v>
      </c>
      <c r="G379" s="7" t="s">
        <v>1814</v>
      </c>
      <c r="H379" s="7" t="s">
        <v>48</v>
      </c>
      <c r="I379" s="6" t="s">
        <v>176</v>
      </c>
      <c r="J379" s="7" t="s">
        <v>428</v>
      </c>
      <c r="K379" s="6" t="s">
        <v>81</v>
      </c>
      <c r="L379" s="7" t="s">
        <v>1815</v>
      </c>
      <c r="M379" s="7" t="s">
        <v>1816</v>
      </c>
      <c r="N379" s="9">
        <v>33551.0</v>
      </c>
    </row>
    <row r="380" ht="19.5" customHeight="1">
      <c r="A380" s="6" t="s">
        <v>1817</v>
      </c>
      <c r="B380" s="7" t="s">
        <v>6</v>
      </c>
      <c r="C380" s="7" t="s">
        <v>1818</v>
      </c>
      <c r="D380" s="7" t="s">
        <v>6</v>
      </c>
      <c r="E380" s="7" t="s">
        <v>45</v>
      </c>
      <c r="F380" s="6" t="s">
        <v>46</v>
      </c>
      <c r="G380" s="7" t="s">
        <v>1073</v>
      </c>
      <c r="H380" s="7" t="s">
        <v>48</v>
      </c>
      <c r="I380" s="6" t="s">
        <v>193</v>
      </c>
      <c r="J380" s="7" t="s">
        <v>200</v>
      </c>
      <c r="K380" s="6" t="s">
        <v>26</v>
      </c>
      <c r="L380" s="7" t="s">
        <v>1819</v>
      </c>
      <c r="M380" s="7" t="s">
        <v>1820</v>
      </c>
      <c r="N380" s="9">
        <v>35150.0</v>
      </c>
    </row>
    <row r="381" ht="19.5" customHeight="1">
      <c r="A381" s="6" t="s">
        <v>1821</v>
      </c>
      <c r="B381" s="7" t="s">
        <v>6</v>
      </c>
      <c r="C381" s="7" t="s">
        <v>1822</v>
      </c>
      <c r="D381" s="7" t="s">
        <v>6</v>
      </c>
      <c r="E381" s="7" t="s">
        <v>45</v>
      </c>
      <c r="F381" s="6" t="s">
        <v>46</v>
      </c>
      <c r="G381" s="7" t="s">
        <v>1823</v>
      </c>
      <c r="H381" s="7" t="s">
        <v>48</v>
      </c>
      <c r="I381" s="6" t="s">
        <v>184</v>
      </c>
      <c r="J381" s="7" t="s">
        <v>439</v>
      </c>
      <c r="K381" s="6" t="s">
        <v>26</v>
      </c>
      <c r="L381" s="7" t="s">
        <v>1824</v>
      </c>
      <c r="M381" s="7" t="s">
        <v>1825</v>
      </c>
      <c r="N381" s="9">
        <v>34423.0</v>
      </c>
    </row>
    <row r="382" ht="19.5" customHeight="1">
      <c r="A382" s="6" t="s">
        <v>1826</v>
      </c>
      <c r="B382" s="7" t="s">
        <v>6</v>
      </c>
      <c r="C382" s="7" t="s">
        <v>1827</v>
      </c>
      <c r="D382" s="7" t="s">
        <v>6</v>
      </c>
      <c r="E382" s="7" t="s">
        <v>45</v>
      </c>
      <c r="F382" s="6" t="s">
        <v>46</v>
      </c>
      <c r="G382" s="7" t="s">
        <v>1828</v>
      </c>
      <c r="H382" s="7" t="s">
        <v>48</v>
      </c>
      <c r="I382" s="6" t="s">
        <v>148</v>
      </c>
      <c r="J382" s="7" t="s">
        <v>182</v>
      </c>
      <c r="K382" s="6" t="s">
        <v>26</v>
      </c>
      <c r="L382" s="7" t="s">
        <v>1829</v>
      </c>
      <c r="M382" s="7" t="s">
        <v>1830</v>
      </c>
      <c r="N382" s="9">
        <v>31102.0</v>
      </c>
    </row>
    <row r="383" ht="19.5" customHeight="1">
      <c r="A383" s="6" t="s">
        <v>1831</v>
      </c>
      <c r="B383" s="7" t="s">
        <v>6</v>
      </c>
      <c r="C383" s="7" t="s">
        <v>1832</v>
      </c>
      <c r="D383" s="7" t="s">
        <v>6</v>
      </c>
      <c r="E383" s="7" t="s">
        <v>45</v>
      </c>
      <c r="F383" s="6" t="s">
        <v>46</v>
      </c>
      <c r="G383" s="7" t="s">
        <v>1833</v>
      </c>
      <c r="H383" s="7" t="s">
        <v>48</v>
      </c>
      <c r="I383" s="6" t="s">
        <v>198</v>
      </c>
      <c r="J383" s="7" t="s">
        <v>337</v>
      </c>
      <c r="K383" s="6" t="s">
        <v>26</v>
      </c>
      <c r="L383" s="7" t="s">
        <v>1834</v>
      </c>
      <c r="M383" s="7" t="s">
        <v>1835</v>
      </c>
      <c r="N383" s="9">
        <v>35498.0</v>
      </c>
    </row>
    <row r="384" ht="19.5" customHeight="1">
      <c r="A384" s="6" t="s">
        <v>1836</v>
      </c>
      <c r="B384" s="7" t="s">
        <v>6</v>
      </c>
      <c r="C384" s="7" t="s">
        <v>1837</v>
      </c>
      <c r="D384" s="7" t="s">
        <v>6</v>
      </c>
      <c r="E384" s="7" t="s">
        <v>45</v>
      </c>
      <c r="F384" s="6" t="s">
        <v>46</v>
      </c>
      <c r="G384" s="7" t="s">
        <v>47</v>
      </c>
      <c r="H384" s="7" t="s">
        <v>48</v>
      </c>
      <c r="I384" s="6" t="s">
        <v>198</v>
      </c>
      <c r="J384" s="7" t="s">
        <v>337</v>
      </c>
      <c r="K384" s="6" t="s">
        <v>26</v>
      </c>
      <c r="L384" s="7" t="s">
        <v>1838</v>
      </c>
      <c r="M384" s="7" t="s">
        <v>6</v>
      </c>
      <c r="N384" s="9">
        <v>35682.0</v>
      </c>
    </row>
    <row r="385" ht="19.5" customHeight="1">
      <c r="A385" s="6" t="s">
        <v>1839</v>
      </c>
      <c r="B385" s="7" t="s">
        <v>6</v>
      </c>
      <c r="C385" s="7" t="s">
        <v>1840</v>
      </c>
      <c r="D385" s="7" t="s">
        <v>6</v>
      </c>
      <c r="E385" s="7" t="s">
        <v>45</v>
      </c>
      <c r="F385" s="6" t="s">
        <v>46</v>
      </c>
      <c r="G385" s="7" t="s">
        <v>1841</v>
      </c>
      <c r="H385" s="7" t="s">
        <v>48</v>
      </c>
      <c r="I385" s="6" t="s">
        <v>159</v>
      </c>
      <c r="J385" s="7" t="s">
        <v>1027</v>
      </c>
      <c r="K385" s="6" t="s">
        <v>26</v>
      </c>
      <c r="L385" s="7" t="s">
        <v>1842</v>
      </c>
      <c r="M385" s="7" t="s">
        <v>1843</v>
      </c>
      <c r="N385" s="9">
        <v>31830.0</v>
      </c>
    </row>
    <row r="386" ht="19.5" customHeight="1">
      <c r="A386" s="6" t="s">
        <v>1844</v>
      </c>
      <c r="B386" s="7" t="s">
        <v>6</v>
      </c>
      <c r="C386" s="7" t="s">
        <v>1845</v>
      </c>
      <c r="D386" s="7" t="s">
        <v>6</v>
      </c>
      <c r="E386" s="7" t="s">
        <v>45</v>
      </c>
      <c r="F386" s="6" t="s">
        <v>46</v>
      </c>
      <c r="G386" s="7" t="s">
        <v>47</v>
      </c>
      <c r="H386" s="7" t="s">
        <v>48</v>
      </c>
      <c r="I386" s="6" t="s">
        <v>176</v>
      </c>
      <c r="J386" s="7" t="s">
        <v>428</v>
      </c>
      <c r="K386" s="6" t="s">
        <v>26</v>
      </c>
      <c r="L386" s="7" t="s">
        <v>1846</v>
      </c>
      <c r="M386" s="7" t="s">
        <v>1847</v>
      </c>
      <c r="N386" s="9">
        <v>33795.0</v>
      </c>
    </row>
    <row r="387" ht="19.5" customHeight="1">
      <c r="A387" s="6" t="s">
        <v>1848</v>
      </c>
      <c r="B387" s="7" t="s">
        <v>6</v>
      </c>
      <c r="C387" s="7" t="s">
        <v>1849</v>
      </c>
      <c r="D387" s="7" t="s">
        <v>6</v>
      </c>
      <c r="E387" s="7" t="s">
        <v>45</v>
      </c>
      <c r="F387" s="6" t="s">
        <v>46</v>
      </c>
      <c r="G387" s="7" t="s">
        <v>47</v>
      </c>
      <c r="H387" s="7" t="s">
        <v>48</v>
      </c>
      <c r="I387" s="6" t="s">
        <v>121</v>
      </c>
      <c r="J387" s="7" t="s">
        <v>471</v>
      </c>
      <c r="K387" s="6" t="s">
        <v>26</v>
      </c>
      <c r="L387" s="7" t="s">
        <v>1850</v>
      </c>
      <c r="M387" s="7" t="s">
        <v>1851</v>
      </c>
      <c r="N387" s="9">
        <v>28860.0</v>
      </c>
    </row>
    <row r="388" ht="19.5" customHeight="1">
      <c r="A388" s="6" t="s">
        <v>1852</v>
      </c>
      <c r="B388" s="7" t="s">
        <v>6</v>
      </c>
      <c r="C388" s="7" t="s">
        <v>1853</v>
      </c>
      <c r="D388" s="7" t="s">
        <v>6</v>
      </c>
      <c r="E388" s="7" t="s">
        <v>45</v>
      </c>
      <c r="F388" s="6" t="s">
        <v>46</v>
      </c>
      <c r="G388" s="7" t="s">
        <v>1073</v>
      </c>
      <c r="H388" s="7" t="s">
        <v>48</v>
      </c>
      <c r="I388" s="6" t="s">
        <v>189</v>
      </c>
      <c r="J388" s="7" t="s">
        <v>210</v>
      </c>
      <c r="K388" s="6" t="s">
        <v>26</v>
      </c>
      <c r="L388" s="7" t="s">
        <v>1854</v>
      </c>
      <c r="M388" s="7" t="s">
        <v>1324</v>
      </c>
      <c r="N388" s="9">
        <v>34811.0</v>
      </c>
    </row>
    <row r="389" ht="19.5" customHeight="1">
      <c r="A389" s="6" t="s">
        <v>1855</v>
      </c>
      <c r="B389" s="7" t="s">
        <v>6</v>
      </c>
      <c r="C389" s="7" t="s">
        <v>1856</v>
      </c>
      <c r="D389" s="7" t="s">
        <v>6</v>
      </c>
      <c r="E389" s="7" t="s">
        <v>45</v>
      </c>
      <c r="F389" s="6" t="s">
        <v>46</v>
      </c>
      <c r="G389" s="7" t="s">
        <v>1857</v>
      </c>
      <c r="H389" s="7" t="s">
        <v>48</v>
      </c>
      <c r="I389" s="6" t="s">
        <v>166</v>
      </c>
      <c r="J389" s="7" t="s">
        <v>167</v>
      </c>
      <c r="K389" s="6" t="s">
        <v>26</v>
      </c>
      <c r="L389" s="7" t="s">
        <v>1858</v>
      </c>
      <c r="M389" s="7" t="s">
        <v>1859</v>
      </c>
      <c r="N389" s="9">
        <v>36609.0</v>
      </c>
    </row>
    <row r="390" ht="19.5" customHeight="1">
      <c r="A390" s="6" t="s">
        <v>1860</v>
      </c>
      <c r="B390" s="7" t="s">
        <v>6</v>
      </c>
      <c r="C390" s="7" t="s">
        <v>1861</v>
      </c>
      <c r="D390" s="7" t="s">
        <v>6</v>
      </c>
      <c r="E390" s="7" t="s">
        <v>45</v>
      </c>
      <c r="F390" s="6" t="s">
        <v>46</v>
      </c>
      <c r="G390" s="7" t="s">
        <v>1862</v>
      </c>
      <c r="H390" s="7" t="s">
        <v>23</v>
      </c>
      <c r="I390" s="6" t="s">
        <v>49</v>
      </c>
      <c r="J390" s="7" t="s">
        <v>50</v>
      </c>
      <c r="K390" s="6" t="s">
        <v>26</v>
      </c>
      <c r="L390" s="7" t="s">
        <v>1863</v>
      </c>
      <c r="M390" s="7" t="s">
        <v>1864</v>
      </c>
      <c r="N390" s="9">
        <v>37094.0</v>
      </c>
    </row>
    <row r="391" ht="19.5" customHeight="1">
      <c r="A391" s="6" t="s">
        <v>1865</v>
      </c>
      <c r="B391" s="7" t="s">
        <v>6</v>
      </c>
      <c r="C391" s="7" t="s">
        <v>1866</v>
      </c>
      <c r="D391" s="7" t="s">
        <v>6</v>
      </c>
      <c r="E391" s="7" t="s">
        <v>45</v>
      </c>
      <c r="F391" s="6" t="s">
        <v>46</v>
      </c>
      <c r="G391" s="7" t="s">
        <v>1867</v>
      </c>
      <c r="H391" s="7" t="s">
        <v>48</v>
      </c>
      <c r="I391" s="6" t="s">
        <v>145</v>
      </c>
      <c r="J391" s="7" t="s">
        <v>146</v>
      </c>
      <c r="K391" s="6" t="s">
        <v>26</v>
      </c>
      <c r="L391" s="7" t="s">
        <v>1868</v>
      </c>
      <c r="M391" s="7" t="s">
        <v>1869</v>
      </c>
      <c r="N391" s="9">
        <v>37306.0</v>
      </c>
    </row>
    <row r="392" ht="19.5" customHeight="1">
      <c r="A392" s="6" t="s">
        <v>1870</v>
      </c>
      <c r="B392" s="7" t="s">
        <v>6</v>
      </c>
      <c r="C392" s="7" t="s">
        <v>1871</v>
      </c>
      <c r="D392" s="7" t="s">
        <v>6</v>
      </c>
      <c r="E392" s="7" t="s">
        <v>45</v>
      </c>
      <c r="F392" s="6" t="s">
        <v>46</v>
      </c>
      <c r="G392" s="7" t="s">
        <v>1872</v>
      </c>
      <c r="H392" s="7" t="s">
        <v>48</v>
      </c>
      <c r="I392" s="6" t="s">
        <v>49</v>
      </c>
      <c r="J392" s="7" t="s">
        <v>50</v>
      </c>
      <c r="K392" s="6" t="s">
        <v>26</v>
      </c>
      <c r="L392" s="7" t="s">
        <v>1873</v>
      </c>
      <c r="M392" s="7" t="s">
        <v>1874</v>
      </c>
      <c r="N392" s="9">
        <v>37134.0</v>
      </c>
    </row>
    <row r="393" ht="19.5" customHeight="1">
      <c r="A393" s="6" t="s">
        <v>1875</v>
      </c>
      <c r="B393" s="7" t="s">
        <v>6</v>
      </c>
      <c r="C393" s="7" t="s">
        <v>1876</v>
      </c>
      <c r="D393" s="7" t="s">
        <v>6</v>
      </c>
      <c r="E393" s="7" t="s">
        <v>45</v>
      </c>
      <c r="F393" s="6" t="s">
        <v>46</v>
      </c>
      <c r="G393" s="7" t="s">
        <v>502</v>
      </c>
      <c r="H393" s="7" t="s">
        <v>48</v>
      </c>
      <c r="I393" s="6" t="s">
        <v>166</v>
      </c>
      <c r="J393" s="7" t="s">
        <v>167</v>
      </c>
      <c r="K393" s="6" t="s">
        <v>26</v>
      </c>
      <c r="L393" s="7" t="s">
        <v>1877</v>
      </c>
      <c r="M393" s="7" t="s">
        <v>1878</v>
      </c>
      <c r="N393" s="9">
        <v>36651.0</v>
      </c>
    </row>
    <row r="394" ht="19.5" customHeight="1">
      <c r="A394" s="6" t="s">
        <v>1879</v>
      </c>
      <c r="B394" s="7" t="s">
        <v>6</v>
      </c>
      <c r="C394" s="7" t="s">
        <v>1880</v>
      </c>
      <c r="D394" s="7" t="s">
        <v>6</v>
      </c>
      <c r="E394" s="7" t="s">
        <v>45</v>
      </c>
      <c r="F394" s="6" t="s">
        <v>46</v>
      </c>
      <c r="G394" s="7" t="s">
        <v>47</v>
      </c>
      <c r="H394" s="7" t="s">
        <v>48</v>
      </c>
      <c r="I394" s="6" t="s">
        <v>124</v>
      </c>
      <c r="J394" s="7" t="s">
        <v>125</v>
      </c>
      <c r="K394" s="6" t="s">
        <v>26</v>
      </c>
      <c r="L394" s="7" t="s">
        <v>1881</v>
      </c>
      <c r="M394" s="7" t="s">
        <v>6</v>
      </c>
      <c r="N394" s="9">
        <v>33060.0</v>
      </c>
    </row>
    <row r="395" ht="19.5" customHeight="1">
      <c r="A395" s="6" t="s">
        <v>1882</v>
      </c>
      <c r="B395" s="7" t="s">
        <v>6</v>
      </c>
      <c r="C395" s="7" t="s">
        <v>1883</v>
      </c>
      <c r="D395" s="7" t="s">
        <v>6</v>
      </c>
      <c r="E395" s="7" t="s">
        <v>45</v>
      </c>
      <c r="F395" s="6" t="s">
        <v>46</v>
      </c>
      <c r="G395" s="7" t="s">
        <v>47</v>
      </c>
      <c r="H395" s="7" t="s">
        <v>48</v>
      </c>
      <c r="I395" s="6" t="s">
        <v>159</v>
      </c>
      <c r="J395" s="7" t="s">
        <v>1027</v>
      </c>
      <c r="K395" s="6" t="s">
        <v>26</v>
      </c>
      <c r="L395" s="7" t="s">
        <v>1884</v>
      </c>
      <c r="M395" s="7" t="s">
        <v>6</v>
      </c>
      <c r="N395" s="9">
        <v>31989.0</v>
      </c>
    </row>
    <row r="396" ht="19.5" customHeight="1">
      <c r="A396" s="6" t="s">
        <v>1885</v>
      </c>
      <c r="B396" s="7" t="s">
        <v>6</v>
      </c>
      <c r="C396" s="7" t="s">
        <v>1886</v>
      </c>
      <c r="D396" s="7" t="s">
        <v>6</v>
      </c>
      <c r="E396" s="7" t="s">
        <v>45</v>
      </c>
      <c r="F396" s="6" t="s">
        <v>46</v>
      </c>
      <c r="G396" s="7" t="s">
        <v>264</v>
      </c>
      <c r="H396" s="7" t="s">
        <v>48</v>
      </c>
      <c r="I396" s="6" t="s">
        <v>1255</v>
      </c>
      <c r="J396" s="7" t="s">
        <v>1256</v>
      </c>
      <c r="K396" s="6" t="s">
        <v>26</v>
      </c>
      <c r="L396" s="7" t="s">
        <v>1887</v>
      </c>
      <c r="M396" s="7" t="s">
        <v>1888</v>
      </c>
      <c r="N396" s="9">
        <v>32358.0</v>
      </c>
    </row>
    <row r="397" ht="19.5" customHeight="1">
      <c r="A397" s="6" t="s">
        <v>1889</v>
      </c>
      <c r="B397" s="7" t="s">
        <v>6</v>
      </c>
      <c r="C397" s="7" t="s">
        <v>1890</v>
      </c>
      <c r="D397" s="7" t="s">
        <v>6</v>
      </c>
      <c r="E397" s="7" t="s">
        <v>45</v>
      </c>
      <c r="F397" s="6" t="s">
        <v>46</v>
      </c>
      <c r="G397" s="7" t="s">
        <v>47</v>
      </c>
      <c r="H397" s="7" t="s">
        <v>48</v>
      </c>
      <c r="I397" s="6" t="s">
        <v>24</v>
      </c>
      <c r="J397" s="7" t="s">
        <v>25</v>
      </c>
      <c r="K397" s="6" t="s">
        <v>81</v>
      </c>
      <c r="L397" s="7" t="s">
        <v>1891</v>
      </c>
      <c r="M397" s="7" t="s">
        <v>6</v>
      </c>
      <c r="N397" s="9">
        <v>33953.0</v>
      </c>
    </row>
    <row r="398" ht="19.5" customHeight="1">
      <c r="A398" s="6" t="s">
        <v>1892</v>
      </c>
      <c r="B398" s="7" t="s">
        <v>6</v>
      </c>
      <c r="C398" s="7" t="s">
        <v>1893</v>
      </c>
      <c r="D398" s="7" t="s">
        <v>6</v>
      </c>
      <c r="E398" s="7" t="s">
        <v>45</v>
      </c>
      <c r="F398" s="6" t="s">
        <v>46</v>
      </c>
      <c r="G398" s="7" t="s">
        <v>47</v>
      </c>
      <c r="H398" s="7" t="s">
        <v>48</v>
      </c>
      <c r="I398" s="6" t="s">
        <v>135</v>
      </c>
      <c r="J398" s="7" t="s">
        <v>489</v>
      </c>
      <c r="K398" s="6" t="s">
        <v>26</v>
      </c>
      <c r="L398" s="7" t="s">
        <v>1894</v>
      </c>
      <c r="M398" s="7" t="s">
        <v>1895</v>
      </c>
      <c r="N398" s="9">
        <v>29685.0</v>
      </c>
    </row>
    <row r="399" ht="19.5" customHeight="1">
      <c r="A399" s="6" t="s">
        <v>1896</v>
      </c>
      <c r="B399" s="7" t="s">
        <v>6</v>
      </c>
      <c r="C399" s="7" t="s">
        <v>1897</v>
      </c>
      <c r="D399" s="7" t="s">
        <v>6</v>
      </c>
      <c r="E399" s="7" t="s">
        <v>45</v>
      </c>
      <c r="F399" s="6" t="s">
        <v>46</v>
      </c>
      <c r="G399" s="7" t="s">
        <v>47</v>
      </c>
      <c r="H399" s="7" t="s">
        <v>48</v>
      </c>
      <c r="I399" s="6" t="s">
        <v>109</v>
      </c>
      <c r="J399" s="7" t="s">
        <v>1680</v>
      </c>
      <c r="K399" s="6" t="s">
        <v>26</v>
      </c>
      <c r="L399" s="7" t="s">
        <v>1898</v>
      </c>
      <c r="M399" s="7" t="s">
        <v>1899</v>
      </c>
      <c r="N399" s="9">
        <v>28378.0</v>
      </c>
    </row>
    <row r="400" ht="19.5" customHeight="1">
      <c r="A400" s="6" t="s">
        <v>1900</v>
      </c>
      <c r="B400" s="7" t="s">
        <v>6</v>
      </c>
      <c r="C400" s="7" t="s">
        <v>1901</v>
      </c>
      <c r="D400" s="7" t="s">
        <v>6</v>
      </c>
      <c r="E400" s="7" t="s">
        <v>45</v>
      </c>
      <c r="F400" s="6" t="s">
        <v>46</v>
      </c>
      <c r="G400" s="7" t="s">
        <v>47</v>
      </c>
      <c r="H400" s="7" t="s">
        <v>23</v>
      </c>
      <c r="I400" s="6" t="s">
        <v>1255</v>
      </c>
      <c r="J400" s="7" t="s">
        <v>1256</v>
      </c>
      <c r="K400" s="6" t="s">
        <v>26</v>
      </c>
      <c r="L400" s="7" t="s">
        <v>1902</v>
      </c>
      <c r="M400" s="7" t="s">
        <v>6</v>
      </c>
      <c r="N400" s="9">
        <v>32286.0</v>
      </c>
    </row>
    <row r="401" ht="19.5" customHeight="1">
      <c r="A401" s="6" t="s">
        <v>1903</v>
      </c>
      <c r="B401" s="7" t="s">
        <v>6</v>
      </c>
      <c r="C401" s="7" t="s">
        <v>1904</v>
      </c>
      <c r="D401" s="7" t="s">
        <v>6</v>
      </c>
      <c r="E401" s="7" t="s">
        <v>45</v>
      </c>
      <c r="F401" s="6" t="s">
        <v>46</v>
      </c>
      <c r="G401" s="7" t="s">
        <v>1905</v>
      </c>
      <c r="H401" s="7" t="s">
        <v>48</v>
      </c>
      <c r="I401" s="6" t="s">
        <v>193</v>
      </c>
      <c r="J401" s="7" t="s">
        <v>200</v>
      </c>
      <c r="K401" s="6" t="s">
        <v>26</v>
      </c>
      <c r="L401" s="7" t="s">
        <v>1906</v>
      </c>
      <c r="M401" s="7" t="s">
        <v>1907</v>
      </c>
      <c r="N401" s="9">
        <v>35076.0</v>
      </c>
    </row>
    <row r="402" ht="19.5" customHeight="1">
      <c r="A402" s="6" t="s">
        <v>1908</v>
      </c>
      <c r="B402" s="7" t="s">
        <v>6</v>
      </c>
      <c r="C402" s="7" t="s">
        <v>1909</v>
      </c>
      <c r="D402" s="7" t="s">
        <v>6</v>
      </c>
      <c r="E402" s="7" t="s">
        <v>45</v>
      </c>
      <c r="F402" s="6" t="s">
        <v>46</v>
      </c>
      <c r="G402" s="7" t="s">
        <v>1910</v>
      </c>
      <c r="H402" s="7" t="s">
        <v>48</v>
      </c>
      <c r="I402" s="6" t="s">
        <v>49</v>
      </c>
      <c r="J402" s="7" t="s">
        <v>50</v>
      </c>
      <c r="K402" s="6" t="s">
        <v>26</v>
      </c>
      <c r="L402" s="7" t="s">
        <v>1911</v>
      </c>
      <c r="M402" s="7" t="s">
        <v>1912</v>
      </c>
      <c r="N402" s="9">
        <v>37010.0</v>
      </c>
    </row>
    <row r="403" ht="19.5" customHeight="1">
      <c r="A403" s="6" t="s">
        <v>1913</v>
      </c>
      <c r="B403" s="7" t="s">
        <v>6</v>
      </c>
      <c r="C403" s="7" t="s">
        <v>1914</v>
      </c>
      <c r="D403" s="7" t="s">
        <v>6</v>
      </c>
      <c r="E403" s="7" t="s">
        <v>45</v>
      </c>
      <c r="F403" s="6" t="s">
        <v>46</v>
      </c>
      <c r="G403" s="7" t="s">
        <v>47</v>
      </c>
      <c r="H403" s="7" t="s">
        <v>48</v>
      </c>
      <c r="I403" s="6" t="s">
        <v>176</v>
      </c>
      <c r="J403" s="7" t="s">
        <v>428</v>
      </c>
      <c r="K403" s="6" t="s">
        <v>26</v>
      </c>
      <c r="L403" s="7" t="s">
        <v>1915</v>
      </c>
      <c r="M403" s="7" t="s">
        <v>1916</v>
      </c>
      <c r="N403" s="9">
        <v>33681.0</v>
      </c>
    </row>
    <row r="404" ht="19.5" customHeight="1">
      <c r="A404" s="6" t="s">
        <v>1917</v>
      </c>
      <c r="B404" s="7" t="s">
        <v>6</v>
      </c>
      <c r="C404" s="7" t="s">
        <v>1918</v>
      </c>
      <c r="D404" s="7" t="s">
        <v>6</v>
      </c>
      <c r="E404" s="7" t="s">
        <v>45</v>
      </c>
      <c r="F404" s="6" t="s">
        <v>46</v>
      </c>
      <c r="G404" s="7" t="s">
        <v>47</v>
      </c>
      <c r="H404" s="7" t="s">
        <v>48</v>
      </c>
      <c r="I404" s="6" t="s">
        <v>143</v>
      </c>
      <c r="J404" s="7" t="s">
        <v>1639</v>
      </c>
      <c r="K404" s="6" t="s">
        <v>81</v>
      </c>
      <c r="L404" s="7" t="s">
        <v>1919</v>
      </c>
      <c r="M404" s="7" t="s">
        <v>1920</v>
      </c>
      <c r="N404" s="9">
        <v>30593.0</v>
      </c>
    </row>
    <row r="405" ht="19.5" customHeight="1">
      <c r="A405" s="6" t="s">
        <v>1921</v>
      </c>
      <c r="B405" s="7" t="s">
        <v>6</v>
      </c>
      <c r="C405" s="7" t="s">
        <v>1922</v>
      </c>
      <c r="D405" s="7" t="s">
        <v>6</v>
      </c>
      <c r="E405" s="7" t="s">
        <v>45</v>
      </c>
      <c r="F405" s="6" t="s">
        <v>46</v>
      </c>
      <c r="G405" s="7" t="s">
        <v>47</v>
      </c>
      <c r="H405" s="7" t="s">
        <v>48</v>
      </c>
      <c r="I405" s="6" t="s">
        <v>198</v>
      </c>
      <c r="J405" s="7" t="s">
        <v>337</v>
      </c>
      <c r="K405" s="6" t="s">
        <v>26</v>
      </c>
      <c r="L405" s="7" t="s">
        <v>1923</v>
      </c>
      <c r="M405" s="7" t="s">
        <v>1924</v>
      </c>
      <c r="N405" s="9">
        <v>35514.0</v>
      </c>
    </row>
    <row r="406" ht="19.5" customHeight="1">
      <c r="A406" s="6" t="s">
        <v>1925</v>
      </c>
      <c r="B406" s="7" t="s">
        <v>6</v>
      </c>
      <c r="C406" s="7" t="s">
        <v>1926</v>
      </c>
      <c r="D406" s="7" t="s">
        <v>6</v>
      </c>
      <c r="E406" s="7" t="s">
        <v>45</v>
      </c>
      <c r="F406" s="6" t="s">
        <v>46</v>
      </c>
      <c r="G406" s="7" t="s">
        <v>47</v>
      </c>
      <c r="H406" s="7" t="s">
        <v>48</v>
      </c>
      <c r="I406" s="6" t="s">
        <v>170</v>
      </c>
      <c r="J406" s="7" t="s">
        <v>409</v>
      </c>
      <c r="K406" s="6" t="s">
        <v>26</v>
      </c>
      <c r="L406" s="7" t="s">
        <v>1927</v>
      </c>
      <c r="M406" s="7" t="s">
        <v>6</v>
      </c>
      <c r="N406" s="9">
        <v>33322.0</v>
      </c>
    </row>
    <row r="407" ht="19.5" customHeight="1">
      <c r="A407" s="6" t="s">
        <v>1928</v>
      </c>
      <c r="B407" s="7" t="s">
        <v>6</v>
      </c>
      <c r="C407" s="7" t="s">
        <v>1929</v>
      </c>
      <c r="D407" s="7" t="s">
        <v>6</v>
      </c>
      <c r="E407" s="7" t="s">
        <v>45</v>
      </c>
      <c r="F407" s="6" t="s">
        <v>46</v>
      </c>
      <c r="G407" s="7" t="s">
        <v>47</v>
      </c>
      <c r="H407" s="7" t="s">
        <v>48</v>
      </c>
      <c r="I407" s="6" t="s">
        <v>154</v>
      </c>
      <c r="J407" s="7" t="s">
        <v>434</v>
      </c>
      <c r="K407" s="6" t="s">
        <v>26</v>
      </c>
      <c r="L407" s="7" t="s">
        <v>1930</v>
      </c>
      <c r="M407" s="7" t="s">
        <v>1931</v>
      </c>
      <c r="N407" s="9">
        <v>31579.0</v>
      </c>
    </row>
    <row r="408" ht="19.5" customHeight="1">
      <c r="A408" s="6" t="s">
        <v>1932</v>
      </c>
      <c r="B408" s="7" t="s">
        <v>6</v>
      </c>
      <c r="C408" s="7" t="s">
        <v>1933</v>
      </c>
      <c r="D408" s="7" t="s">
        <v>6</v>
      </c>
      <c r="E408" s="7" t="s">
        <v>45</v>
      </c>
      <c r="F408" s="6" t="s">
        <v>46</v>
      </c>
      <c r="G408" s="7" t="s">
        <v>1215</v>
      </c>
      <c r="H408" s="7" t="s">
        <v>48</v>
      </c>
      <c r="I408" s="6" t="s">
        <v>193</v>
      </c>
      <c r="J408" s="7" t="s">
        <v>200</v>
      </c>
      <c r="K408" s="6" t="s">
        <v>81</v>
      </c>
      <c r="L408" s="7" t="s">
        <v>1934</v>
      </c>
      <c r="M408" s="7" t="s">
        <v>1935</v>
      </c>
      <c r="N408" s="9">
        <v>35027.0</v>
      </c>
    </row>
    <row r="409" ht="19.5" customHeight="1">
      <c r="A409" s="6" t="s">
        <v>1936</v>
      </c>
      <c r="B409" s="7" t="s">
        <v>6</v>
      </c>
      <c r="C409" s="7" t="s">
        <v>1937</v>
      </c>
      <c r="D409" s="7" t="s">
        <v>6</v>
      </c>
      <c r="E409" s="7" t="s">
        <v>45</v>
      </c>
      <c r="F409" s="6" t="s">
        <v>46</v>
      </c>
      <c r="G409" s="7" t="s">
        <v>1938</v>
      </c>
      <c r="H409" s="7" t="s">
        <v>48</v>
      </c>
      <c r="I409" s="6" t="s">
        <v>166</v>
      </c>
      <c r="J409" s="7" t="s">
        <v>167</v>
      </c>
      <c r="K409" s="6" t="s">
        <v>26</v>
      </c>
      <c r="L409" s="7" t="s">
        <v>1939</v>
      </c>
      <c r="M409" s="7" t="s">
        <v>1940</v>
      </c>
      <c r="N409" s="9">
        <v>36795.0</v>
      </c>
    </row>
    <row r="410" ht="19.5" customHeight="1">
      <c r="A410" s="6" t="s">
        <v>1941</v>
      </c>
      <c r="B410" s="7" t="s">
        <v>6</v>
      </c>
      <c r="C410" s="7" t="s">
        <v>1942</v>
      </c>
      <c r="D410" s="7" t="s">
        <v>6</v>
      </c>
      <c r="E410" s="7" t="s">
        <v>45</v>
      </c>
      <c r="F410" s="6" t="s">
        <v>46</v>
      </c>
      <c r="G410" s="7" t="s">
        <v>47</v>
      </c>
      <c r="H410" s="7" t="s">
        <v>48</v>
      </c>
      <c r="I410" s="6" t="s">
        <v>166</v>
      </c>
      <c r="J410" s="7" t="s">
        <v>167</v>
      </c>
      <c r="K410" s="6" t="s">
        <v>26</v>
      </c>
      <c r="L410" s="7" t="s">
        <v>1943</v>
      </c>
      <c r="M410" s="7" t="s">
        <v>1944</v>
      </c>
      <c r="N410" s="9">
        <v>36578.0</v>
      </c>
    </row>
    <row r="411" ht="19.5" customHeight="1">
      <c r="A411" s="6" t="s">
        <v>1945</v>
      </c>
      <c r="B411" s="7" t="s">
        <v>6</v>
      </c>
      <c r="C411" s="7" t="s">
        <v>1946</v>
      </c>
      <c r="D411" s="7" t="s">
        <v>6</v>
      </c>
      <c r="E411" s="7" t="s">
        <v>45</v>
      </c>
      <c r="F411" s="6" t="s">
        <v>46</v>
      </c>
      <c r="G411" s="7" t="s">
        <v>47</v>
      </c>
      <c r="H411" s="7" t="s">
        <v>48</v>
      </c>
      <c r="I411" s="6" t="s">
        <v>166</v>
      </c>
      <c r="J411" s="7" t="s">
        <v>167</v>
      </c>
      <c r="K411" s="6" t="s">
        <v>81</v>
      </c>
      <c r="L411" s="7" t="s">
        <v>1947</v>
      </c>
      <c r="M411" s="7" t="s">
        <v>1948</v>
      </c>
      <c r="N411" s="9">
        <v>36456.0</v>
      </c>
    </row>
    <row r="412" ht="19.5" customHeight="1">
      <c r="A412" s="6" t="s">
        <v>1949</v>
      </c>
      <c r="B412" s="7" t="s">
        <v>6</v>
      </c>
      <c r="C412" s="7" t="s">
        <v>1950</v>
      </c>
      <c r="D412" s="7" t="s">
        <v>6</v>
      </c>
      <c r="E412" s="7" t="s">
        <v>45</v>
      </c>
      <c r="F412" s="6" t="s">
        <v>46</v>
      </c>
      <c r="G412" s="7" t="s">
        <v>47</v>
      </c>
      <c r="H412" s="7" t="s">
        <v>48</v>
      </c>
      <c r="I412" s="6" t="s">
        <v>166</v>
      </c>
      <c r="J412" s="7" t="s">
        <v>167</v>
      </c>
      <c r="K412" s="6" t="s">
        <v>26</v>
      </c>
      <c r="L412" s="7" t="s">
        <v>1951</v>
      </c>
      <c r="M412" s="7" t="s">
        <v>1952</v>
      </c>
      <c r="N412" s="9">
        <v>36555.0</v>
      </c>
    </row>
    <row r="413" ht="19.5" customHeight="1">
      <c r="A413" s="6" t="s">
        <v>1953</v>
      </c>
      <c r="B413" s="7" t="s">
        <v>6</v>
      </c>
      <c r="C413" s="7" t="s">
        <v>1954</v>
      </c>
      <c r="D413" s="7" t="s">
        <v>6</v>
      </c>
      <c r="E413" s="7" t="s">
        <v>45</v>
      </c>
      <c r="F413" s="6" t="s">
        <v>46</v>
      </c>
      <c r="G413" s="7" t="s">
        <v>47</v>
      </c>
      <c r="H413" s="7" t="s">
        <v>48</v>
      </c>
      <c r="I413" s="6" t="s">
        <v>131</v>
      </c>
      <c r="J413" s="7" t="s">
        <v>132</v>
      </c>
      <c r="K413" s="6" t="s">
        <v>26</v>
      </c>
      <c r="L413" s="7" t="s">
        <v>1955</v>
      </c>
      <c r="M413" s="7" t="s">
        <v>1956</v>
      </c>
      <c r="N413" s="9">
        <v>36327.0</v>
      </c>
    </row>
    <row r="414" ht="19.5" customHeight="1">
      <c r="A414" s="6" t="s">
        <v>1957</v>
      </c>
      <c r="B414" s="7" t="s">
        <v>6</v>
      </c>
      <c r="C414" s="7" t="s">
        <v>1958</v>
      </c>
      <c r="D414" s="7" t="s">
        <v>6</v>
      </c>
      <c r="E414" s="7" t="s">
        <v>45</v>
      </c>
      <c r="F414" s="6" t="s">
        <v>46</v>
      </c>
      <c r="G414" s="7" t="s">
        <v>47</v>
      </c>
      <c r="H414" s="7" t="s">
        <v>48</v>
      </c>
      <c r="I414" s="6" t="s">
        <v>131</v>
      </c>
      <c r="J414" s="7" t="s">
        <v>132</v>
      </c>
      <c r="K414" s="6" t="s">
        <v>26</v>
      </c>
      <c r="L414" s="7" t="s">
        <v>1959</v>
      </c>
      <c r="M414" s="7" t="s">
        <v>1960</v>
      </c>
      <c r="N414" s="9">
        <v>36433.0</v>
      </c>
    </row>
    <row r="415" ht="19.5" customHeight="1">
      <c r="A415" s="6" t="s">
        <v>1961</v>
      </c>
      <c r="B415" s="7" t="s">
        <v>6</v>
      </c>
      <c r="C415" s="7" t="s">
        <v>1962</v>
      </c>
      <c r="D415" s="7" t="s">
        <v>6</v>
      </c>
      <c r="E415" s="7" t="s">
        <v>45</v>
      </c>
      <c r="F415" s="6" t="s">
        <v>46</v>
      </c>
      <c r="G415" s="7" t="s">
        <v>47</v>
      </c>
      <c r="H415" s="7" t="s">
        <v>48</v>
      </c>
      <c r="I415" s="6" t="s">
        <v>166</v>
      </c>
      <c r="J415" s="7" t="s">
        <v>167</v>
      </c>
      <c r="K415" s="6" t="s">
        <v>81</v>
      </c>
      <c r="L415" s="7" t="s">
        <v>1963</v>
      </c>
      <c r="M415" s="7" t="s">
        <v>1964</v>
      </c>
      <c r="N415" s="9">
        <v>36463.0</v>
      </c>
    </row>
    <row r="416" ht="19.5" customHeight="1">
      <c r="A416" s="6" t="s">
        <v>1965</v>
      </c>
      <c r="B416" s="7" t="s">
        <v>6</v>
      </c>
      <c r="C416" s="7" t="s">
        <v>1966</v>
      </c>
      <c r="D416" s="7" t="s">
        <v>6</v>
      </c>
      <c r="E416" s="7" t="s">
        <v>45</v>
      </c>
      <c r="F416" s="6" t="s">
        <v>46</v>
      </c>
      <c r="G416" s="7" t="s">
        <v>1967</v>
      </c>
      <c r="H416" s="7" t="s">
        <v>23</v>
      </c>
      <c r="I416" s="6" t="s">
        <v>193</v>
      </c>
      <c r="J416" s="7" t="s">
        <v>200</v>
      </c>
      <c r="K416" s="6" t="s">
        <v>26</v>
      </c>
      <c r="L416" s="7" t="s">
        <v>1968</v>
      </c>
      <c r="M416" s="7" t="s">
        <v>1969</v>
      </c>
      <c r="N416" s="9">
        <v>35187.0</v>
      </c>
    </row>
    <row r="417" ht="19.5" customHeight="1">
      <c r="A417" s="6" t="s">
        <v>1970</v>
      </c>
      <c r="B417" s="7" t="s">
        <v>6</v>
      </c>
      <c r="C417" s="7" t="s">
        <v>1971</v>
      </c>
      <c r="D417" s="7" t="s">
        <v>6</v>
      </c>
      <c r="E417" s="7" t="s">
        <v>45</v>
      </c>
      <c r="F417" s="6" t="s">
        <v>46</v>
      </c>
      <c r="G417" s="7" t="s">
        <v>1972</v>
      </c>
      <c r="H417" s="7" t="s">
        <v>48</v>
      </c>
      <c r="I417" s="6" t="s">
        <v>198</v>
      </c>
      <c r="J417" s="7" t="s">
        <v>337</v>
      </c>
      <c r="K417" s="6" t="s">
        <v>26</v>
      </c>
      <c r="L417" s="7" t="s">
        <v>1973</v>
      </c>
      <c r="M417" s="7" t="s">
        <v>1974</v>
      </c>
      <c r="N417" s="9">
        <v>35592.0</v>
      </c>
    </row>
    <row r="418" ht="19.5" customHeight="1">
      <c r="A418" s="6" t="s">
        <v>1975</v>
      </c>
      <c r="B418" s="7" t="s">
        <v>6</v>
      </c>
      <c r="C418" s="7" t="s">
        <v>1976</v>
      </c>
      <c r="D418" s="7" t="s">
        <v>6</v>
      </c>
      <c r="E418" s="7" t="s">
        <v>45</v>
      </c>
      <c r="F418" s="6" t="s">
        <v>46</v>
      </c>
      <c r="G418" s="7" t="s">
        <v>1977</v>
      </c>
      <c r="H418" s="7" t="s">
        <v>48</v>
      </c>
      <c r="I418" s="6" t="s">
        <v>128</v>
      </c>
      <c r="J418" s="7" t="s">
        <v>1978</v>
      </c>
      <c r="K418" s="6" t="s">
        <v>81</v>
      </c>
      <c r="L418" s="7" t="s">
        <v>1979</v>
      </c>
      <c r="M418" s="7" t="s">
        <v>1980</v>
      </c>
      <c r="N418" s="9">
        <v>29196.0</v>
      </c>
    </row>
    <row r="419" ht="19.5" customHeight="1">
      <c r="A419" s="6" t="s">
        <v>1981</v>
      </c>
      <c r="B419" s="7" t="s">
        <v>6</v>
      </c>
      <c r="C419" s="7" t="s">
        <v>1982</v>
      </c>
      <c r="D419" s="7" t="s">
        <v>6</v>
      </c>
      <c r="E419" s="7" t="s">
        <v>45</v>
      </c>
      <c r="F419" s="6" t="s">
        <v>46</v>
      </c>
      <c r="G419" s="7" t="s">
        <v>47</v>
      </c>
      <c r="H419" s="7" t="s">
        <v>48</v>
      </c>
      <c r="I419" s="6" t="s">
        <v>49</v>
      </c>
      <c r="J419" s="7" t="s">
        <v>50</v>
      </c>
      <c r="K419" s="6" t="s">
        <v>26</v>
      </c>
      <c r="L419" s="7" t="s">
        <v>1983</v>
      </c>
      <c r="M419" s="7" t="s">
        <v>6</v>
      </c>
      <c r="N419" s="9">
        <v>37067.0</v>
      </c>
    </row>
    <row r="420" ht="19.5" customHeight="1">
      <c r="A420" s="6" t="s">
        <v>1984</v>
      </c>
      <c r="B420" s="7" t="s">
        <v>6</v>
      </c>
      <c r="C420" s="7" t="s">
        <v>1985</v>
      </c>
      <c r="D420" s="7" t="s">
        <v>6</v>
      </c>
      <c r="E420" s="7" t="s">
        <v>45</v>
      </c>
      <c r="F420" s="6" t="s">
        <v>46</v>
      </c>
      <c r="G420" s="7" t="s">
        <v>1986</v>
      </c>
      <c r="H420" s="7" t="s">
        <v>48</v>
      </c>
      <c r="I420" s="6" t="s">
        <v>145</v>
      </c>
      <c r="J420" s="7" t="s">
        <v>146</v>
      </c>
      <c r="K420" s="6" t="s">
        <v>81</v>
      </c>
      <c r="L420" s="7" t="s">
        <v>1987</v>
      </c>
      <c r="M420" s="7" t="s">
        <v>1988</v>
      </c>
      <c r="N420" s="9">
        <v>37193.0</v>
      </c>
    </row>
    <row r="421" ht="19.5" customHeight="1">
      <c r="A421" s="6" t="s">
        <v>1989</v>
      </c>
      <c r="B421" s="7" t="s">
        <v>6</v>
      </c>
      <c r="C421" s="7" t="s">
        <v>1990</v>
      </c>
      <c r="D421" s="7" t="s">
        <v>6</v>
      </c>
      <c r="E421" s="7" t="s">
        <v>45</v>
      </c>
      <c r="F421" s="6" t="s">
        <v>46</v>
      </c>
      <c r="G421" s="7" t="s">
        <v>47</v>
      </c>
      <c r="H421" s="7" t="s">
        <v>48</v>
      </c>
      <c r="I421" s="6" t="s">
        <v>121</v>
      </c>
      <c r="J421" s="7" t="s">
        <v>471</v>
      </c>
      <c r="K421" s="6" t="s">
        <v>26</v>
      </c>
      <c r="L421" s="7" t="s">
        <v>1991</v>
      </c>
      <c r="M421" s="7" t="s">
        <v>1992</v>
      </c>
      <c r="N421" s="9">
        <v>28929.0</v>
      </c>
    </row>
    <row r="422" ht="19.5" customHeight="1">
      <c r="A422" s="6" t="s">
        <v>1993</v>
      </c>
      <c r="B422" s="7" t="s">
        <v>6</v>
      </c>
      <c r="C422" s="7" t="s">
        <v>1994</v>
      </c>
      <c r="D422" s="7" t="s">
        <v>6</v>
      </c>
      <c r="E422" s="7" t="s">
        <v>45</v>
      </c>
      <c r="F422" s="6" t="s">
        <v>46</v>
      </c>
      <c r="G422" s="7" t="s">
        <v>1995</v>
      </c>
      <c r="H422" s="7" t="s">
        <v>48</v>
      </c>
      <c r="I422" s="6" t="s">
        <v>166</v>
      </c>
      <c r="J422" s="7" t="s">
        <v>167</v>
      </c>
      <c r="K422" s="6" t="s">
        <v>26</v>
      </c>
      <c r="L422" s="7" t="s">
        <v>1996</v>
      </c>
      <c r="M422" s="7" t="s">
        <v>1997</v>
      </c>
      <c r="N422" s="9">
        <v>36629.0</v>
      </c>
    </row>
    <row r="423" ht="19.5" customHeight="1">
      <c r="A423" s="6" t="s">
        <v>1998</v>
      </c>
      <c r="B423" s="7" t="s">
        <v>6</v>
      </c>
      <c r="C423" s="7" t="s">
        <v>1999</v>
      </c>
      <c r="D423" s="7" t="s">
        <v>6</v>
      </c>
      <c r="E423" s="7" t="s">
        <v>45</v>
      </c>
      <c r="F423" s="6" t="s">
        <v>46</v>
      </c>
      <c r="G423" s="7" t="s">
        <v>47</v>
      </c>
      <c r="H423" s="7" t="s">
        <v>48</v>
      </c>
      <c r="I423" s="6" t="s">
        <v>154</v>
      </c>
      <c r="J423" s="7" t="s">
        <v>434</v>
      </c>
      <c r="K423" s="6" t="s">
        <v>26</v>
      </c>
      <c r="L423" s="7" t="s">
        <v>2000</v>
      </c>
      <c r="M423" s="7" t="s">
        <v>2001</v>
      </c>
      <c r="N423" s="9">
        <v>31685.0</v>
      </c>
    </row>
    <row r="424" ht="19.5" customHeight="1">
      <c r="A424" s="6" t="s">
        <v>2002</v>
      </c>
      <c r="B424" s="7" t="s">
        <v>6</v>
      </c>
      <c r="C424" s="7" t="s">
        <v>2003</v>
      </c>
      <c r="D424" s="7" t="s">
        <v>6</v>
      </c>
      <c r="E424" s="7" t="s">
        <v>45</v>
      </c>
      <c r="F424" s="6" t="s">
        <v>46</v>
      </c>
      <c r="G424" s="7" t="s">
        <v>47</v>
      </c>
      <c r="H424" s="7" t="s">
        <v>48</v>
      </c>
      <c r="I424" s="6" t="s">
        <v>176</v>
      </c>
      <c r="J424" s="7" t="s">
        <v>428</v>
      </c>
      <c r="K424" s="6" t="s">
        <v>26</v>
      </c>
      <c r="L424" s="7" t="s">
        <v>2004</v>
      </c>
      <c r="M424" s="7" t="s">
        <v>2005</v>
      </c>
      <c r="N424" s="9">
        <v>33765.0</v>
      </c>
    </row>
    <row r="425" ht="19.5" customHeight="1">
      <c r="A425" s="6" t="s">
        <v>2006</v>
      </c>
      <c r="B425" s="7" t="s">
        <v>6</v>
      </c>
      <c r="C425" s="7" t="s">
        <v>2007</v>
      </c>
      <c r="D425" s="7" t="s">
        <v>6</v>
      </c>
      <c r="E425" s="7" t="s">
        <v>45</v>
      </c>
      <c r="F425" s="6" t="s">
        <v>46</v>
      </c>
      <c r="G425" s="7" t="s">
        <v>47</v>
      </c>
      <c r="H425" s="7" t="s">
        <v>48</v>
      </c>
      <c r="I425" s="6" t="s">
        <v>176</v>
      </c>
      <c r="J425" s="7" t="s">
        <v>428</v>
      </c>
      <c r="K425" s="6" t="s">
        <v>26</v>
      </c>
      <c r="L425" s="7" t="s">
        <v>2008</v>
      </c>
      <c r="M425" s="7" t="s">
        <v>2009</v>
      </c>
      <c r="N425" s="9">
        <v>33642.0</v>
      </c>
    </row>
    <row r="426" ht="19.5" customHeight="1">
      <c r="A426" s="6" t="s">
        <v>2010</v>
      </c>
      <c r="B426" s="7" t="s">
        <v>6</v>
      </c>
      <c r="C426" s="7" t="s">
        <v>2011</v>
      </c>
      <c r="D426" s="7" t="s">
        <v>6</v>
      </c>
      <c r="E426" s="7" t="s">
        <v>45</v>
      </c>
      <c r="F426" s="6" t="s">
        <v>46</v>
      </c>
      <c r="G426" s="7" t="s">
        <v>1488</v>
      </c>
      <c r="H426" s="7" t="s">
        <v>48</v>
      </c>
      <c r="I426" s="6" t="s">
        <v>198</v>
      </c>
      <c r="J426" s="7" t="s">
        <v>337</v>
      </c>
      <c r="K426" s="6" t="s">
        <v>26</v>
      </c>
      <c r="L426" s="7" t="s">
        <v>2012</v>
      </c>
      <c r="M426" s="7" t="s">
        <v>2013</v>
      </c>
      <c r="N426" s="9">
        <v>35547.0</v>
      </c>
    </row>
    <row r="427" ht="19.5" customHeight="1">
      <c r="A427" s="6" t="s">
        <v>2014</v>
      </c>
      <c r="B427" s="7" t="s">
        <v>6</v>
      </c>
      <c r="C427" s="7" t="s">
        <v>2015</v>
      </c>
      <c r="D427" s="7" t="s">
        <v>6</v>
      </c>
      <c r="E427" s="7" t="s">
        <v>45</v>
      </c>
      <c r="F427" s="6" t="s">
        <v>46</v>
      </c>
      <c r="G427" s="7" t="s">
        <v>47</v>
      </c>
      <c r="H427" s="7" t="s">
        <v>48</v>
      </c>
      <c r="I427" s="6" t="s">
        <v>124</v>
      </c>
      <c r="J427" s="7" t="s">
        <v>125</v>
      </c>
      <c r="K427" s="6" t="s">
        <v>26</v>
      </c>
      <c r="L427" s="7" t="s">
        <v>2016</v>
      </c>
      <c r="M427" s="7" t="s">
        <v>6</v>
      </c>
      <c r="N427" s="9">
        <v>32948.0</v>
      </c>
    </row>
    <row r="428" ht="19.5" customHeight="1">
      <c r="A428" s="6" t="s">
        <v>2017</v>
      </c>
      <c r="B428" s="7" t="s">
        <v>6</v>
      </c>
      <c r="C428" s="7" t="s">
        <v>2018</v>
      </c>
      <c r="D428" s="7" t="s">
        <v>6</v>
      </c>
      <c r="E428" s="7" t="s">
        <v>45</v>
      </c>
      <c r="F428" s="6" t="s">
        <v>46</v>
      </c>
      <c r="G428" s="7" t="s">
        <v>470</v>
      </c>
      <c r="H428" s="7" t="s">
        <v>48</v>
      </c>
      <c r="I428" s="6" t="s">
        <v>189</v>
      </c>
      <c r="J428" s="7" t="s">
        <v>210</v>
      </c>
      <c r="K428" s="6" t="s">
        <v>26</v>
      </c>
      <c r="L428" s="7" t="s">
        <v>2019</v>
      </c>
      <c r="M428" s="7" t="s">
        <v>2020</v>
      </c>
      <c r="N428" s="9">
        <v>34706.0</v>
      </c>
    </row>
    <row r="429" ht="19.5" customHeight="1">
      <c r="A429" s="6" t="s">
        <v>2021</v>
      </c>
      <c r="B429" s="7" t="s">
        <v>6</v>
      </c>
      <c r="C429" s="7" t="s">
        <v>2022</v>
      </c>
      <c r="D429" s="7" t="s">
        <v>6</v>
      </c>
      <c r="E429" s="7" t="s">
        <v>45</v>
      </c>
      <c r="F429" s="6" t="s">
        <v>46</v>
      </c>
      <c r="G429" s="7" t="s">
        <v>47</v>
      </c>
      <c r="H429" s="7" t="s">
        <v>48</v>
      </c>
      <c r="I429" s="6" t="s">
        <v>193</v>
      </c>
      <c r="J429" s="7" t="s">
        <v>200</v>
      </c>
      <c r="K429" s="6" t="s">
        <v>26</v>
      </c>
      <c r="L429" s="7" t="s">
        <v>2023</v>
      </c>
      <c r="M429" s="7" t="s">
        <v>2024</v>
      </c>
      <c r="N429" s="9">
        <v>35205.0</v>
      </c>
    </row>
    <row r="430" ht="19.5" customHeight="1">
      <c r="A430" s="6" t="s">
        <v>2025</v>
      </c>
      <c r="B430" s="7" t="s">
        <v>6</v>
      </c>
      <c r="C430" s="7" t="s">
        <v>2026</v>
      </c>
      <c r="D430" s="7" t="s">
        <v>6</v>
      </c>
      <c r="E430" s="7" t="s">
        <v>45</v>
      </c>
      <c r="F430" s="6" t="s">
        <v>46</v>
      </c>
      <c r="G430" s="7" t="s">
        <v>47</v>
      </c>
      <c r="H430" s="7" t="s">
        <v>23</v>
      </c>
      <c r="I430" s="6" t="s">
        <v>166</v>
      </c>
      <c r="J430" s="7" t="s">
        <v>167</v>
      </c>
      <c r="K430" s="6" t="s">
        <v>26</v>
      </c>
      <c r="L430" s="7" t="s">
        <v>2027</v>
      </c>
      <c r="M430" s="7" t="s">
        <v>2028</v>
      </c>
      <c r="N430" s="9">
        <v>36670.0</v>
      </c>
    </row>
    <row r="431" ht="19.5" customHeight="1">
      <c r="A431" s="6" t="s">
        <v>2029</v>
      </c>
      <c r="B431" s="7" t="s">
        <v>6</v>
      </c>
      <c r="C431" s="7" t="s">
        <v>2030</v>
      </c>
      <c r="D431" s="7" t="s">
        <v>6</v>
      </c>
      <c r="E431" s="7" t="s">
        <v>45</v>
      </c>
      <c r="F431" s="6" t="s">
        <v>46</v>
      </c>
      <c r="G431" s="7" t="s">
        <v>2031</v>
      </c>
      <c r="H431" s="7" t="s">
        <v>48</v>
      </c>
      <c r="I431" s="6" t="s">
        <v>124</v>
      </c>
      <c r="J431" s="7" t="s">
        <v>125</v>
      </c>
      <c r="K431" s="6" t="s">
        <v>26</v>
      </c>
      <c r="L431" s="7" t="s">
        <v>2032</v>
      </c>
      <c r="M431" s="7" t="s">
        <v>2033</v>
      </c>
      <c r="N431" s="9">
        <v>32918.0</v>
      </c>
    </row>
    <row r="432" ht="19.5" customHeight="1">
      <c r="A432" s="6" t="s">
        <v>2034</v>
      </c>
      <c r="B432" s="7" t="s">
        <v>6</v>
      </c>
      <c r="C432" s="7" t="s">
        <v>2035</v>
      </c>
      <c r="D432" s="7" t="s">
        <v>6</v>
      </c>
      <c r="E432" s="7" t="s">
        <v>45</v>
      </c>
      <c r="F432" s="6" t="s">
        <v>46</v>
      </c>
      <c r="G432" s="7" t="s">
        <v>47</v>
      </c>
      <c r="H432" s="7" t="s">
        <v>48</v>
      </c>
      <c r="I432" s="6" t="s">
        <v>193</v>
      </c>
      <c r="J432" s="7" t="s">
        <v>200</v>
      </c>
      <c r="K432" s="6" t="s">
        <v>26</v>
      </c>
      <c r="L432" s="7" t="s">
        <v>2036</v>
      </c>
      <c r="M432" s="7" t="s">
        <v>2037</v>
      </c>
      <c r="N432" s="9">
        <v>35068.0</v>
      </c>
    </row>
    <row r="433" ht="19.5" customHeight="1">
      <c r="A433" s="6" t="s">
        <v>2038</v>
      </c>
      <c r="B433" s="7" t="s">
        <v>6</v>
      </c>
      <c r="C433" s="7" t="s">
        <v>2039</v>
      </c>
      <c r="D433" s="7" t="s">
        <v>6</v>
      </c>
      <c r="E433" s="7" t="s">
        <v>45</v>
      </c>
      <c r="F433" s="6" t="s">
        <v>46</v>
      </c>
      <c r="G433" s="7" t="s">
        <v>2040</v>
      </c>
      <c r="H433" s="7" t="s">
        <v>48</v>
      </c>
      <c r="I433" s="6" t="s">
        <v>198</v>
      </c>
      <c r="J433" s="7" t="s">
        <v>337</v>
      </c>
      <c r="K433" s="6" t="s">
        <v>81</v>
      </c>
      <c r="L433" s="7" t="s">
        <v>2041</v>
      </c>
      <c r="M433" s="7" t="s">
        <v>2042</v>
      </c>
      <c r="N433" s="9">
        <v>35420.0</v>
      </c>
    </row>
    <row r="434" ht="19.5" customHeight="1">
      <c r="A434" s="6" t="s">
        <v>2043</v>
      </c>
      <c r="B434" s="7" t="s">
        <v>6</v>
      </c>
      <c r="C434" s="7" t="s">
        <v>2044</v>
      </c>
      <c r="D434" s="7" t="s">
        <v>6</v>
      </c>
      <c r="E434" s="7" t="s">
        <v>45</v>
      </c>
      <c r="F434" s="6" t="s">
        <v>46</v>
      </c>
      <c r="G434" s="7" t="s">
        <v>1488</v>
      </c>
      <c r="H434" s="7" t="s">
        <v>48</v>
      </c>
      <c r="I434" s="6" t="s">
        <v>193</v>
      </c>
      <c r="J434" s="7" t="s">
        <v>200</v>
      </c>
      <c r="K434" s="6" t="s">
        <v>26</v>
      </c>
      <c r="L434" s="7" t="s">
        <v>2045</v>
      </c>
      <c r="M434" s="7" t="s">
        <v>6</v>
      </c>
      <c r="N434" s="9">
        <v>35307.0</v>
      </c>
    </row>
    <row r="435" ht="19.5" customHeight="1">
      <c r="A435" s="6" t="s">
        <v>2046</v>
      </c>
      <c r="B435" s="7" t="s">
        <v>6</v>
      </c>
      <c r="C435" s="7" t="s">
        <v>2047</v>
      </c>
      <c r="D435" s="7" t="s">
        <v>6</v>
      </c>
      <c r="E435" s="7" t="s">
        <v>45</v>
      </c>
      <c r="F435" s="6" t="s">
        <v>46</v>
      </c>
      <c r="G435" s="7" t="s">
        <v>1823</v>
      </c>
      <c r="H435" s="7" t="s">
        <v>48</v>
      </c>
      <c r="I435" s="6" t="s">
        <v>189</v>
      </c>
      <c r="J435" s="7" t="s">
        <v>210</v>
      </c>
      <c r="K435" s="6" t="s">
        <v>26</v>
      </c>
      <c r="L435" s="7" t="s">
        <v>2048</v>
      </c>
      <c r="M435" s="7" t="s">
        <v>2049</v>
      </c>
      <c r="N435" s="9">
        <v>34845.0</v>
      </c>
    </row>
    <row r="436" ht="19.5" customHeight="1">
      <c r="A436" s="6" t="s">
        <v>2050</v>
      </c>
      <c r="B436" s="7" t="s">
        <v>6</v>
      </c>
      <c r="C436" s="7" t="s">
        <v>2051</v>
      </c>
      <c r="D436" s="7" t="s">
        <v>6</v>
      </c>
      <c r="E436" s="7" t="s">
        <v>45</v>
      </c>
      <c r="F436" s="6" t="s">
        <v>46</v>
      </c>
      <c r="G436" s="7" t="s">
        <v>2052</v>
      </c>
      <c r="H436" s="7" t="s">
        <v>23</v>
      </c>
      <c r="I436" s="6" t="s">
        <v>92</v>
      </c>
      <c r="J436" s="7" t="s">
        <v>93</v>
      </c>
      <c r="K436" s="6" t="s">
        <v>26</v>
      </c>
      <c r="L436" s="7" t="s">
        <v>2053</v>
      </c>
      <c r="M436" s="7" t="s">
        <v>2054</v>
      </c>
      <c r="N436" s="9">
        <v>35996.0</v>
      </c>
    </row>
    <row r="437" ht="19.5" customHeight="1">
      <c r="A437" s="6" t="s">
        <v>2055</v>
      </c>
      <c r="B437" s="7" t="s">
        <v>6</v>
      </c>
      <c r="C437" s="7" t="s">
        <v>2056</v>
      </c>
      <c r="D437" s="7" t="s">
        <v>6</v>
      </c>
      <c r="E437" s="7" t="s">
        <v>45</v>
      </c>
      <c r="F437" s="6" t="s">
        <v>46</v>
      </c>
      <c r="G437" s="7" t="s">
        <v>726</v>
      </c>
      <c r="H437" s="7" t="s">
        <v>48</v>
      </c>
      <c r="I437" s="6" t="s">
        <v>1255</v>
      </c>
      <c r="J437" s="7" t="s">
        <v>1256</v>
      </c>
      <c r="K437" s="6" t="s">
        <v>26</v>
      </c>
      <c r="L437" s="7" t="s">
        <v>2057</v>
      </c>
      <c r="M437" s="7" t="s">
        <v>2058</v>
      </c>
      <c r="N437" s="9">
        <v>32367.0</v>
      </c>
    </row>
    <row r="438" ht="19.5" customHeight="1">
      <c r="A438" s="6" t="s">
        <v>2059</v>
      </c>
      <c r="B438" s="7" t="s">
        <v>6</v>
      </c>
      <c r="C438" s="7" t="s">
        <v>2060</v>
      </c>
      <c r="D438" s="7" t="s">
        <v>6</v>
      </c>
      <c r="E438" s="7" t="s">
        <v>45</v>
      </c>
      <c r="F438" s="6" t="s">
        <v>46</v>
      </c>
      <c r="G438" s="7" t="s">
        <v>2061</v>
      </c>
      <c r="H438" s="7" t="s">
        <v>48</v>
      </c>
      <c r="I438" s="6" t="s">
        <v>24</v>
      </c>
      <c r="J438" s="7" t="s">
        <v>25</v>
      </c>
      <c r="K438" s="6" t="s">
        <v>26</v>
      </c>
      <c r="L438" s="7" t="s">
        <v>2062</v>
      </c>
      <c r="M438" s="7" t="s">
        <v>2063</v>
      </c>
      <c r="N438" s="9">
        <v>33996.0</v>
      </c>
    </row>
    <row r="439" ht="19.5" customHeight="1">
      <c r="A439" s="6" t="s">
        <v>2064</v>
      </c>
      <c r="B439" s="7" t="s">
        <v>6</v>
      </c>
      <c r="C439" s="7" t="s">
        <v>2065</v>
      </c>
      <c r="D439" s="7" t="s">
        <v>6</v>
      </c>
      <c r="E439" s="7" t="s">
        <v>45</v>
      </c>
      <c r="F439" s="6" t="s">
        <v>46</v>
      </c>
      <c r="G439" s="7" t="s">
        <v>2066</v>
      </c>
      <c r="H439" s="7" t="s">
        <v>48</v>
      </c>
      <c r="I439" s="6" t="s">
        <v>145</v>
      </c>
      <c r="J439" s="7" t="s">
        <v>146</v>
      </c>
      <c r="K439" s="6" t="s">
        <v>26</v>
      </c>
      <c r="L439" s="7" t="s">
        <v>2067</v>
      </c>
      <c r="M439" s="7" t="s">
        <v>2068</v>
      </c>
      <c r="N439" s="9">
        <v>37308.0</v>
      </c>
    </row>
    <row r="440" ht="19.5" customHeight="1">
      <c r="A440" s="6" t="s">
        <v>2069</v>
      </c>
      <c r="B440" s="7" t="s">
        <v>6</v>
      </c>
      <c r="C440" s="7" t="s">
        <v>2070</v>
      </c>
      <c r="D440" s="7" t="s">
        <v>6</v>
      </c>
      <c r="E440" s="7" t="s">
        <v>45</v>
      </c>
      <c r="F440" s="6" t="s">
        <v>46</v>
      </c>
      <c r="G440" s="7" t="s">
        <v>2071</v>
      </c>
      <c r="H440" s="7" t="s">
        <v>48</v>
      </c>
      <c r="I440" s="6" t="s">
        <v>49</v>
      </c>
      <c r="J440" s="7" t="s">
        <v>50</v>
      </c>
      <c r="K440" s="6" t="s">
        <v>81</v>
      </c>
      <c r="L440" s="7" t="s">
        <v>2072</v>
      </c>
      <c r="M440" s="7" t="s">
        <v>2073</v>
      </c>
      <c r="N440" s="9">
        <v>36848.0</v>
      </c>
    </row>
    <row r="441" ht="19.5" customHeight="1">
      <c r="A441" s="6" t="s">
        <v>2074</v>
      </c>
      <c r="B441" s="7" t="s">
        <v>6</v>
      </c>
      <c r="C441" s="7" t="s">
        <v>2075</v>
      </c>
      <c r="D441" s="7" t="s">
        <v>6</v>
      </c>
      <c r="E441" s="7" t="s">
        <v>45</v>
      </c>
      <c r="F441" s="6" t="s">
        <v>46</v>
      </c>
      <c r="G441" s="7" t="s">
        <v>2076</v>
      </c>
      <c r="H441" s="7" t="s">
        <v>48</v>
      </c>
      <c r="I441" s="6" t="s">
        <v>124</v>
      </c>
      <c r="J441" s="7" t="s">
        <v>125</v>
      </c>
      <c r="K441" s="6" t="s">
        <v>26</v>
      </c>
      <c r="L441" s="7" t="s">
        <v>2077</v>
      </c>
      <c r="M441" s="7" t="s">
        <v>2078</v>
      </c>
      <c r="N441" s="9">
        <v>33065.0</v>
      </c>
    </row>
    <row r="442" ht="19.5" customHeight="1">
      <c r="A442" s="6" t="s">
        <v>2079</v>
      </c>
      <c r="B442" s="7" t="s">
        <v>6</v>
      </c>
      <c r="C442" s="7" t="s">
        <v>2081</v>
      </c>
      <c r="D442" s="7" t="s">
        <v>6</v>
      </c>
      <c r="E442" s="7" t="s">
        <v>45</v>
      </c>
      <c r="F442" s="6" t="s">
        <v>46</v>
      </c>
      <c r="G442" s="7" t="s">
        <v>47</v>
      </c>
      <c r="H442" s="7" t="s">
        <v>48</v>
      </c>
      <c r="I442" s="6" t="s">
        <v>49</v>
      </c>
      <c r="J442" s="7" t="s">
        <v>50</v>
      </c>
      <c r="K442" s="6" t="s">
        <v>26</v>
      </c>
      <c r="L442" s="7" t="s">
        <v>2082</v>
      </c>
      <c r="M442" s="7" t="s">
        <v>2083</v>
      </c>
      <c r="N442" s="9">
        <v>37063.0</v>
      </c>
    </row>
    <row r="443" ht="19.5" customHeight="1">
      <c r="A443" s="6" t="s">
        <v>2084</v>
      </c>
      <c r="B443" s="7" t="s">
        <v>6</v>
      </c>
      <c r="C443" s="7" t="s">
        <v>2085</v>
      </c>
      <c r="D443" s="7" t="s">
        <v>6</v>
      </c>
      <c r="E443" s="7" t="s">
        <v>45</v>
      </c>
      <c r="F443" s="6" t="s">
        <v>46</v>
      </c>
      <c r="G443" s="7" t="s">
        <v>2086</v>
      </c>
      <c r="H443" s="7" t="s">
        <v>48</v>
      </c>
      <c r="I443" s="6" t="s">
        <v>49</v>
      </c>
      <c r="J443" s="7" t="s">
        <v>50</v>
      </c>
      <c r="K443" s="6" t="s">
        <v>26</v>
      </c>
      <c r="L443" s="7" t="s">
        <v>2087</v>
      </c>
      <c r="M443" s="7" t="s">
        <v>2088</v>
      </c>
      <c r="N443" s="9">
        <v>37018.0</v>
      </c>
    </row>
    <row r="444" ht="19.5" customHeight="1">
      <c r="A444" s="6" t="s">
        <v>2090</v>
      </c>
      <c r="B444" s="7" t="s">
        <v>6</v>
      </c>
      <c r="C444" s="7" t="s">
        <v>2091</v>
      </c>
      <c r="D444" s="7" t="s">
        <v>6</v>
      </c>
      <c r="E444" s="7" t="s">
        <v>45</v>
      </c>
      <c r="F444" s="6" t="s">
        <v>46</v>
      </c>
      <c r="G444" s="7" t="s">
        <v>2092</v>
      </c>
      <c r="H444" s="7" t="s">
        <v>48</v>
      </c>
      <c r="I444" s="6" t="s">
        <v>145</v>
      </c>
      <c r="J444" s="7" t="s">
        <v>146</v>
      </c>
      <c r="K444" s="6" t="s">
        <v>26</v>
      </c>
      <c r="L444" s="7" t="s">
        <v>2093</v>
      </c>
      <c r="M444" s="7" t="s">
        <v>6</v>
      </c>
      <c r="N444" s="9">
        <v>37295.0</v>
      </c>
    </row>
    <row r="445" ht="19.5" customHeight="1">
      <c r="A445" s="6" t="s">
        <v>2094</v>
      </c>
      <c r="B445" s="7" t="s">
        <v>6</v>
      </c>
      <c r="C445" s="7" t="s">
        <v>2095</v>
      </c>
      <c r="D445" s="7" t="s">
        <v>6</v>
      </c>
      <c r="E445" s="7" t="s">
        <v>45</v>
      </c>
      <c r="F445" s="6" t="s">
        <v>46</v>
      </c>
      <c r="G445" s="7" t="s">
        <v>47</v>
      </c>
      <c r="H445" s="7" t="s">
        <v>48</v>
      </c>
      <c r="I445" s="6" t="s">
        <v>166</v>
      </c>
      <c r="J445" s="7" t="s">
        <v>167</v>
      </c>
      <c r="K445" s="6" t="s">
        <v>26</v>
      </c>
      <c r="L445" s="7" t="s">
        <v>2096</v>
      </c>
      <c r="M445" s="7" t="s">
        <v>2097</v>
      </c>
      <c r="N445" s="9">
        <v>36704.0</v>
      </c>
    </row>
    <row r="446" ht="19.5" customHeight="1">
      <c r="A446" s="6" t="s">
        <v>2098</v>
      </c>
      <c r="B446" s="7" t="s">
        <v>6</v>
      </c>
      <c r="C446" s="7" t="s">
        <v>2099</v>
      </c>
      <c r="D446" s="7" t="s">
        <v>6</v>
      </c>
      <c r="E446" s="7" t="s">
        <v>45</v>
      </c>
      <c r="F446" s="6" t="s">
        <v>46</v>
      </c>
      <c r="G446" s="7" t="s">
        <v>2100</v>
      </c>
      <c r="H446" s="7" t="s">
        <v>48</v>
      </c>
      <c r="I446" s="6" t="s">
        <v>131</v>
      </c>
      <c r="J446" s="7" t="s">
        <v>132</v>
      </c>
      <c r="K446" s="6" t="s">
        <v>26</v>
      </c>
      <c r="L446" s="7" t="s">
        <v>2101</v>
      </c>
      <c r="M446" s="7" t="s">
        <v>2102</v>
      </c>
      <c r="N446" s="9">
        <v>36366.0</v>
      </c>
    </row>
    <row r="447" ht="19.5" customHeight="1">
      <c r="A447" s="6" t="s">
        <v>2103</v>
      </c>
      <c r="B447" s="7" t="s">
        <v>6</v>
      </c>
      <c r="C447" s="7" t="s">
        <v>2104</v>
      </c>
      <c r="D447" s="7" t="s">
        <v>6</v>
      </c>
      <c r="E447" s="7" t="s">
        <v>45</v>
      </c>
      <c r="F447" s="6" t="s">
        <v>46</v>
      </c>
      <c r="G447" s="7" t="s">
        <v>2105</v>
      </c>
      <c r="H447" s="7" t="s">
        <v>48</v>
      </c>
      <c r="I447" s="6" t="s">
        <v>135</v>
      </c>
      <c r="J447" s="7" t="s">
        <v>489</v>
      </c>
      <c r="K447" s="6" t="s">
        <v>26</v>
      </c>
      <c r="L447" s="7" t="s">
        <v>2106</v>
      </c>
      <c r="M447" s="7" t="s">
        <v>2107</v>
      </c>
      <c r="N447" s="9">
        <v>29620.0</v>
      </c>
    </row>
    <row r="448" ht="19.5" customHeight="1">
      <c r="A448" s="6" t="s">
        <v>2108</v>
      </c>
      <c r="B448" s="7" t="s">
        <v>6</v>
      </c>
      <c r="C448" s="7" t="s">
        <v>2109</v>
      </c>
      <c r="D448" s="7" t="s">
        <v>6</v>
      </c>
      <c r="E448" s="7" t="s">
        <v>45</v>
      </c>
      <c r="F448" s="6" t="s">
        <v>46</v>
      </c>
      <c r="G448" s="7" t="s">
        <v>1032</v>
      </c>
      <c r="H448" s="7" t="s">
        <v>48</v>
      </c>
      <c r="I448" s="6" t="s">
        <v>198</v>
      </c>
      <c r="J448" s="7" t="s">
        <v>337</v>
      </c>
      <c r="K448" s="6" t="s">
        <v>26</v>
      </c>
      <c r="L448" s="7" t="s">
        <v>2110</v>
      </c>
      <c r="M448" s="7" t="s">
        <v>2111</v>
      </c>
      <c r="N448" s="9">
        <v>35433.0</v>
      </c>
    </row>
    <row r="449" ht="19.5" customHeight="1">
      <c r="A449" s="6" t="s">
        <v>2112</v>
      </c>
      <c r="B449" s="7" t="s">
        <v>6</v>
      </c>
      <c r="C449" s="7" t="s">
        <v>2113</v>
      </c>
      <c r="D449" s="7" t="s">
        <v>6</v>
      </c>
      <c r="E449" s="7" t="s">
        <v>45</v>
      </c>
      <c r="F449" s="6" t="s">
        <v>46</v>
      </c>
      <c r="G449" s="7" t="s">
        <v>2114</v>
      </c>
      <c r="H449" s="7" t="s">
        <v>48</v>
      </c>
      <c r="I449" s="6" t="s">
        <v>189</v>
      </c>
      <c r="J449" s="7" t="s">
        <v>210</v>
      </c>
      <c r="K449" s="6" t="s">
        <v>26</v>
      </c>
      <c r="L449" s="7" t="s">
        <v>2115</v>
      </c>
      <c r="M449" s="7" t="s">
        <v>2116</v>
      </c>
      <c r="N449" s="9">
        <v>34799.0</v>
      </c>
    </row>
    <row r="450" ht="19.5" customHeight="1">
      <c r="A450" s="6" t="s">
        <v>2117</v>
      </c>
      <c r="B450" s="7" t="s">
        <v>6</v>
      </c>
      <c r="C450" s="7" t="s">
        <v>2118</v>
      </c>
      <c r="D450" s="7" t="s">
        <v>6</v>
      </c>
      <c r="E450" s="7" t="s">
        <v>45</v>
      </c>
      <c r="F450" s="6" t="s">
        <v>46</v>
      </c>
      <c r="G450" s="7" t="s">
        <v>178</v>
      </c>
      <c r="H450" s="7" t="s">
        <v>48</v>
      </c>
      <c r="I450" s="6" t="s">
        <v>140</v>
      </c>
      <c r="J450" s="7" t="s">
        <v>173</v>
      </c>
      <c r="K450" s="6" t="s">
        <v>81</v>
      </c>
      <c r="L450" s="7" t="s">
        <v>2119</v>
      </c>
      <c r="M450" s="7" t="s">
        <v>2120</v>
      </c>
      <c r="N450" s="9">
        <v>30314.0</v>
      </c>
    </row>
    <row r="451" ht="19.5" customHeight="1">
      <c r="A451" s="6" t="s">
        <v>2121</v>
      </c>
      <c r="B451" s="7" t="s">
        <v>6</v>
      </c>
      <c r="C451" s="7" t="s">
        <v>2122</v>
      </c>
      <c r="D451" s="7" t="s">
        <v>6</v>
      </c>
      <c r="E451" s="7" t="s">
        <v>45</v>
      </c>
      <c r="F451" s="6" t="s">
        <v>46</v>
      </c>
      <c r="G451" s="7" t="s">
        <v>47</v>
      </c>
      <c r="H451" s="7" t="s">
        <v>48</v>
      </c>
      <c r="I451" s="6" t="s">
        <v>2123</v>
      </c>
      <c r="J451" s="7" t="s">
        <v>2124</v>
      </c>
      <c r="K451" s="6" t="s">
        <v>26</v>
      </c>
      <c r="L451" s="7" t="s">
        <v>2125</v>
      </c>
      <c r="M451" s="7" t="s">
        <v>2126</v>
      </c>
      <c r="N451" s="9">
        <v>233221.0</v>
      </c>
    </row>
    <row r="452" ht="19.5" customHeight="1">
      <c r="A452" s="6" t="s">
        <v>2127</v>
      </c>
      <c r="B452" s="7" t="s">
        <v>6</v>
      </c>
      <c r="C452" s="7" t="s">
        <v>2128</v>
      </c>
      <c r="D452" s="7" t="s">
        <v>6</v>
      </c>
      <c r="E452" s="7" t="s">
        <v>45</v>
      </c>
      <c r="F452" s="6" t="s">
        <v>46</v>
      </c>
      <c r="G452" s="7" t="s">
        <v>47</v>
      </c>
      <c r="H452" s="7" t="s">
        <v>48</v>
      </c>
      <c r="I452" s="6" t="s">
        <v>128</v>
      </c>
      <c r="J452" s="7" t="s">
        <v>1978</v>
      </c>
      <c r="K452" s="6" t="s">
        <v>26</v>
      </c>
      <c r="L452" s="7" t="s">
        <v>2129</v>
      </c>
      <c r="M452" s="7" t="s">
        <v>6</v>
      </c>
      <c r="N452" s="9">
        <v>29480.0</v>
      </c>
    </row>
    <row r="453" ht="19.5" customHeight="1">
      <c r="A453" s="6" t="s">
        <v>2130</v>
      </c>
      <c r="B453" s="7" t="s">
        <v>6</v>
      </c>
      <c r="C453" s="7" t="s">
        <v>2131</v>
      </c>
      <c r="D453" s="7" t="s">
        <v>6</v>
      </c>
      <c r="E453" s="7" t="s">
        <v>45</v>
      </c>
      <c r="F453" s="6" t="s">
        <v>46</v>
      </c>
      <c r="G453" s="7" t="s">
        <v>47</v>
      </c>
      <c r="H453" s="7" t="s">
        <v>48</v>
      </c>
      <c r="I453" s="6" t="s">
        <v>65</v>
      </c>
      <c r="J453" s="7" t="s">
        <v>2132</v>
      </c>
      <c r="K453" s="6" t="s">
        <v>26</v>
      </c>
      <c r="L453" s="7" t="s">
        <v>2133</v>
      </c>
      <c r="M453" s="7" t="s">
        <v>2134</v>
      </c>
      <c r="N453" s="9">
        <v>25618.0</v>
      </c>
    </row>
    <row r="454" ht="19.5" customHeight="1">
      <c r="A454" s="6" t="s">
        <v>2135</v>
      </c>
      <c r="B454" s="7" t="s">
        <v>6</v>
      </c>
      <c r="C454" s="7" t="s">
        <v>2136</v>
      </c>
      <c r="D454" s="7" t="s">
        <v>6</v>
      </c>
      <c r="E454" s="7" t="s">
        <v>45</v>
      </c>
      <c r="F454" s="6" t="s">
        <v>46</v>
      </c>
      <c r="G454" s="7" t="s">
        <v>1628</v>
      </c>
      <c r="H454" s="7" t="s">
        <v>48</v>
      </c>
      <c r="I454" s="6" t="s">
        <v>166</v>
      </c>
      <c r="J454" s="7" t="s">
        <v>167</v>
      </c>
      <c r="K454" s="6" t="s">
        <v>26</v>
      </c>
      <c r="L454" s="7" t="s">
        <v>2137</v>
      </c>
      <c r="M454" s="7" t="s">
        <v>2138</v>
      </c>
      <c r="N454" s="9">
        <v>36565.0</v>
      </c>
    </row>
    <row r="455" ht="19.5" customHeight="1">
      <c r="A455" s="6" t="s">
        <v>2139</v>
      </c>
      <c r="B455" s="7" t="s">
        <v>6</v>
      </c>
      <c r="C455" s="7" t="s">
        <v>2140</v>
      </c>
      <c r="D455" s="7" t="s">
        <v>6</v>
      </c>
      <c r="E455" s="7" t="s">
        <v>45</v>
      </c>
      <c r="F455" s="6" t="s">
        <v>46</v>
      </c>
      <c r="G455" s="7" t="s">
        <v>2141</v>
      </c>
      <c r="H455" s="7" t="s">
        <v>23</v>
      </c>
      <c r="I455" s="6" t="s">
        <v>131</v>
      </c>
      <c r="J455" s="7" t="s">
        <v>132</v>
      </c>
      <c r="K455" s="6" t="s">
        <v>26</v>
      </c>
      <c r="L455" s="7" t="s">
        <v>2142</v>
      </c>
      <c r="M455" s="7" t="s">
        <v>2143</v>
      </c>
      <c r="N455" s="9">
        <v>36409.0</v>
      </c>
    </row>
    <row r="456" ht="19.5" customHeight="1">
      <c r="A456" s="6" t="s">
        <v>2144</v>
      </c>
      <c r="B456" s="7" t="s">
        <v>6</v>
      </c>
      <c r="C456" s="7" t="s">
        <v>2145</v>
      </c>
      <c r="D456" s="7" t="s">
        <v>6</v>
      </c>
      <c r="E456" s="7" t="s">
        <v>45</v>
      </c>
      <c r="F456" s="6" t="s">
        <v>46</v>
      </c>
      <c r="G456" s="7" t="s">
        <v>2146</v>
      </c>
      <c r="H456" s="7" t="s">
        <v>48</v>
      </c>
      <c r="I456" s="6" t="s">
        <v>135</v>
      </c>
      <c r="J456" s="7" t="s">
        <v>489</v>
      </c>
      <c r="K456" s="6" t="s">
        <v>26</v>
      </c>
      <c r="L456" s="7" t="s">
        <v>2147</v>
      </c>
      <c r="M456" s="7" t="s">
        <v>2148</v>
      </c>
      <c r="N456" s="9">
        <v>29843.0</v>
      </c>
    </row>
    <row r="457" ht="19.5" customHeight="1">
      <c r="A457" s="6" t="s">
        <v>2149</v>
      </c>
      <c r="B457" s="7" t="s">
        <v>6</v>
      </c>
      <c r="C457" s="7" t="s">
        <v>2150</v>
      </c>
      <c r="D457" s="7" t="s">
        <v>6</v>
      </c>
      <c r="E457" s="7" t="s">
        <v>45</v>
      </c>
      <c r="F457" s="6" t="s">
        <v>46</v>
      </c>
      <c r="G457" s="7" t="s">
        <v>217</v>
      </c>
      <c r="H457" s="7" t="s">
        <v>48</v>
      </c>
      <c r="I457" s="6" t="s">
        <v>166</v>
      </c>
      <c r="J457" s="7" t="s">
        <v>167</v>
      </c>
      <c r="K457" s="6" t="s">
        <v>26</v>
      </c>
      <c r="L457" s="7" t="s">
        <v>2151</v>
      </c>
      <c r="M457" s="7" t="s">
        <v>2152</v>
      </c>
      <c r="N457" s="9">
        <v>36745.0</v>
      </c>
    </row>
    <row r="458" ht="19.5" customHeight="1">
      <c r="A458" s="6" t="s">
        <v>2153</v>
      </c>
      <c r="B458" s="7" t="s">
        <v>6</v>
      </c>
      <c r="C458" s="7" t="s">
        <v>2154</v>
      </c>
      <c r="D458" s="7" t="s">
        <v>6</v>
      </c>
      <c r="E458" s="7" t="s">
        <v>45</v>
      </c>
      <c r="F458" s="6" t="s">
        <v>46</v>
      </c>
      <c r="G458" s="7" t="s">
        <v>2155</v>
      </c>
      <c r="H458" s="7" t="s">
        <v>48</v>
      </c>
      <c r="I458" s="6" t="s">
        <v>92</v>
      </c>
      <c r="J458" s="7" t="s">
        <v>93</v>
      </c>
      <c r="K458" s="6" t="s">
        <v>26</v>
      </c>
      <c r="L458" s="7" t="s">
        <v>2156</v>
      </c>
      <c r="M458" s="7" t="s">
        <v>2157</v>
      </c>
      <c r="N458" s="9">
        <v>36052.0</v>
      </c>
    </row>
    <row r="459" ht="19.5" customHeight="1">
      <c r="A459" s="6" t="s">
        <v>2158</v>
      </c>
      <c r="B459" s="7" t="s">
        <v>6</v>
      </c>
      <c r="C459" s="7" t="s">
        <v>2159</v>
      </c>
      <c r="D459" s="7" t="s">
        <v>6</v>
      </c>
      <c r="E459" s="7" t="s">
        <v>45</v>
      </c>
      <c r="F459" s="6" t="s">
        <v>46</v>
      </c>
      <c r="G459" s="7" t="s">
        <v>47</v>
      </c>
      <c r="H459" s="7" t="s">
        <v>48</v>
      </c>
      <c r="I459" s="6" t="s">
        <v>92</v>
      </c>
      <c r="J459" s="7" t="s">
        <v>93</v>
      </c>
      <c r="K459" s="6" t="s">
        <v>81</v>
      </c>
      <c r="L459" s="7" t="s">
        <v>2160</v>
      </c>
      <c r="M459" s="7" t="s">
        <v>6</v>
      </c>
      <c r="N459" s="9">
        <v>35721.0</v>
      </c>
    </row>
    <row r="460" ht="19.5" customHeight="1">
      <c r="A460" s="6" t="s">
        <v>2161</v>
      </c>
      <c r="B460" s="7" t="s">
        <v>6</v>
      </c>
      <c r="C460" s="7" t="s">
        <v>2162</v>
      </c>
      <c r="D460" s="7" t="s">
        <v>6</v>
      </c>
      <c r="E460" s="7" t="s">
        <v>45</v>
      </c>
      <c r="F460" s="6" t="s">
        <v>46</v>
      </c>
      <c r="G460" s="7" t="s">
        <v>1707</v>
      </c>
      <c r="H460" s="7" t="s">
        <v>48</v>
      </c>
      <c r="I460" s="6" t="s">
        <v>193</v>
      </c>
      <c r="J460" s="7" t="s">
        <v>200</v>
      </c>
      <c r="K460" s="6" t="s">
        <v>26</v>
      </c>
      <c r="L460" s="7" t="s">
        <v>2163</v>
      </c>
      <c r="M460" s="7" t="s">
        <v>2164</v>
      </c>
      <c r="N460" s="9">
        <v>35334.0</v>
      </c>
    </row>
    <row r="461" ht="19.5" customHeight="1">
      <c r="A461" s="6" t="s">
        <v>2165</v>
      </c>
      <c r="B461" s="7" t="s">
        <v>6</v>
      </c>
      <c r="C461" s="7" t="s">
        <v>2166</v>
      </c>
      <c r="D461" s="7" t="s">
        <v>6</v>
      </c>
      <c r="E461" s="7" t="s">
        <v>45</v>
      </c>
      <c r="F461" s="6" t="s">
        <v>46</v>
      </c>
      <c r="G461" s="7" t="s">
        <v>47</v>
      </c>
      <c r="H461" s="7" t="s">
        <v>48</v>
      </c>
      <c r="I461" s="6" t="s">
        <v>198</v>
      </c>
      <c r="J461" s="7" t="s">
        <v>337</v>
      </c>
      <c r="K461" s="6" t="s">
        <v>26</v>
      </c>
      <c r="L461" s="7" t="s">
        <v>2167</v>
      </c>
      <c r="M461" s="7" t="s">
        <v>2168</v>
      </c>
      <c r="N461" s="9">
        <v>35599.0</v>
      </c>
    </row>
    <row r="462" ht="19.5" customHeight="1">
      <c r="A462" s="6" t="s">
        <v>2169</v>
      </c>
      <c r="B462" s="7" t="s">
        <v>6</v>
      </c>
      <c r="C462" s="7" t="s">
        <v>2170</v>
      </c>
      <c r="D462" s="7" t="s">
        <v>6</v>
      </c>
      <c r="E462" s="7" t="s">
        <v>45</v>
      </c>
      <c r="F462" s="6" t="s">
        <v>46</v>
      </c>
      <c r="G462" s="7" t="s">
        <v>47</v>
      </c>
      <c r="H462" s="7" t="s">
        <v>48</v>
      </c>
      <c r="I462" s="6" t="s">
        <v>193</v>
      </c>
      <c r="J462" s="7" t="s">
        <v>200</v>
      </c>
      <c r="K462" s="6" t="s">
        <v>26</v>
      </c>
      <c r="L462" s="7" t="s">
        <v>2171</v>
      </c>
      <c r="M462" s="7" t="s">
        <v>6</v>
      </c>
      <c r="N462" s="9">
        <v>35257.0</v>
      </c>
    </row>
    <row r="463" ht="19.5" customHeight="1">
      <c r="A463" s="6" t="s">
        <v>2172</v>
      </c>
      <c r="B463" s="7" t="s">
        <v>6</v>
      </c>
      <c r="C463" s="7" t="s">
        <v>2173</v>
      </c>
      <c r="D463" s="7" t="s">
        <v>6</v>
      </c>
      <c r="E463" s="7" t="s">
        <v>45</v>
      </c>
      <c r="F463" s="6" t="s">
        <v>46</v>
      </c>
      <c r="G463" s="7" t="s">
        <v>47</v>
      </c>
      <c r="H463" s="7" t="s">
        <v>48</v>
      </c>
      <c r="I463" s="6" t="s">
        <v>198</v>
      </c>
      <c r="J463" s="7" t="s">
        <v>337</v>
      </c>
      <c r="K463" s="6" t="s">
        <v>26</v>
      </c>
      <c r="L463" s="7" t="s">
        <v>2174</v>
      </c>
      <c r="M463" s="7" t="s">
        <v>2175</v>
      </c>
      <c r="N463" s="9">
        <v>35441.0</v>
      </c>
    </row>
    <row r="464" ht="19.5" customHeight="1">
      <c r="A464" s="6" t="s">
        <v>2176</v>
      </c>
      <c r="B464" s="7" t="s">
        <v>6</v>
      </c>
      <c r="C464" s="7" t="s">
        <v>2177</v>
      </c>
      <c r="D464" s="7" t="s">
        <v>6</v>
      </c>
      <c r="E464" s="7" t="s">
        <v>45</v>
      </c>
      <c r="F464" s="6" t="s">
        <v>46</v>
      </c>
      <c r="G464" s="7" t="s">
        <v>47</v>
      </c>
      <c r="H464" s="7" t="s">
        <v>48</v>
      </c>
      <c r="I464" s="6" t="s">
        <v>92</v>
      </c>
      <c r="J464" s="7" t="s">
        <v>93</v>
      </c>
      <c r="K464" s="6" t="s">
        <v>26</v>
      </c>
      <c r="L464" s="7" t="s">
        <v>2178</v>
      </c>
      <c r="M464" s="7" t="s">
        <v>6</v>
      </c>
      <c r="N464" s="9">
        <v>35843.0</v>
      </c>
    </row>
    <row r="465" ht="19.5" customHeight="1">
      <c r="A465" s="6" t="s">
        <v>2179</v>
      </c>
      <c r="B465" s="7" t="s">
        <v>6</v>
      </c>
      <c r="C465" s="7" t="s">
        <v>2180</v>
      </c>
      <c r="D465" s="7" t="s">
        <v>6</v>
      </c>
      <c r="E465" s="7" t="s">
        <v>45</v>
      </c>
      <c r="F465" s="6" t="s">
        <v>46</v>
      </c>
      <c r="G465" s="7" t="s">
        <v>47</v>
      </c>
      <c r="H465" s="7" t="s">
        <v>23</v>
      </c>
      <c r="I465" s="6" t="s">
        <v>92</v>
      </c>
      <c r="J465" s="7" t="s">
        <v>93</v>
      </c>
      <c r="K465" s="6" t="s">
        <v>81</v>
      </c>
      <c r="L465" s="7" t="s">
        <v>2181</v>
      </c>
      <c r="M465" s="7" t="s">
        <v>2182</v>
      </c>
      <c r="N465" s="9">
        <v>35767.0</v>
      </c>
    </row>
    <row r="466" ht="19.5" customHeight="1">
      <c r="A466" s="6" t="s">
        <v>2183</v>
      </c>
      <c r="B466" s="7" t="s">
        <v>6</v>
      </c>
      <c r="C466" s="7" t="s">
        <v>2184</v>
      </c>
      <c r="D466" s="7" t="s">
        <v>6</v>
      </c>
      <c r="E466" s="7" t="s">
        <v>45</v>
      </c>
      <c r="F466" s="6" t="s">
        <v>46</v>
      </c>
      <c r="G466" s="7" t="s">
        <v>47</v>
      </c>
      <c r="H466" s="7" t="s">
        <v>48</v>
      </c>
      <c r="I466" s="6" t="s">
        <v>92</v>
      </c>
      <c r="J466" s="7" t="s">
        <v>93</v>
      </c>
      <c r="K466" s="6" t="s">
        <v>26</v>
      </c>
      <c r="L466" s="7" t="s">
        <v>2185</v>
      </c>
      <c r="M466" s="7" t="s">
        <v>6</v>
      </c>
      <c r="N466" s="9">
        <v>35917.0</v>
      </c>
    </row>
    <row r="467" ht="19.5" customHeight="1">
      <c r="A467" s="6" t="s">
        <v>2186</v>
      </c>
      <c r="B467" s="7" t="s">
        <v>6</v>
      </c>
      <c r="C467" s="7" t="s">
        <v>2187</v>
      </c>
      <c r="D467" s="7" t="s">
        <v>6</v>
      </c>
      <c r="E467" s="7" t="s">
        <v>45</v>
      </c>
      <c r="F467" s="6" t="s">
        <v>46</v>
      </c>
      <c r="G467" s="7" t="s">
        <v>47</v>
      </c>
      <c r="H467" s="7" t="s">
        <v>48</v>
      </c>
      <c r="I467" s="6" t="s">
        <v>198</v>
      </c>
      <c r="J467" s="7" t="s">
        <v>337</v>
      </c>
      <c r="K467" s="6" t="s">
        <v>26</v>
      </c>
      <c r="L467" s="7" t="s">
        <v>2188</v>
      </c>
      <c r="M467" s="7" t="s">
        <v>2189</v>
      </c>
      <c r="N467" s="9">
        <v>35603.0</v>
      </c>
    </row>
    <row r="468" ht="19.5" customHeight="1">
      <c r="A468" s="6" t="s">
        <v>2190</v>
      </c>
      <c r="B468" s="7" t="s">
        <v>6</v>
      </c>
      <c r="C468" s="7" t="s">
        <v>2191</v>
      </c>
      <c r="D468" s="7" t="s">
        <v>6</v>
      </c>
      <c r="E468" s="7" t="s">
        <v>45</v>
      </c>
      <c r="F468" s="6" t="s">
        <v>46</v>
      </c>
      <c r="G468" s="7" t="s">
        <v>47</v>
      </c>
      <c r="H468" s="7" t="s">
        <v>48</v>
      </c>
      <c r="I468" s="6" t="s">
        <v>92</v>
      </c>
      <c r="J468" s="7" t="s">
        <v>93</v>
      </c>
      <c r="K468" s="6" t="s">
        <v>81</v>
      </c>
      <c r="L468" s="7" t="s">
        <v>2192</v>
      </c>
      <c r="M468" s="7" t="s">
        <v>2193</v>
      </c>
      <c r="N468" s="9">
        <v>35778.0</v>
      </c>
    </row>
    <row r="469" ht="19.5" customHeight="1">
      <c r="A469" s="6" t="s">
        <v>2194</v>
      </c>
      <c r="B469" s="7" t="s">
        <v>6</v>
      </c>
      <c r="C469" s="7" t="s">
        <v>2195</v>
      </c>
      <c r="D469" s="7" t="s">
        <v>6</v>
      </c>
      <c r="E469" s="7" t="s">
        <v>45</v>
      </c>
      <c r="F469" s="6" t="s">
        <v>46</v>
      </c>
      <c r="G469" s="7" t="s">
        <v>47</v>
      </c>
      <c r="H469" s="7" t="s">
        <v>48</v>
      </c>
      <c r="I469" s="6" t="s">
        <v>92</v>
      </c>
      <c r="J469" s="7" t="s">
        <v>93</v>
      </c>
      <c r="K469" s="6" t="s">
        <v>26</v>
      </c>
      <c r="L469" s="7" t="s">
        <v>2196</v>
      </c>
      <c r="M469" s="7" t="s">
        <v>2197</v>
      </c>
      <c r="N469" s="9">
        <v>35834.0</v>
      </c>
    </row>
    <row r="470" ht="19.5" customHeight="1">
      <c r="A470" s="6" t="s">
        <v>2198</v>
      </c>
      <c r="B470" s="7" t="s">
        <v>6</v>
      </c>
      <c r="C470" s="7" t="s">
        <v>2199</v>
      </c>
      <c r="D470" s="7" t="s">
        <v>6</v>
      </c>
      <c r="E470" s="7" t="s">
        <v>45</v>
      </c>
      <c r="F470" s="6" t="s">
        <v>46</v>
      </c>
      <c r="G470" s="7" t="s">
        <v>47</v>
      </c>
      <c r="H470" s="7" t="s">
        <v>48</v>
      </c>
      <c r="I470" s="6" t="s">
        <v>92</v>
      </c>
      <c r="J470" s="7" t="s">
        <v>93</v>
      </c>
      <c r="K470" s="6" t="s">
        <v>81</v>
      </c>
      <c r="L470" s="7" t="s">
        <v>2200</v>
      </c>
      <c r="M470" s="7" t="s">
        <v>2201</v>
      </c>
      <c r="N470" s="9">
        <v>35737.0</v>
      </c>
    </row>
    <row r="471" ht="19.5" customHeight="1">
      <c r="A471" s="6" t="s">
        <v>2202</v>
      </c>
      <c r="B471" s="7" t="s">
        <v>6</v>
      </c>
      <c r="C471" s="7" t="s">
        <v>2203</v>
      </c>
      <c r="D471" s="7" t="s">
        <v>6</v>
      </c>
      <c r="E471" s="7" t="s">
        <v>45</v>
      </c>
      <c r="F471" s="6" t="s">
        <v>46</v>
      </c>
      <c r="G471" s="7" t="s">
        <v>47</v>
      </c>
      <c r="H471" s="7" t="s">
        <v>48</v>
      </c>
      <c r="I471" s="6" t="s">
        <v>198</v>
      </c>
      <c r="J471" s="7" t="s">
        <v>337</v>
      </c>
      <c r="K471" s="6" t="s">
        <v>26</v>
      </c>
      <c r="L471" s="7" t="s">
        <v>2204</v>
      </c>
      <c r="M471" s="7" t="s">
        <v>2205</v>
      </c>
      <c r="N471" s="9">
        <v>35676.0</v>
      </c>
    </row>
    <row r="472" ht="19.5" customHeight="1">
      <c r="A472" s="6" t="s">
        <v>2206</v>
      </c>
      <c r="B472" s="7" t="s">
        <v>6</v>
      </c>
      <c r="C472" s="7" t="s">
        <v>2207</v>
      </c>
      <c r="D472" s="7" t="s">
        <v>6</v>
      </c>
      <c r="E472" s="7" t="s">
        <v>45</v>
      </c>
      <c r="F472" s="6" t="s">
        <v>46</v>
      </c>
      <c r="G472" s="7" t="s">
        <v>47</v>
      </c>
      <c r="H472" s="7" t="s">
        <v>48</v>
      </c>
      <c r="I472" s="6" t="s">
        <v>198</v>
      </c>
      <c r="J472" s="7" t="s">
        <v>337</v>
      </c>
      <c r="K472" s="6" t="s">
        <v>26</v>
      </c>
      <c r="L472" s="7" t="s">
        <v>2208</v>
      </c>
      <c r="M472" s="7" t="s">
        <v>2209</v>
      </c>
      <c r="N472" s="9">
        <v>35650.0</v>
      </c>
    </row>
    <row r="473" ht="19.5" customHeight="1">
      <c r="A473" s="6" t="s">
        <v>2210</v>
      </c>
      <c r="B473" s="7" t="s">
        <v>6</v>
      </c>
      <c r="C473" s="7" t="s">
        <v>2211</v>
      </c>
      <c r="D473" s="7" t="s">
        <v>6</v>
      </c>
      <c r="E473" s="7" t="s">
        <v>45</v>
      </c>
      <c r="F473" s="6" t="s">
        <v>46</v>
      </c>
      <c r="G473" s="7" t="s">
        <v>47</v>
      </c>
      <c r="H473" s="7" t="s">
        <v>48</v>
      </c>
      <c r="I473" s="6" t="s">
        <v>92</v>
      </c>
      <c r="J473" s="7" t="s">
        <v>93</v>
      </c>
      <c r="K473" s="6" t="s">
        <v>26</v>
      </c>
      <c r="L473" s="7" t="s">
        <v>2212</v>
      </c>
      <c r="M473" s="7" t="s">
        <v>2213</v>
      </c>
      <c r="N473" s="9">
        <v>35828.0</v>
      </c>
    </row>
    <row r="474" ht="19.5" customHeight="1">
      <c r="A474" s="6" t="s">
        <v>2214</v>
      </c>
      <c r="B474" s="7" t="s">
        <v>6</v>
      </c>
      <c r="C474" s="7" t="s">
        <v>2215</v>
      </c>
      <c r="D474" s="7" t="s">
        <v>6</v>
      </c>
      <c r="E474" s="7" t="s">
        <v>45</v>
      </c>
      <c r="F474" s="6" t="s">
        <v>46</v>
      </c>
      <c r="G474" s="7" t="s">
        <v>47</v>
      </c>
      <c r="H474" s="7" t="s">
        <v>48</v>
      </c>
      <c r="I474" s="6" t="s">
        <v>92</v>
      </c>
      <c r="J474" s="7" t="s">
        <v>93</v>
      </c>
      <c r="K474" s="6" t="s">
        <v>81</v>
      </c>
      <c r="L474" s="7" t="s">
        <v>2216</v>
      </c>
      <c r="M474" s="7" t="s">
        <v>2217</v>
      </c>
      <c r="N474" s="9">
        <v>35789.0</v>
      </c>
    </row>
    <row r="475" ht="19.5" customHeight="1">
      <c r="A475" s="6" t="s">
        <v>2218</v>
      </c>
      <c r="B475" s="7" t="s">
        <v>6</v>
      </c>
      <c r="C475" s="7" t="s">
        <v>2219</v>
      </c>
      <c r="D475" s="7" t="s">
        <v>6</v>
      </c>
      <c r="E475" s="7" t="s">
        <v>45</v>
      </c>
      <c r="F475" s="6" t="s">
        <v>46</v>
      </c>
      <c r="G475" s="7" t="s">
        <v>47</v>
      </c>
      <c r="H475" s="7" t="s">
        <v>48</v>
      </c>
      <c r="I475" s="6" t="s">
        <v>92</v>
      </c>
      <c r="J475" s="7" t="s">
        <v>93</v>
      </c>
      <c r="K475" s="6" t="s">
        <v>26</v>
      </c>
      <c r="L475" s="7" t="s">
        <v>2220</v>
      </c>
      <c r="M475" s="7" t="s">
        <v>2221</v>
      </c>
      <c r="N475" s="9">
        <v>35966.0</v>
      </c>
    </row>
    <row r="476" ht="19.5" customHeight="1">
      <c r="A476" s="6" t="s">
        <v>2222</v>
      </c>
      <c r="B476" s="7" t="s">
        <v>6</v>
      </c>
      <c r="C476" s="7" t="s">
        <v>2223</v>
      </c>
      <c r="D476" s="7" t="s">
        <v>6</v>
      </c>
      <c r="E476" s="7" t="s">
        <v>45</v>
      </c>
      <c r="F476" s="6" t="s">
        <v>46</v>
      </c>
      <c r="G476" s="7" t="s">
        <v>47</v>
      </c>
      <c r="H476" s="7" t="s">
        <v>48</v>
      </c>
      <c r="I476" s="6" t="s">
        <v>92</v>
      </c>
      <c r="J476" s="7" t="s">
        <v>93</v>
      </c>
      <c r="K476" s="6" t="s">
        <v>81</v>
      </c>
      <c r="L476" s="7" t="s">
        <v>2224</v>
      </c>
      <c r="M476" s="7" t="s">
        <v>2225</v>
      </c>
      <c r="N476" s="9">
        <v>35734.0</v>
      </c>
    </row>
    <row r="477" ht="19.5" customHeight="1">
      <c r="A477" s="6" t="s">
        <v>2226</v>
      </c>
      <c r="B477" s="7" t="s">
        <v>6</v>
      </c>
      <c r="C477" s="7" t="s">
        <v>2227</v>
      </c>
      <c r="D477" s="7" t="s">
        <v>6</v>
      </c>
      <c r="E477" s="7" t="s">
        <v>45</v>
      </c>
      <c r="F477" s="6" t="s">
        <v>46</v>
      </c>
      <c r="G477" s="7" t="s">
        <v>47</v>
      </c>
      <c r="H477" s="7" t="s">
        <v>48</v>
      </c>
      <c r="I477" s="6" t="s">
        <v>198</v>
      </c>
      <c r="J477" s="7" t="s">
        <v>337</v>
      </c>
      <c r="K477" s="6" t="s">
        <v>81</v>
      </c>
      <c r="L477" s="7" t="s">
        <v>2228</v>
      </c>
      <c r="M477" s="7" t="s">
        <v>2229</v>
      </c>
      <c r="N477" s="9">
        <v>35426.0</v>
      </c>
    </row>
    <row r="478" ht="19.5" customHeight="1">
      <c r="A478" s="6" t="s">
        <v>2230</v>
      </c>
      <c r="B478" s="7" t="s">
        <v>6</v>
      </c>
      <c r="C478" s="7" t="s">
        <v>2231</v>
      </c>
      <c r="D478" s="7" t="s">
        <v>6</v>
      </c>
      <c r="E478" s="7" t="s">
        <v>45</v>
      </c>
      <c r="F478" s="6" t="s">
        <v>46</v>
      </c>
      <c r="G478" s="7" t="s">
        <v>2232</v>
      </c>
      <c r="H478" s="7" t="s">
        <v>48</v>
      </c>
      <c r="I478" s="6" t="s">
        <v>92</v>
      </c>
      <c r="J478" s="7" t="s">
        <v>93</v>
      </c>
      <c r="K478" s="6" t="s">
        <v>81</v>
      </c>
      <c r="L478" s="7" t="s">
        <v>2233</v>
      </c>
      <c r="M478" s="7" t="s">
        <v>2234</v>
      </c>
      <c r="N478" s="9">
        <v>35725.0</v>
      </c>
    </row>
    <row r="479" ht="19.5" customHeight="1">
      <c r="A479" s="6" t="s">
        <v>2235</v>
      </c>
      <c r="B479" s="7" t="s">
        <v>6</v>
      </c>
      <c r="C479" s="7" t="s">
        <v>2236</v>
      </c>
      <c r="D479" s="7" t="s">
        <v>6</v>
      </c>
      <c r="E479" s="7" t="s">
        <v>45</v>
      </c>
      <c r="F479" s="6" t="s">
        <v>46</v>
      </c>
      <c r="G479" s="7" t="s">
        <v>47</v>
      </c>
      <c r="H479" s="7" t="s">
        <v>48</v>
      </c>
      <c r="I479" s="6" t="s">
        <v>124</v>
      </c>
      <c r="J479" s="7" t="s">
        <v>125</v>
      </c>
      <c r="K479" s="6" t="s">
        <v>26</v>
      </c>
      <c r="L479" s="7" t="s">
        <v>2237</v>
      </c>
      <c r="M479" s="7" t="s">
        <v>2238</v>
      </c>
      <c r="N479" s="9">
        <v>32875.0</v>
      </c>
    </row>
    <row r="480" ht="19.5" customHeight="1">
      <c r="A480" s="6" t="s">
        <v>2239</v>
      </c>
      <c r="B480" s="7" t="s">
        <v>6</v>
      </c>
      <c r="C480" s="7" t="s">
        <v>2240</v>
      </c>
      <c r="D480" s="7" t="s">
        <v>6</v>
      </c>
      <c r="E480" s="7" t="s">
        <v>45</v>
      </c>
      <c r="F480" s="6" t="s">
        <v>46</v>
      </c>
      <c r="G480" s="7" t="s">
        <v>684</v>
      </c>
      <c r="H480" s="7" t="s">
        <v>23</v>
      </c>
      <c r="I480" s="6" t="s">
        <v>124</v>
      </c>
      <c r="J480" s="7" t="s">
        <v>125</v>
      </c>
      <c r="K480" s="6" t="s">
        <v>26</v>
      </c>
      <c r="L480" s="7" t="s">
        <v>2241</v>
      </c>
      <c r="M480" s="7" t="s">
        <v>2242</v>
      </c>
      <c r="N480" s="9">
        <v>32915.0</v>
      </c>
    </row>
    <row r="481" ht="19.5" customHeight="1">
      <c r="A481" s="6" t="s">
        <v>2243</v>
      </c>
      <c r="B481" s="7" t="s">
        <v>6</v>
      </c>
      <c r="C481" s="7" t="s">
        <v>2244</v>
      </c>
      <c r="D481" s="7" t="s">
        <v>6</v>
      </c>
      <c r="E481" s="7" t="s">
        <v>45</v>
      </c>
      <c r="F481" s="6" t="s">
        <v>46</v>
      </c>
      <c r="G481" s="7" t="s">
        <v>2245</v>
      </c>
      <c r="H481" s="7" t="s">
        <v>23</v>
      </c>
      <c r="I481" s="6" t="s">
        <v>140</v>
      </c>
      <c r="J481" s="7" t="s">
        <v>173</v>
      </c>
      <c r="K481" s="6" t="s">
        <v>26</v>
      </c>
      <c r="L481" s="7" t="s">
        <v>2246</v>
      </c>
      <c r="M481" s="7" t="s">
        <v>2247</v>
      </c>
      <c r="N481" s="9">
        <v>30338.0</v>
      </c>
    </row>
    <row r="482" ht="19.5" customHeight="1">
      <c r="A482" s="6" t="s">
        <v>2248</v>
      </c>
      <c r="B482" s="7" t="s">
        <v>6</v>
      </c>
      <c r="C482" s="7" t="s">
        <v>2249</v>
      </c>
      <c r="D482" s="7" t="s">
        <v>6</v>
      </c>
      <c r="E482" s="7" t="s">
        <v>45</v>
      </c>
      <c r="F482" s="6" t="s">
        <v>46</v>
      </c>
      <c r="G482" s="7" t="s">
        <v>47</v>
      </c>
      <c r="H482" s="7" t="s">
        <v>48</v>
      </c>
      <c r="I482" s="6" t="s">
        <v>184</v>
      </c>
      <c r="J482" s="7" t="s">
        <v>439</v>
      </c>
      <c r="K482" s="6" t="s">
        <v>81</v>
      </c>
      <c r="L482" s="7" t="s">
        <v>2250</v>
      </c>
      <c r="M482" s="7" t="s">
        <v>2251</v>
      </c>
      <c r="N482" s="9">
        <v>34251.0</v>
      </c>
    </row>
    <row r="483" ht="19.5" customHeight="1">
      <c r="A483" s="6" t="s">
        <v>2252</v>
      </c>
      <c r="B483" s="7" t="s">
        <v>6</v>
      </c>
      <c r="C483" s="7" t="s">
        <v>2253</v>
      </c>
      <c r="D483" s="7" t="s">
        <v>6</v>
      </c>
      <c r="E483" s="7" t="s">
        <v>45</v>
      </c>
      <c r="F483" s="6" t="s">
        <v>46</v>
      </c>
      <c r="G483" s="7" t="s">
        <v>2254</v>
      </c>
      <c r="H483" s="7" t="s">
        <v>48</v>
      </c>
      <c r="I483" s="6" t="s">
        <v>302</v>
      </c>
      <c r="J483" s="7" t="s">
        <v>2255</v>
      </c>
      <c r="K483" s="6" t="s">
        <v>26</v>
      </c>
      <c r="L483" s="7" t="s">
        <v>82</v>
      </c>
      <c r="M483" s="7" t="s">
        <v>2256</v>
      </c>
      <c r="N483" s="9">
        <v>43922.0</v>
      </c>
    </row>
    <row r="484" ht="19.5" customHeight="1">
      <c r="A484" s="6" t="s">
        <v>2257</v>
      </c>
      <c r="B484" s="7" t="s">
        <v>6</v>
      </c>
      <c r="C484" s="7" t="s">
        <v>2258</v>
      </c>
      <c r="D484" s="7" t="s">
        <v>6</v>
      </c>
      <c r="E484" s="7" t="s">
        <v>45</v>
      </c>
      <c r="F484" s="6" t="s">
        <v>46</v>
      </c>
      <c r="G484" s="7" t="s">
        <v>2259</v>
      </c>
      <c r="H484" s="7" t="s">
        <v>48</v>
      </c>
      <c r="I484" s="6" t="s">
        <v>290</v>
      </c>
      <c r="J484" s="7" t="s">
        <v>2260</v>
      </c>
      <c r="K484" s="6" t="s">
        <v>26</v>
      </c>
      <c r="L484" s="7" t="s">
        <v>2261</v>
      </c>
      <c r="M484" s="7" t="s">
        <v>6</v>
      </c>
      <c r="N484" s="9">
        <v>42767.0</v>
      </c>
    </row>
    <row r="485" ht="19.5" customHeight="1">
      <c r="A485" s="6" t="s">
        <v>2262</v>
      </c>
      <c r="B485" s="7" t="s">
        <v>6</v>
      </c>
      <c r="C485" s="7" t="s">
        <v>2263</v>
      </c>
      <c r="D485" s="7" t="s">
        <v>6</v>
      </c>
      <c r="E485" s="7" t="s">
        <v>45</v>
      </c>
      <c r="F485" s="6" t="s">
        <v>46</v>
      </c>
      <c r="G485" s="7" t="s">
        <v>1857</v>
      </c>
      <c r="H485" s="7" t="s">
        <v>23</v>
      </c>
      <c r="I485" s="6" t="s">
        <v>176</v>
      </c>
      <c r="J485" s="7" t="s">
        <v>428</v>
      </c>
      <c r="K485" s="6" t="s">
        <v>81</v>
      </c>
      <c r="L485" s="7" t="s">
        <v>2264</v>
      </c>
      <c r="M485" s="7" t="s">
        <v>2265</v>
      </c>
      <c r="N485" s="9">
        <v>33591.0</v>
      </c>
    </row>
    <row r="486" ht="19.5" customHeight="1">
      <c r="A486" s="6" t="s">
        <v>2266</v>
      </c>
      <c r="B486" s="7" t="s">
        <v>6</v>
      </c>
      <c r="C486" s="7" t="s">
        <v>2267</v>
      </c>
      <c r="D486" s="7" t="s">
        <v>6</v>
      </c>
      <c r="E486" s="7" t="s">
        <v>45</v>
      </c>
      <c r="F486" s="6" t="s">
        <v>46</v>
      </c>
      <c r="G486" s="7" t="s">
        <v>2268</v>
      </c>
      <c r="H486" s="7" t="s">
        <v>48</v>
      </c>
      <c r="I486" s="6" t="s">
        <v>176</v>
      </c>
      <c r="J486" s="7" t="s">
        <v>428</v>
      </c>
      <c r="K486" s="6" t="s">
        <v>26</v>
      </c>
      <c r="L486" s="7" t="s">
        <v>2269</v>
      </c>
      <c r="M486" s="7" t="s">
        <v>2270</v>
      </c>
      <c r="N486" s="9">
        <v>33833.0</v>
      </c>
    </row>
    <row r="487" ht="19.5" customHeight="1">
      <c r="A487" s="6" t="s">
        <v>2271</v>
      </c>
      <c r="B487" s="7" t="s">
        <v>6</v>
      </c>
      <c r="C487" s="7" t="s">
        <v>2272</v>
      </c>
      <c r="D487" s="7" t="s">
        <v>6</v>
      </c>
      <c r="E487" s="7" t="s">
        <v>45</v>
      </c>
      <c r="F487" s="6" t="s">
        <v>46</v>
      </c>
      <c r="G487" s="7" t="s">
        <v>47</v>
      </c>
      <c r="H487" s="7" t="s">
        <v>48</v>
      </c>
      <c r="I487" s="6" t="s">
        <v>131</v>
      </c>
      <c r="J487" s="7" t="s">
        <v>132</v>
      </c>
      <c r="K487" s="6" t="s">
        <v>26</v>
      </c>
      <c r="L487" s="7" t="s">
        <v>2273</v>
      </c>
      <c r="M487" s="7" t="s">
        <v>6</v>
      </c>
      <c r="N487" s="9">
        <v>36225.0</v>
      </c>
    </row>
    <row r="488" ht="19.5" customHeight="1">
      <c r="A488" s="6" t="s">
        <v>2274</v>
      </c>
      <c r="B488" s="7" t="s">
        <v>6</v>
      </c>
      <c r="C488" s="7" t="s">
        <v>2275</v>
      </c>
      <c r="D488" s="7" t="s">
        <v>6</v>
      </c>
      <c r="E488" s="7" t="s">
        <v>45</v>
      </c>
      <c r="F488" s="6" t="s">
        <v>46</v>
      </c>
      <c r="G488" s="7" t="s">
        <v>47</v>
      </c>
      <c r="H488" s="7" t="s">
        <v>23</v>
      </c>
      <c r="I488" s="6" t="s">
        <v>166</v>
      </c>
      <c r="J488" s="7" t="s">
        <v>167</v>
      </c>
      <c r="K488" s="6" t="s">
        <v>26</v>
      </c>
      <c r="L488" s="7" t="s">
        <v>2276</v>
      </c>
      <c r="M488" s="7" t="s">
        <v>2277</v>
      </c>
      <c r="N488" s="9">
        <v>36597.0</v>
      </c>
    </row>
    <row r="489" ht="19.5" customHeight="1">
      <c r="A489" s="6" t="s">
        <v>2278</v>
      </c>
      <c r="B489" s="7" t="s">
        <v>6</v>
      </c>
      <c r="C489" s="7" t="s">
        <v>2279</v>
      </c>
      <c r="D489" s="7" t="s">
        <v>6</v>
      </c>
      <c r="E489" s="7" t="s">
        <v>45</v>
      </c>
      <c r="F489" s="6" t="s">
        <v>46</v>
      </c>
      <c r="G489" s="7" t="s">
        <v>433</v>
      </c>
      <c r="H489" s="7" t="s">
        <v>48</v>
      </c>
      <c r="I489" s="6" t="s">
        <v>159</v>
      </c>
      <c r="J489" s="7" t="s">
        <v>1027</v>
      </c>
      <c r="K489" s="6" t="s">
        <v>26</v>
      </c>
      <c r="L489" s="7" t="s">
        <v>2280</v>
      </c>
      <c r="M489" s="7" t="s">
        <v>2281</v>
      </c>
      <c r="N489" s="9">
        <v>32034.0</v>
      </c>
    </row>
    <row r="490" ht="19.5" customHeight="1">
      <c r="A490" s="6" t="s">
        <v>2282</v>
      </c>
      <c r="B490" s="7" t="s">
        <v>6</v>
      </c>
      <c r="C490" s="7" t="s">
        <v>2283</v>
      </c>
      <c r="D490" s="7" t="s">
        <v>6</v>
      </c>
      <c r="E490" s="7" t="s">
        <v>45</v>
      </c>
      <c r="F490" s="6" t="s">
        <v>46</v>
      </c>
      <c r="G490" s="7" t="s">
        <v>2284</v>
      </c>
      <c r="H490" s="7" t="s">
        <v>48</v>
      </c>
      <c r="I490" s="6" t="s">
        <v>184</v>
      </c>
      <c r="J490" s="7" t="s">
        <v>439</v>
      </c>
      <c r="K490" s="6" t="s">
        <v>81</v>
      </c>
      <c r="L490" s="7" t="s">
        <v>2285</v>
      </c>
      <c r="M490" s="7" t="s">
        <v>2286</v>
      </c>
      <c r="N490" s="9">
        <v>34274.0</v>
      </c>
    </row>
    <row r="491" ht="19.5" customHeight="1">
      <c r="A491" s="6" t="s">
        <v>2287</v>
      </c>
      <c r="B491" s="7" t="s">
        <v>6</v>
      </c>
      <c r="C491" s="7" t="s">
        <v>2288</v>
      </c>
      <c r="D491" s="7" t="s">
        <v>6</v>
      </c>
      <c r="E491" s="7" t="s">
        <v>45</v>
      </c>
      <c r="F491" s="6" t="s">
        <v>46</v>
      </c>
      <c r="G491" s="7" t="s">
        <v>684</v>
      </c>
      <c r="H491" s="7" t="s">
        <v>48</v>
      </c>
      <c r="I491" s="6" t="s">
        <v>159</v>
      </c>
      <c r="J491" s="7" t="s">
        <v>1027</v>
      </c>
      <c r="K491" s="6" t="s">
        <v>26</v>
      </c>
      <c r="L491" s="7" t="s">
        <v>2289</v>
      </c>
      <c r="M491" s="7" t="s">
        <v>2290</v>
      </c>
      <c r="N491" s="9">
        <v>31839.0</v>
      </c>
    </row>
    <row r="492" ht="19.5" customHeight="1">
      <c r="A492" s="6" t="s">
        <v>2291</v>
      </c>
      <c r="B492" s="7" t="s">
        <v>6</v>
      </c>
      <c r="C492" s="7" t="s">
        <v>2292</v>
      </c>
      <c r="D492" s="7" t="s">
        <v>6</v>
      </c>
      <c r="E492" s="7" t="s">
        <v>45</v>
      </c>
      <c r="F492" s="6" t="s">
        <v>46</v>
      </c>
      <c r="G492" s="7" t="s">
        <v>2293</v>
      </c>
      <c r="H492" s="7" t="s">
        <v>48</v>
      </c>
      <c r="I492" s="6" t="s">
        <v>184</v>
      </c>
      <c r="J492" s="7" t="s">
        <v>439</v>
      </c>
      <c r="K492" s="6" t="s">
        <v>81</v>
      </c>
      <c r="L492" s="7" t="s">
        <v>2294</v>
      </c>
      <c r="M492" s="7" t="s">
        <v>2295</v>
      </c>
      <c r="N492" s="9">
        <v>34268.0</v>
      </c>
    </row>
    <row r="493" ht="19.5" customHeight="1">
      <c r="A493" s="6" t="s">
        <v>2296</v>
      </c>
      <c r="B493" s="7" t="s">
        <v>6</v>
      </c>
      <c r="C493" s="7" t="s">
        <v>2297</v>
      </c>
      <c r="D493" s="7" t="s">
        <v>6</v>
      </c>
      <c r="E493" s="7" t="s">
        <v>45</v>
      </c>
      <c r="F493" s="6" t="s">
        <v>46</v>
      </c>
      <c r="G493" s="7" t="s">
        <v>47</v>
      </c>
      <c r="H493" s="7" t="s">
        <v>48</v>
      </c>
      <c r="I493" s="6" t="s">
        <v>193</v>
      </c>
      <c r="J493" s="7" t="s">
        <v>200</v>
      </c>
      <c r="K493" s="6" t="s">
        <v>26</v>
      </c>
      <c r="L493" s="7" t="s">
        <v>2298</v>
      </c>
      <c r="M493" s="7" t="s">
        <v>6</v>
      </c>
      <c r="N493" s="9">
        <v>35158.0</v>
      </c>
    </row>
    <row r="494" ht="19.5" customHeight="1">
      <c r="A494" s="6" t="s">
        <v>2299</v>
      </c>
      <c r="B494" s="7" t="s">
        <v>6</v>
      </c>
      <c r="C494" s="7" t="s">
        <v>2300</v>
      </c>
      <c r="D494" s="7" t="s">
        <v>6</v>
      </c>
      <c r="E494" s="7" t="s">
        <v>45</v>
      </c>
      <c r="F494" s="6" t="s">
        <v>46</v>
      </c>
      <c r="G494" s="7" t="s">
        <v>2301</v>
      </c>
      <c r="H494" s="7" t="s">
        <v>23</v>
      </c>
      <c r="I494" s="6" t="s">
        <v>112</v>
      </c>
      <c r="J494" s="7" t="s">
        <v>113</v>
      </c>
      <c r="K494" s="6" t="s">
        <v>26</v>
      </c>
      <c r="L494" s="7" t="s">
        <v>2302</v>
      </c>
      <c r="M494" s="7" t="s">
        <v>2303</v>
      </c>
      <c r="N494" s="9">
        <v>32562.0</v>
      </c>
    </row>
    <row r="495" ht="19.5" customHeight="1">
      <c r="A495" s="6" t="s">
        <v>2304</v>
      </c>
      <c r="B495" s="7" t="s">
        <v>6</v>
      </c>
      <c r="C495" s="7" t="s">
        <v>2305</v>
      </c>
      <c r="D495" s="7" t="s">
        <v>6</v>
      </c>
      <c r="E495" s="7" t="s">
        <v>45</v>
      </c>
      <c r="F495" s="6" t="s">
        <v>46</v>
      </c>
      <c r="G495" s="7" t="s">
        <v>47</v>
      </c>
      <c r="H495" s="7" t="s">
        <v>48</v>
      </c>
      <c r="I495" s="6" t="s">
        <v>170</v>
      </c>
      <c r="J495" s="7" t="s">
        <v>409</v>
      </c>
      <c r="K495" s="6" t="s">
        <v>26</v>
      </c>
      <c r="L495" s="7" t="s">
        <v>2306</v>
      </c>
      <c r="M495" s="7" t="s">
        <v>2307</v>
      </c>
      <c r="N495" s="9">
        <v>33268.0</v>
      </c>
    </row>
    <row r="496" ht="19.5" customHeight="1">
      <c r="A496" s="6" t="s">
        <v>2308</v>
      </c>
      <c r="B496" s="7" t="s">
        <v>6</v>
      </c>
      <c r="C496" s="7" t="s">
        <v>2309</v>
      </c>
      <c r="D496" s="7" t="s">
        <v>6</v>
      </c>
      <c r="E496" s="7" t="s">
        <v>45</v>
      </c>
      <c r="F496" s="6" t="s">
        <v>46</v>
      </c>
      <c r="G496" s="7" t="s">
        <v>47</v>
      </c>
      <c r="H496" s="7" t="s">
        <v>48</v>
      </c>
      <c r="I496" s="6" t="s">
        <v>170</v>
      </c>
      <c r="J496" s="7" t="s">
        <v>409</v>
      </c>
      <c r="K496" s="6" t="s">
        <v>26</v>
      </c>
      <c r="L496" s="7" t="s">
        <v>2310</v>
      </c>
      <c r="M496" s="7" t="s">
        <v>6</v>
      </c>
      <c r="N496" s="9">
        <v>33339.0</v>
      </c>
    </row>
    <row r="497" ht="19.5" customHeight="1">
      <c r="A497" s="6" t="s">
        <v>2311</v>
      </c>
      <c r="B497" s="7" t="s">
        <v>6</v>
      </c>
      <c r="C497" s="7" t="s">
        <v>2312</v>
      </c>
      <c r="D497" s="7" t="s">
        <v>6</v>
      </c>
      <c r="E497" s="7" t="s">
        <v>45</v>
      </c>
      <c r="F497" s="6" t="s">
        <v>46</v>
      </c>
      <c r="G497" s="7" t="s">
        <v>47</v>
      </c>
      <c r="H497" s="7" t="s">
        <v>48</v>
      </c>
      <c r="I497" s="6" t="s">
        <v>189</v>
      </c>
      <c r="J497" s="7" t="s">
        <v>210</v>
      </c>
      <c r="K497" s="6" t="s">
        <v>26</v>
      </c>
      <c r="L497" s="7" t="s">
        <v>2313</v>
      </c>
      <c r="M497" s="7" t="s">
        <v>2314</v>
      </c>
      <c r="N497" s="9">
        <v>34932.0</v>
      </c>
    </row>
    <row r="498" ht="19.5" customHeight="1">
      <c r="A498" s="6" t="s">
        <v>2315</v>
      </c>
      <c r="B498" s="7" t="s">
        <v>6</v>
      </c>
      <c r="C498" s="7" t="s">
        <v>2316</v>
      </c>
      <c r="D498" s="7" t="s">
        <v>6</v>
      </c>
      <c r="E498" s="7" t="s">
        <v>45</v>
      </c>
      <c r="F498" s="6" t="s">
        <v>46</v>
      </c>
      <c r="G498" s="7" t="s">
        <v>433</v>
      </c>
      <c r="H498" s="7" t="s">
        <v>48</v>
      </c>
      <c r="I498" s="6" t="s">
        <v>124</v>
      </c>
      <c r="J498" s="7" t="s">
        <v>125</v>
      </c>
      <c r="K498" s="6" t="s">
        <v>26</v>
      </c>
      <c r="L498" s="7" t="s">
        <v>2317</v>
      </c>
      <c r="M498" s="7" t="s">
        <v>2318</v>
      </c>
      <c r="N498" s="9">
        <v>32916.0</v>
      </c>
    </row>
    <row r="499" ht="19.5" customHeight="1">
      <c r="A499" s="6" t="s">
        <v>2319</v>
      </c>
      <c r="B499" s="7" t="s">
        <v>6</v>
      </c>
      <c r="C499" s="7" t="s">
        <v>2320</v>
      </c>
      <c r="D499" s="7" t="s">
        <v>6</v>
      </c>
      <c r="E499" s="7" t="s">
        <v>45</v>
      </c>
      <c r="F499" s="6" t="s">
        <v>46</v>
      </c>
      <c r="G499" s="7" t="s">
        <v>47</v>
      </c>
      <c r="H499" s="7" t="s">
        <v>48</v>
      </c>
      <c r="I499" s="6" t="s">
        <v>189</v>
      </c>
      <c r="J499" s="7" t="s">
        <v>210</v>
      </c>
      <c r="K499" s="6" t="s">
        <v>26</v>
      </c>
      <c r="L499" s="7" t="s">
        <v>2321</v>
      </c>
      <c r="M499" s="7" t="s">
        <v>6</v>
      </c>
      <c r="N499" s="9">
        <v>34818.0</v>
      </c>
    </row>
    <row r="500" ht="19.5" customHeight="1">
      <c r="A500" s="6" t="s">
        <v>2322</v>
      </c>
      <c r="B500" s="7" t="s">
        <v>6</v>
      </c>
      <c r="C500" s="7" t="s">
        <v>2323</v>
      </c>
      <c r="D500" s="7" t="s">
        <v>6</v>
      </c>
      <c r="E500" s="7" t="s">
        <v>45</v>
      </c>
      <c r="F500" s="6" t="s">
        <v>46</v>
      </c>
      <c r="G500" s="7" t="s">
        <v>2324</v>
      </c>
      <c r="H500" s="7" t="s">
        <v>48</v>
      </c>
      <c r="I500" s="6" t="s">
        <v>124</v>
      </c>
      <c r="J500" s="7" t="s">
        <v>125</v>
      </c>
      <c r="K500" s="6" t="s">
        <v>26</v>
      </c>
      <c r="L500" s="7" t="s">
        <v>2325</v>
      </c>
      <c r="M500" s="7" t="s">
        <v>2326</v>
      </c>
      <c r="N500" s="9">
        <v>32942.0</v>
      </c>
    </row>
    <row r="501" ht="19.5" customHeight="1">
      <c r="A501" s="6" t="s">
        <v>2327</v>
      </c>
      <c r="B501" s="7" t="s">
        <v>6</v>
      </c>
      <c r="C501" s="7" t="s">
        <v>2328</v>
      </c>
      <c r="D501" s="7" t="s">
        <v>6</v>
      </c>
      <c r="E501" s="7" t="s">
        <v>45</v>
      </c>
      <c r="F501" s="6" t="s">
        <v>46</v>
      </c>
      <c r="G501" s="7" t="s">
        <v>2329</v>
      </c>
      <c r="H501" s="7" t="s">
        <v>23</v>
      </c>
      <c r="I501" s="6" t="s">
        <v>121</v>
      </c>
      <c r="J501" s="7" t="s">
        <v>471</v>
      </c>
      <c r="K501" s="6" t="s">
        <v>26</v>
      </c>
      <c r="L501" s="7" t="s">
        <v>2330</v>
      </c>
      <c r="M501" s="7" t="s">
        <v>2331</v>
      </c>
      <c r="N501" s="9">
        <v>28888.0</v>
      </c>
    </row>
    <row r="502" ht="19.5" customHeight="1">
      <c r="A502" s="6" t="s">
        <v>2332</v>
      </c>
      <c r="B502" s="7" t="s">
        <v>6</v>
      </c>
      <c r="C502" s="7" t="s">
        <v>2333</v>
      </c>
      <c r="D502" s="7" t="s">
        <v>6</v>
      </c>
      <c r="E502" s="7" t="s">
        <v>45</v>
      </c>
      <c r="F502" s="6" t="s">
        <v>46</v>
      </c>
      <c r="G502" s="7" t="s">
        <v>1628</v>
      </c>
      <c r="H502" s="7" t="s">
        <v>48</v>
      </c>
      <c r="I502" s="6" t="s">
        <v>131</v>
      </c>
      <c r="J502" s="7" t="s">
        <v>132</v>
      </c>
      <c r="K502" s="6" t="s">
        <v>81</v>
      </c>
      <c r="L502" s="7" t="s">
        <v>2334</v>
      </c>
      <c r="M502" s="7" t="s">
        <v>2335</v>
      </c>
      <c r="N502" s="9">
        <v>36103.0</v>
      </c>
    </row>
    <row r="503" ht="19.5" customHeight="1">
      <c r="A503" s="6" t="s">
        <v>2336</v>
      </c>
      <c r="B503" s="7" t="s">
        <v>6</v>
      </c>
      <c r="C503" s="7" t="s">
        <v>2337</v>
      </c>
      <c r="D503" s="7" t="s">
        <v>6</v>
      </c>
      <c r="E503" s="7" t="s">
        <v>45</v>
      </c>
      <c r="F503" s="6" t="s">
        <v>46</v>
      </c>
      <c r="G503" s="7" t="s">
        <v>47</v>
      </c>
      <c r="H503" s="7" t="s">
        <v>48</v>
      </c>
      <c r="I503" s="6" t="s">
        <v>184</v>
      </c>
      <c r="J503" s="7" t="s">
        <v>439</v>
      </c>
      <c r="K503" s="6" t="s">
        <v>26</v>
      </c>
      <c r="L503" s="7" t="s">
        <v>2338</v>
      </c>
      <c r="M503" s="7" t="s">
        <v>2339</v>
      </c>
      <c r="N503" s="9">
        <v>34394.0</v>
      </c>
    </row>
    <row r="504" ht="19.5" customHeight="1">
      <c r="A504" s="6" t="s">
        <v>2340</v>
      </c>
      <c r="B504" s="7" t="s">
        <v>6</v>
      </c>
      <c r="C504" s="7" t="s">
        <v>2342</v>
      </c>
      <c r="D504" s="7" t="s">
        <v>6</v>
      </c>
      <c r="E504" s="7" t="s">
        <v>45</v>
      </c>
      <c r="F504" s="6" t="s">
        <v>46</v>
      </c>
      <c r="G504" s="7" t="s">
        <v>2343</v>
      </c>
      <c r="H504" s="7" t="s">
        <v>23</v>
      </c>
      <c r="I504" s="6" t="s">
        <v>24</v>
      </c>
      <c r="J504" s="7" t="s">
        <v>25</v>
      </c>
      <c r="K504" s="6" t="s">
        <v>26</v>
      </c>
      <c r="L504" s="7" t="s">
        <v>2345</v>
      </c>
      <c r="M504" s="7" t="s">
        <v>2346</v>
      </c>
      <c r="N504" s="9">
        <v>34142.0</v>
      </c>
    </row>
    <row r="505" ht="19.5" customHeight="1">
      <c r="A505" s="6" t="s">
        <v>2347</v>
      </c>
      <c r="B505" s="7" t="s">
        <v>6</v>
      </c>
      <c r="C505" s="7" t="s">
        <v>2348</v>
      </c>
      <c r="D505" s="7" t="s">
        <v>6</v>
      </c>
      <c r="E505" s="7" t="s">
        <v>45</v>
      </c>
      <c r="F505" s="6" t="s">
        <v>46</v>
      </c>
      <c r="G505" s="7" t="s">
        <v>2349</v>
      </c>
      <c r="H505" s="7" t="s">
        <v>48</v>
      </c>
      <c r="I505" s="6" t="s">
        <v>184</v>
      </c>
      <c r="J505" s="7" t="s">
        <v>439</v>
      </c>
      <c r="K505" s="6" t="s">
        <v>81</v>
      </c>
      <c r="L505" s="7" t="s">
        <v>2350</v>
      </c>
      <c r="M505" s="7" t="s">
        <v>2351</v>
      </c>
      <c r="N505" s="9">
        <v>34292.0</v>
      </c>
    </row>
    <row r="506" ht="19.5" customHeight="1">
      <c r="A506" s="6" t="s">
        <v>2352</v>
      </c>
      <c r="B506" s="7" t="s">
        <v>6</v>
      </c>
      <c r="C506" s="7" t="s">
        <v>2353</v>
      </c>
      <c r="D506" s="7" t="s">
        <v>6</v>
      </c>
      <c r="E506" s="7" t="s">
        <v>45</v>
      </c>
      <c r="F506" s="6" t="s">
        <v>46</v>
      </c>
      <c r="G506" s="7" t="s">
        <v>2354</v>
      </c>
      <c r="H506" s="7" t="s">
        <v>48</v>
      </c>
      <c r="I506" s="6" t="s">
        <v>184</v>
      </c>
      <c r="J506" s="7" t="s">
        <v>439</v>
      </c>
      <c r="K506" s="6" t="s">
        <v>26</v>
      </c>
      <c r="L506" s="7" t="s">
        <v>2355</v>
      </c>
      <c r="M506" s="7" t="s">
        <v>2356</v>
      </c>
      <c r="N506" s="9">
        <v>34428.0</v>
      </c>
    </row>
    <row r="507" ht="19.5" customHeight="1">
      <c r="A507" s="6" t="s">
        <v>2357</v>
      </c>
      <c r="B507" s="7" t="s">
        <v>6</v>
      </c>
      <c r="C507" s="7" t="s">
        <v>2358</v>
      </c>
      <c r="D507" s="7" t="s">
        <v>6</v>
      </c>
      <c r="E507" s="7" t="s">
        <v>45</v>
      </c>
      <c r="F507" s="6" t="s">
        <v>46</v>
      </c>
      <c r="G507" s="7" t="s">
        <v>2359</v>
      </c>
      <c r="H507" s="7" t="s">
        <v>48</v>
      </c>
      <c r="I507" s="6" t="s">
        <v>128</v>
      </c>
      <c r="J507" s="7" t="s">
        <v>1978</v>
      </c>
      <c r="K507" s="6" t="s">
        <v>26</v>
      </c>
      <c r="L507" s="7" t="s">
        <v>2360</v>
      </c>
      <c r="M507" s="7" t="s">
        <v>2361</v>
      </c>
      <c r="N507" s="9">
        <v>29462.0</v>
      </c>
    </row>
    <row r="508" ht="19.5" customHeight="1">
      <c r="A508" s="6" t="s">
        <v>2362</v>
      </c>
      <c r="B508" s="7" t="s">
        <v>6</v>
      </c>
      <c r="C508" s="7" t="s">
        <v>2363</v>
      </c>
      <c r="D508" s="7" t="s">
        <v>6</v>
      </c>
      <c r="E508" s="7" t="s">
        <v>45</v>
      </c>
      <c r="F508" s="6" t="s">
        <v>46</v>
      </c>
      <c r="G508" s="7" t="s">
        <v>47</v>
      </c>
      <c r="H508" s="7" t="s">
        <v>48</v>
      </c>
      <c r="I508" s="6" t="s">
        <v>184</v>
      </c>
      <c r="J508" s="7" t="s">
        <v>439</v>
      </c>
      <c r="K508" s="6" t="s">
        <v>26</v>
      </c>
      <c r="L508" s="7" t="s">
        <v>2364</v>
      </c>
      <c r="M508" s="7" t="s">
        <v>6</v>
      </c>
      <c r="N508" s="9">
        <v>34339.0</v>
      </c>
    </row>
    <row r="509" ht="19.5" customHeight="1">
      <c r="A509" s="6" t="s">
        <v>2365</v>
      </c>
      <c r="B509" s="7" t="s">
        <v>6</v>
      </c>
      <c r="C509" s="7" t="s">
        <v>2366</v>
      </c>
      <c r="D509" s="7" t="s">
        <v>6</v>
      </c>
      <c r="E509" s="7" t="s">
        <v>45</v>
      </c>
      <c r="F509" s="6" t="s">
        <v>46</v>
      </c>
      <c r="G509" s="7" t="s">
        <v>2367</v>
      </c>
      <c r="H509" s="7" t="s">
        <v>23</v>
      </c>
      <c r="I509" s="6" t="s">
        <v>92</v>
      </c>
      <c r="J509" s="7" t="s">
        <v>93</v>
      </c>
      <c r="K509" s="6" t="s">
        <v>81</v>
      </c>
      <c r="L509" s="7" t="s">
        <v>2368</v>
      </c>
      <c r="M509" s="7" t="s">
        <v>6</v>
      </c>
      <c r="N509" s="9">
        <v>35789.0</v>
      </c>
    </row>
    <row r="510" ht="19.5" customHeight="1">
      <c r="A510" s="6" t="s">
        <v>2369</v>
      </c>
      <c r="B510" s="7" t="s">
        <v>6</v>
      </c>
      <c r="C510" s="7" t="s">
        <v>2370</v>
      </c>
      <c r="D510" s="7" t="s">
        <v>6</v>
      </c>
      <c r="E510" s="7" t="s">
        <v>45</v>
      </c>
      <c r="F510" s="6" t="s">
        <v>46</v>
      </c>
      <c r="G510" s="7" t="s">
        <v>2371</v>
      </c>
      <c r="H510" s="7" t="s">
        <v>48</v>
      </c>
      <c r="I510" s="6" t="s">
        <v>112</v>
      </c>
      <c r="J510" s="7" t="s">
        <v>113</v>
      </c>
      <c r="K510" s="6" t="s">
        <v>26</v>
      </c>
      <c r="L510" s="7" t="s">
        <v>2372</v>
      </c>
      <c r="M510" s="7" t="s">
        <v>2373</v>
      </c>
      <c r="N510" s="9">
        <v>32653.0</v>
      </c>
    </row>
    <row r="511" ht="19.5" customHeight="1">
      <c r="A511" s="6" t="s">
        <v>2374</v>
      </c>
      <c r="B511" s="7" t="s">
        <v>6</v>
      </c>
      <c r="C511" s="7" t="s">
        <v>2375</v>
      </c>
      <c r="D511" s="7" t="s">
        <v>6</v>
      </c>
      <c r="E511" s="7" t="s">
        <v>45</v>
      </c>
      <c r="F511" s="6" t="s">
        <v>46</v>
      </c>
      <c r="G511" s="7" t="s">
        <v>2376</v>
      </c>
      <c r="H511" s="7" t="s">
        <v>48</v>
      </c>
      <c r="I511" s="6" t="s">
        <v>198</v>
      </c>
      <c r="J511" s="7" t="s">
        <v>337</v>
      </c>
      <c r="K511" s="6" t="s">
        <v>26</v>
      </c>
      <c r="L511" s="7" t="s">
        <v>2377</v>
      </c>
      <c r="M511" s="7" t="s">
        <v>2378</v>
      </c>
      <c r="N511" s="9">
        <v>35550.0</v>
      </c>
    </row>
    <row r="512" ht="19.5" customHeight="1">
      <c r="A512" s="6" t="s">
        <v>2379</v>
      </c>
      <c r="B512" s="7" t="s">
        <v>6</v>
      </c>
      <c r="C512" s="7" t="s">
        <v>2380</v>
      </c>
      <c r="D512" s="7" t="s">
        <v>6</v>
      </c>
      <c r="E512" s="7" t="s">
        <v>45</v>
      </c>
      <c r="F512" s="6" t="s">
        <v>46</v>
      </c>
      <c r="G512" s="7" t="s">
        <v>47</v>
      </c>
      <c r="H512" s="7" t="s">
        <v>48</v>
      </c>
      <c r="I512" s="6" t="s">
        <v>39</v>
      </c>
      <c r="J512" s="7" t="s">
        <v>40</v>
      </c>
      <c r="K512" s="6" t="s">
        <v>26</v>
      </c>
      <c r="L512" s="7" t="s">
        <v>2381</v>
      </c>
      <c r="M512" s="7" t="s">
        <v>6</v>
      </c>
      <c r="N512" s="9">
        <v>30040.0</v>
      </c>
    </row>
    <row r="513" ht="19.5" customHeight="1">
      <c r="A513" s="6" t="s">
        <v>2382</v>
      </c>
      <c r="B513" s="7" t="s">
        <v>6</v>
      </c>
      <c r="C513" s="7" t="s">
        <v>2383</v>
      </c>
      <c r="D513" s="7" t="s">
        <v>6</v>
      </c>
      <c r="E513" s="7" t="s">
        <v>45</v>
      </c>
      <c r="F513" s="6" t="s">
        <v>46</v>
      </c>
      <c r="G513" s="7" t="s">
        <v>47</v>
      </c>
      <c r="H513" s="7" t="s">
        <v>48</v>
      </c>
      <c r="I513" s="6" t="s">
        <v>176</v>
      </c>
      <c r="J513" s="7" t="s">
        <v>428</v>
      </c>
      <c r="K513" s="6" t="s">
        <v>26</v>
      </c>
      <c r="L513" s="7" t="s">
        <v>2384</v>
      </c>
      <c r="M513" s="7" t="s">
        <v>6</v>
      </c>
      <c r="N513" s="9">
        <v>33633.0</v>
      </c>
    </row>
    <row r="514" ht="19.5" customHeight="1">
      <c r="A514" s="6" t="s">
        <v>2385</v>
      </c>
      <c r="B514" s="7" t="s">
        <v>6</v>
      </c>
      <c r="C514" s="7" t="s">
        <v>2386</v>
      </c>
      <c r="D514" s="7" t="s">
        <v>6</v>
      </c>
      <c r="E514" s="7" t="s">
        <v>45</v>
      </c>
      <c r="F514" s="6" t="s">
        <v>46</v>
      </c>
      <c r="G514" s="7" t="s">
        <v>2387</v>
      </c>
      <c r="H514" s="7" t="s">
        <v>23</v>
      </c>
      <c r="I514" s="6" t="s">
        <v>71</v>
      </c>
      <c r="J514" s="7" t="s">
        <v>2388</v>
      </c>
      <c r="K514" s="6" t="s">
        <v>26</v>
      </c>
      <c r="L514" s="7" t="s">
        <v>2389</v>
      </c>
      <c r="M514" s="7" t="s">
        <v>2390</v>
      </c>
      <c r="N514" s="9">
        <v>26045.0</v>
      </c>
    </row>
    <row r="515" ht="19.5" customHeight="1">
      <c r="A515" s="6" t="s">
        <v>2391</v>
      </c>
      <c r="B515" s="7" t="s">
        <v>6</v>
      </c>
      <c r="C515" s="7" t="s">
        <v>2392</v>
      </c>
      <c r="D515" s="7" t="s">
        <v>6</v>
      </c>
      <c r="E515" s="7" t="s">
        <v>45</v>
      </c>
      <c r="F515" s="6" t="s">
        <v>46</v>
      </c>
      <c r="G515" s="7" t="s">
        <v>2393</v>
      </c>
      <c r="H515" s="7" t="s">
        <v>48</v>
      </c>
      <c r="I515" s="6" t="s">
        <v>166</v>
      </c>
      <c r="J515" s="7" t="s">
        <v>167</v>
      </c>
      <c r="K515" s="6" t="s">
        <v>81</v>
      </c>
      <c r="L515" s="7" t="s">
        <v>2394</v>
      </c>
      <c r="M515" s="7" t="s">
        <v>2395</v>
      </c>
      <c r="N515" s="9">
        <v>36441.0</v>
      </c>
    </row>
    <row r="516" ht="19.5" customHeight="1">
      <c r="A516" s="6" t="s">
        <v>2397</v>
      </c>
      <c r="B516" s="7" t="s">
        <v>6</v>
      </c>
      <c r="C516" s="7" t="s">
        <v>2398</v>
      </c>
      <c r="D516" s="7" t="s">
        <v>6</v>
      </c>
      <c r="E516" s="7" t="s">
        <v>45</v>
      </c>
      <c r="F516" s="6" t="s">
        <v>46</v>
      </c>
      <c r="G516" s="7" t="s">
        <v>2400</v>
      </c>
      <c r="H516" s="7" t="s">
        <v>48</v>
      </c>
      <c r="I516" s="6" t="s">
        <v>170</v>
      </c>
      <c r="J516" s="7" t="s">
        <v>409</v>
      </c>
      <c r="K516" s="6" t="s">
        <v>26</v>
      </c>
      <c r="L516" s="7" t="s">
        <v>2401</v>
      </c>
      <c r="M516" s="7" t="s">
        <v>2402</v>
      </c>
      <c r="N516" s="9">
        <v>33385.0</v>
      </c>
    </row>
    <row r="517" ht="19.5" customHeight="1">
      <c r="A517" s="6" t="s">
        <v>2404</v>
      </c>
      <c r="B517" s="7" t="s">
        <v>6</v>
      </c>
      <c r="C517" s="7" t="s">
        <v>2405</v>
      </c>
      <c r="D517" s="7" t="s">
        <v>6</v>
      </c>
      <c r="E517" s="7" t="s">
        <v>45</v>
      </c>
      <c r="F517" s="6" t="s">
        <v>46</v>
      </c>
      <c r="G517" s="7" t="s">
        <v>1814</v>
      </c>
      <c r="H517" s="7" t="s">
        <v>48</v>
      </c>
      <c r="I517" s="6" t="s">
        <v>184</v>
      </c>
      <c r="J517" s="7" t="s">
        <v>439</v>
      </c>
      <c r="K517" s="6" t="s">
        <v>26</v>
      </c>
      <c r="L517" s="7" t="s">
        <v>2407</v>
      </c>
      <c r="M517" s="7" t="s">
        <v>2408</v>
      </c>
      <c r="N517" s="9">
        <v>34402.0</v>
      </c>
    </row>
    <row r="518" ht="19.5" customHeight="1">
      <c r="A518" s="6" t="s">
        <v>2409</v>
      </c>
      <c r="B518" s="7" t="s">
        <v>6</v>
      </c>
      <c r="C518" s="7" t="s">
        <v>2410</v>
      </c>
      <c r="D518" s="7" t="s">
        <v>6</v>
      </c>
      <c r="E518" s="7" t="s">
        <v>45</v>
      </c>
      <c r="F518" s="6" t="s">
        <v>46</v>
      </c>
      <c r="G518" s="7" t="s">
        <v>47</v>
      </c>
      <c r="H518" s="7" t="s">
        <v>48</v>
      </c>
      <c r="I518" s="6" t="s">
        <v>184</v>
      </c>
      <c r="J518" s="7" t="s">
        <v>439</v>
      </c>
      <c r="K518" s="6" t="s">
        <v>26</v>
      </c>
      <c r="L518" s="7" t="s">
        <v>2411</v>
      </c>
      <c r="M518" s="7" t="s">
        <v>6</v>
      </c>
      <c r="N518" s="9">
        <v>34506.0</v>
      </c>
    </row>
    <row r="519" ht="19.5" customHeight="1">
      <c r="A519" s="6" t="s">
        <v>2412</v>
      </c>
      <c r="B519" s="7" t="s">
        <v>6</v>
      </c>
      <c r="C519" s="7" t="s">
        <v>2413</v>
      </c>
      <c r="D519" s="7" t="s">
        <v>6</v>
      </c>
      <c r="E519" s="7" t="s">
        <v>45</v>
      </c>
      <c r="F519" s="6" t="s">
        <v>46</v>
      </c>
      <c r="G519" s="7" t="s">
        <v>2414</v>
      </c>
      <c r="H519" s="7" t="s">
        <v>23</v>
      </c>
      <c r="I519" s="6" t="s">
        <v>198</v>
      </c>
      <c r="J519" s="7" t="s">
        <v>337</v>
      </c>
      <c r="K519" s="6" t="s">
        <v>26</v>
      </c>
      <c r="L519" s="7" t="s">
        <v>2415</v>
      </c>
      <c r="M519" s="7" t="s">
        <v>2416</v>
      </c>
      <c r="N519" s="9">
        <v>35560.0</v>
      </c>
    </row>
    <row r="520" ht="19.5" customHeight="1">
      <c r="A520" s="6" t="s">
        <v>2417</v>
      </c>
      <c r="B520" s="7" t="s">
        <v>6</v>
      </c>
      <c r="C520" s="7" t="s">
        <v>2418</v>
      </c>
      <c r="D520" s="7" t="s">
        <v>6</v>
      </c>
      <c r="E520" s="7" t="s">
        <v>45</v>
      </c>
      <c r="F520" s="6" t="s">
        <v>46</v>
      </c>
      <c r="G520" s="7" t="s">
        <v>2419</v>
      </c>
      <c r="H520" s="7" t="s">
        <v>48</v>
      </c>
      <c r="I520" s="6" t="s">
        <v>189</v>
      </c>
      <c r="J520" s="7" t="s">
        <v>210</v>
      </c>
      <c r="K520" s="6" t="s">
        <v>26</v>
      </c>
      <c r="L520" s="7" t="s">
        <v>2420</v>
      </c>
      <c r="M520" s="7" t="s">
        <v>2421</v>
      </c>
      <c r="N520" s="9">
        <v>34919.0</v>
      </c>
    </row>
    <row r="521" ht="19.5" customHeight="1">
      <c r="A521" s="6" t="s">
        <v>2422</v>
      </c>
      <c r="B521" s="7" t="s">
        <v>6</v>
      </c>
      <c r="C521" s="7" t="s">
        <v>2423</v>
      </c>
      <c r="D521" s="7" t="s">
        <v>6</v>
      </c>
      <c r="E521" s="7" t="s">
        <v>45</v>
      </c>
      <c r="F521" s="6" t="s">
        <v>46</v>
      </c>
      <c r="G521" s="7" t="s">
        <v>243</v>
      </c>
      <c r="H521" s="7" t="s">
        <v>48</v>
      </c>
      <c r="I521" s="6" t="s">
        <v>170</v>
      </c>
      <c r="J521" s="7" t="s">
        <v>409</v>
      </c>
      <c r="K521" s="6" t="s">
        <v>26</v>
      </c>
      <c r="L521" s="7" t="s">
        <v>2424</v>
      </c>
      <c r="M521" s="7" t="s">
        <v>2425</v>
      </c>
      <c r="N521" s="9">
        <v>33243.0</v>
      </c>
    </row>
    <row r="522" ht="19.5" customHeight="1">
      <c r="A522" s="6" t="s">
        <v>2426</v>
      </c>
      <c r="B522" s="7" t="s">
        <v>6</v>
      </c>
      <c r="C522" s="7" t="s">
        <v>2427</v>
      </c>
      <c r="D522" s="7" t="s">
        <v>6</v>
      </c>
      <c r="E522" s="7" t="s">
        <v>45</v>
      </c>
      <c r="F522" s="6" t="s">
        <v>46</v>
      </c>
      <c r="G522" s="7" t="s">
        <v>1693</v>
      </c>
      <c r="H522" s="7" t="s">
        <v>48</v>
      </c>
      <c r="I522" s="6" t="s">
        <v>184</v>
      </c>
      <c r="J522" s="7" t="s">
        <v>439</v>
      </c>
      <c r="K522" s="6" t="s">
        <v>26</v>
      </c>
      <c r="L522" s="7" t="s">
        <v>2428</v>
      </c>
      <c r="M522" s="7" t="s">
        <v>2429</v>
      </c>
      <c r="N522" s="9">
        <v>34597.0</v>
      </c>
    </row>
    <row r="523" ht="19.5" customHeight="1">
      <c r="A523" s="6" t="s">
        <v>2430</v>
      </c>
      <c r="B523" s="7" t="s">
        <v>6</v>
      </c>
      <c r="C523" s="7" t="s">
        <v>2431</v>
      </c>
      <c r="D523" s="7" t="s">
        <v>6</v>
      </c>
      <c r="E523" s="7" t="s">
        <v>45</v>
      </c>
      <c r="F523" s="6" t="s">
        <v>46</v>
      </c>
      <c r="G523" s="7" t="s">
        <v>1841</v>
      </c>
      <c r="H523" s="7" t="s">
        <v>48</v>
      </c>
      <c r="I523" s="6" t="s">
        <v>124</v>
      </c>
      <c r="J523" s="7" t="s">
        <v>125</v>
      </c>
      <c r="K523" s="6" t="s">
        <v>26</v>
      </c>
      <c r="L523" s="7" t="s">
        <v>2432</v>
      </c>
      <c r="M523" s="7" t="s">
        <v>6</v>
      </c>
      <c r="N523" s="9">
        <v>32958.0</v>
      </c>
    </row>
    <row r="524" ht="19.5" customHeight="1">
      <c r="A524" s="6" t="s">
        <v>2433</v>
      </c>
      <c r="B524" s="7" t="s">
        <v>6</v>
      </c>
      <c r="C524" s="7" t="s">
        <v>2434</v>
      </c>
      <c r="D524" s="7" t="s">
        <v>6</v>
      </c>
      <c r="E524" s="7" t="s">
        <v>45</v>
      </c>
      <c r="F524" s="6" t="s">
        <v>46</v>
      </c>
      <c r="G524" s="7" t="s">
        <v>2435</v>
      </c>
      <c r="H524" s="7" t="s">
        <v>23</v>
      </c>
      <c r="I524" s="6" t="s">
        <v>193</v>
      </c>
      <c r="J524" s="7" t="s">
        <v>200</v>
      </c>
      <c r="K524" s="6" t="s">
        <v>26</v>
      </c>
      <c r="L524" s="7" t="s">
        <v>2436</v>
      </c>
      <c r="M524" s="7" t="s">
        <v>2437</v>
      </c>
      <c r="N524" s="9">
        <v>35202.0</v>
      </c>
    </row>
    <row r="525" ht="19.5" customHeight="1">
      <c r="A525" s="6" t="s">
        <v>2438</v>
      </c>
      <c r="B525" s="7" t="s">
        <v>6</v>
      </c>
      <c r="C525" s="7" t="s">
        <v>2439</v>
      </c>
      <c r="D525" s="7" t="s">
        <v>6</v>
      </c>
      <c r="E525" s="7" t="s">
        <v>45</v>
      </c>
      <c r="F525" s="6" t="s">
        <v>46</v>
      </c>
      <c r="G525" s="7" t="s">
        <v>2440</v>
      </c>
      <c r="H525" s="7" t="s">
        <v>23</v>
      </c>
      <c r="I525" s="6" t="s">
        <v>189</v>
      </c>
      <c r="J525" s="7" t="s">
        <v>210</v>
      </c>
      <c r="K525" s="6" t="s">
        <v>81</v>
      </c>
      <c r="L525" s="7" t="s">
        <v>2441</v>
      </c>
      <c r="M525" s="7" t="s">
        <v>2442</v>
      </c>
      <c r="N525" s="9">
        <v>34611.0</v>
      </c>
    </row>
    <row r="526" ht="19.5" customHeight="1">
      <c r="A526" s="6" t="s">
        <v>2443</v>
      </c>
      <c r="B526" s="7" t="s">
        <v>6</v>
      </c>
      <c r="C526" s="7" t="s">
        <v>2444</v>
      </c>
      <c r="D526" s="7" t="s">
        <v>6</v>
      </c>
      <c r="E526" s="7" t="s">
        <v>45</v>
      </c>
      <c r="F526" s="6" t="s">
        <v>46</v>
      </c>
      <c r="G526" s="7" t="s">
        <v>47</v>
      </c>
      <c r="H526" s="7" t="s">
        <v>48</v>
      </c>
      <c r="I526" s="6" t="s">
        <v>193</v>
      </c>
      <c r="J526" s="7" t="s">
        <v>200</v>
      </c>
      <c r="K526" s="6" t="s">
        <v>81</v>
      </c>
      <c r="L526" s="7" t="s">
        <v>2445</v>
      </c>
      <c r="M526" s="7" t="s">
        <v>6</v>
      </c>
      <c r="N526" s="9">
        <v>35058.0</v>
      </c>
    </row>
    <row r="527" ht="19.5" customHeight="1">
      <c r="A527" s="6" t="s">
        <v>2446</v>
      </c>
      <c r="B527" s="7" t="s">
        <v>6</v>
      </c>
      <c r="C527" s="7" t="s">
        <v>2447</v>
      </c>
      <c r="D527" s="7" t="s">
        <v>6</v>
      </c>
      <c r="E527" s="7" t="s">
        <v>45</v>
      </c>
      <c r="F527" s="6" t="s">
        <v>46</v>
      </c>
      <c r="G527" s="7" t="s">
        <v>47</v>
      </c>
      <c r="H527" s="7" t="s">
        <v>48</v>
      </c>
      <c r="I527" s="6" t="s">
        <v>193</v>
      </c>
      <c r="J527" s="7" t="s">
        <v>200</v>
      </c>
      <c r="K527" s="6" t="s">
        <v>26</v>
      </c>
      <c r="L527" s="7" t="s">
        <v>2448</v>
      </c>
      <c r="M527" s="7" t="s">
        <v>6</v>
      </c>
      <c r="N527" s="9">
        <v>35140.0</v>
      </c>
    </row>
    <row r="528" ht="19.5" customHeight="1">
      <c r="A528" s="6" t="s">
        <v>2449</v>
      </c>
      <c r="B528" s="7" t="s">
        <v>6</v>
      </c>
      <c r="C528" s="7" t="s">
        <v>2450</v>
      </c>
      <c r="D528" s="7" t="s">
        <v>6</v>
      </c>
      <c r="E528" s="7" t="s">
        <v>45</v>
      </c>
      <c r="F528" s="6" t="s">
        <v>46</v>
      </c>
      <c r="G528" s="7" t="s">
        <v>1828</v>
      </c>
      <c r="H528" s="7" t="s">
        <v>23</v>
      </c>
      <c r="I528" s="6" t="s">
        <v>198</v>
      </c>
      <c r="J528" s="7" t="s">
        <v>337</v>
      </c>
      <c r="K528" s="6" t="s">
        <v>26</v>
      </c>
      <c r="L528" s="7" t="s">
        <v>2451</v>
      </c>
      <c r="M528" s="7" t="s">
        <v>2452</v>
      </c>
      <c r="N528" s="9">
        <v>35495.0</v>
      </c>
    </row>
    <row r="529" ht="19.5" customHeight="1">
      <c r="A529" s="6" t="s">
        <v>2453</v>
      </c>
      <c r="B529" s="7" t="s">
        <v>6</v>
      </c>
      <c r="C529" s="7" t="s">
        <v>2454</v>
      </c>
      <c r="D529" s="7" t="s">
        <v>6</v>
      </c>
      <c r="E529" s="7" t="s">
        <v>45</v>
      </c>
      <c r="F529" s="6" t="s">
        <v>46</v>
      </c>
      <c r="G529" s="7" t="s">
        <v>2455</v>
      </c>
      <c r="H529" s="7" t="s">
        <v>23</v>
      </c>
      <c r="I529" s="6" t="s">
        <v>71</v>
      </c>
      <c r="J529" s="7" t="s">
        <v>2388</v>
      </c>
      <c r="K529" s="6" t="s">
        <v>81</v>
      </c>
      <c r="L529" s="7" t="s">
        <v>2456</v>
      </c>
      <c r="M529" s="7" t="s">
        <v>2457</v>
      </c>
      <c r="N529" s="9">
        <v>25899.0</v>
      </c>
    </row>
    <row r="530" ht="19.5" customHeight="1">
      <c r="A530" s="6" t="s">
        <v>2458</v>
      </c>
      <c r="B530" s="7" t="s">
        <v>6</v>
      </c>
      <c r="C530" s="7" t="s">
        <v>2459</v>
      </c>
      <c r="D530" s="7" t="s">
        <v>6</v>
      </c>
      <c r="E530" s="7" t="s">
        <v>45</v>
      </c>
      <c r="F530" s="6" t="s">
        <v>46</v>
      </c>
      <c r="G530" s="7" t="s">
        <v>2460</v>
      </c>
      <c r="H530" s="7" t="s">
        <v>23</v>
      </c>
      <c r="I530" s="6" t="s">
        <v>297</v>
      </c>
      <c r="J530" s="7" t="s">
        <v>2461</v>
      </c>
      <c r="K530" s="6" t="s">
        <v>26</v>
      </c>
      <c r="L530" s="7" t="s">
        <v>2462</v>
      </c>
      <c r="M530" s="7" t="s">
        <v>2463</v>
      </c>
      <c r="N530" s="9">
        <v>43466.0</v>
      </c>
    </row>
    <row r="531" ht="19.5" customHeight="1">
      <c r="A531" s="6" t="s">
        <v>2464</v>
      </c>
      <c r="B531" s="7" t="s">
        <v>6</v>
      </c>
      <c r="C531" s="7" t="s">
        <v>2465</v>
      </c>
      <c r="D531" s="7" t="s">
        <v>6</v>
      </c>
      <c r="E531" s="7" t="s">
        <v>45</v>
      </c>
      <c r="F531" s="6" t="s">
        <v>46</v>
      </c>
      <c r="G531" s="7" t="s">
        <v>2466</v>
      </c>
      <c r="H531" s="7" t="s">
        <v>48</v>
      </c>
      <c r="I531" s="6" t="s">
        <v>166</v>
      </c>
      <c r="J531" s="7" t="s">
        <v>167</v>
      </c>
      <c r="K531" s="6" t="s">
        <v>26</v>
      </c>
      <c r="L531" s="7" t="s">
        <v>2467</v>
      </c>
      <c r="M531" s="7" t="s">
        <v>2468</v>
      </c>
      <c r="N531" s="9">
        <v>36764.0</v>
      </c>
    </row>
    <row r="532" ht="19.5" customHeight="1">
      <c r="A532" s="6" t="s">
        <v>2469</v>
      </c>
      <c r="B532" s="7" t="s">
        <v>6</v>
      </c>
      <c r="C532" s="7" t="s">
        <v>2470</v>
      </c>
      <c r="D532" s="7" t="s">
        <v>6</v>
      </c>
      <c r="E532" s="7" t="s">
        <v>45</v>
      </c>
      <c r="F532" s="6" t="s">
        <v>46</v>
      </c>
      <c r="G532" s="7" t="s">
        <v>2471</v>
      </c>
      <c r="H532" s="7" t="s">
        <v>23</v>
      </c>
      <c r="I532" s="6" t="s">
        <v>198</v>
      </c>
      <c r="J532" s="7" t="s">
        <v>337</v>
      </c>
      <c r="K532" s="6" t="s">
        <v>26</v>
      </c>
      <c r="L532" s="7" t="s">
        <v>2472</v>
      </c>
      <c r="M532" s="7" t="s">
        <v>2473</v>
      </c>
      <c r="N532" s="9">
        <v>35521.0</v>
      </c>
    </row>
    <row r="533" ht="19.5" customHeight="1">
      <c r="A533" s="6" t="s">
        <v>2474</v>
      </c>
      <c r="B533" s="7" t="s">
        <v>6</v>
      </c>
      <c r="C533" s="7" t="s">
        <v>2475</v>
      </c>
      <c r="D533" s="7" t="s">
        <v>6</v>
      </c>
      <c r="E533" s="7" t="s">
        <v>45</v>
      </c>
      <c r="F533" s="6" t="s">
        <v>46</v>
      </c>
      <c r="G533" s="7" t="s">
        <v>1073</v>
      </c>
      <c r="H533" s="7" t="s">
        <v>48</v>
      </c>
      <c r="I533" s="6" t="s">
        <v>189</v>
      </c>
      <c r="J533" s="7" t="s">
        <v>210</v>
      </c>
      <c r="K533" s="6" t="s">
        <v>81</v>
      </c>
      <c r="L533" s="7" t="s">
        <v>2476</v>
      </c>
      <c r="M533" s="7" t="s">
        <v>2477</v>
      </c>
      <c r="N533" s="9">
        <v>34641.0</v>
      </c>
    </row>
    <row r="534" ht="19.5" customHeight="1">
      <c r="A534" s="6" t="s">
        <v>2478</v>
      </c>
      <c r="B534" s="7" t="s">
        <v>6</v>
      </c>
      <c r="C534" s="7" t="s">
        <v>2479</v>
      </c>
      <c r="D534" s="7" t="s">
        <v>6</v>
      </c>
      <c r="E534" s="7" t="s">
        <v>45</v>
      </c>
      <c r="F534" s="6" t="s">
        <v>46</v>
      </c>
      <c r="G534" s="7" t="s">
        <v>2480</v>
      </c>
      <c r="H534" s="7" t="s">
        <v>23</v>
      </c>
      <c r="I534" s="6" t="s">
        <v>112</v>
      </c>
      <c r="J534" s="7" t="s">
        <v>113</v>
      </c>
      <c r="K534" s="6" t="s">
        <v>26</v>
      </c>
      <c r="L534" s="7" t="s">
        <v>2481</v>
      </c>
      <c r="M534" s="7" t="s">
        <v>2482</v>
      </c>
      <c r="N534" s="9">
        <v>32567.0</v>
      </c>
    </row>
    <row r="535" ht="19.5" customHeight="1">
      <c r="A535" s="6" t="s">
        <v>2483</v>
      </c>
      <c r="B535" s="7" t="s">
        <v>6</v>
      </c>
      <c r="C535" s="7" t="s">
        <v>2484</v>
      </c>
      <c r="D535" s="7" t="s">
        <v>6</v>
      </c>
      <c r="E535" s="7" t="s">
        <v>45</v>
      </c>
      <c r="F535" s="6" t="s">
        <v>46</v>
      </c>
      <c r="G535" s="7" t="s">
        <v>2485</v>
      </c>
      <c r="H535" s="7" t="s">
        <v>23</v>
      </c>
      <c r="I535" s="6" t="s">
        <v>184</v>
      </c>
      <c r="J535" s="7" t="s">
        <v>439</v>
      </c>
      <c r="K535" s="6" t="s">
        <v>26</v>
      </c>
      <c r="L535" s="7" t="s">
        <v>2486</v>
      </c>
      <c r="M535" s="7" t="s">
        <v>2487</v>
      </c>
      <c r="N535" s="9">
        <v>34464.0</v>
      </c>
    </row>
    <row r="536" ht="19.5" customHeight="1">
      <c r="A536" s="6" t="s">
        <v>2488</v>
      </c>
      <c r="B536" s="7" t="s">
        <v>6</v>
      </c>
      <c r="C536" s="7" t="s">
        <v>2489</v>
      </c>
      <c r="D536" s="7" t="s">
        <v>6</v>
      </c>
      <c r="E536" s="7" t="s">
        <v>45</v>
      </c>
      <c r="F536" s="6" t="s">
        <v>46</v>
      </c>
      <c r="G536" s="7" t="s">
        <v>2490</v>
      </c>
      <c r="H536" s="7" t="s">
        <v>23</v>
      </c>
      <c r="I536" s="6" t="s">
        <v>193</v>
      </c>
      <c r="J536" s="7" t="s">
        <v>200</v>
      </c>
      <c r="K536" s="6" t="s">
        <v>26</v>
      </c>
      <c r="L536" s="7" t="s">
        <v>2491</v>
      </c>
      <c r="M536" s="7" t="s">
        <v>2492</v>
      </c>
      <c r="N536" s="9">
        <v>35080.0</v>
      </c>
    </row>
    <row r="537" ht="19.5" customHeight="1">
      <c r="A537" s="6" t="s">
        <v>2493</v>
      </c>
      <c r="B537" s="7" t="s">
        <v>6</v>
      </c>
      <c r="C537" s="7" t="s">
        <v>2494</v>
      </c>
      <c r="D537" s="7" t="s">
        <v>6</v>
      </c>
      <c r="E537" s="7" t="s">
        <v>45</v>
      </c>
      <c r="F537" s="6" t="s">
        <v>46</v>
      </c>
      <c r="G537" s="7" t="s">
        <v>47</v>
      </c>
      <c r="H537" s="7" t="s">
        <v>48</v>
      </c>
      <c r="I537" s="6" t="s">
        <v>145</v>
      </c>
      <c r="J537" s="7" t="s">
        <v>146</v>
      </c>
      <c r="K537" s="6" t="s">
        <v>26</v>
      </c>
      <c r="L537" s="7" t="s">
        <v>2495</v>
      </c>
      <c r="M537" s="7" t="s">
        <v>6</v>
      </c>
      <c r="N537" s="9">
        <v>37325.0</v>
      </c>
    </row>
    <row r="538" ht="19.5" customHeight="1">
      <c r="A538" s="6" t="s">
        <v>2496</v>
      </c>
      <c r="B538" s="7" t="s">
        <v>6</v>
      </c>
      <c r="C538" s="7" t="s">
        <v>2497</v>
      </c>
      <c r="D538" s="7" t="s">
        <v>6</v>
      </c>
      <c r="E538" s="7" t="s">
        <v>45</v>
      </c>
      <c r="F538" s="6" t="s">
        <v>46</v>
      </c>
      <c r="G538" s="7" t="s">
        <v>2498</v>
      </c>
      <c r="H538" s="7" t="s">
        <v>48</v>
      </c>
      <c r="I538" s="6" t="s">
        <v>131</v>
      </c>
      <c r="J538" s="7" t="s">
        <v>132</v>
      </c>
      <c r="K538" s="6" t="s">
        <v>26</v>
      </c>
      <c r="L538" s="7" t="s">
        <v>2499</v>
      </c>
      <c r="M538" s="7" t="s">
        <v>2500</v>
      </c>
      <c r="N538" s="9">
        <v>36210.0</v>
      </c>
    </row>
    <row r="539" ht="19.5" customHeight="1">
      <c r="A539" s="6" t="s">
        <v>2501</v>
      </c>
      <c r="B539" s="7" t="s">
        <v>6</v>
      </c>
      <c r="C539" s="7" t="s">
        <v>2502</v>
      </c>
      <c r="D539" s="7" t="s">
        <v>6</v>
      </c>
      <c r="E539" s="7" t="s">
        <v>45</v>
      </c>
      <c r="F539" s="6" t="s">
        <v>46</v>
      </c>
      <c r="G539" s="7" t="s">
        <v>2503</v>
      </c>
      <c r="H539" s="7" t="s">
        <v>23</v>
      </c>
      <c r="I539" s="6" t="s">
        <v>198</v>
      </c>
      <c r="J539" s="7" t="s">
        <v>337</v>
      </c>
      <c r="K539" s="6" t="s">
        <v>26</v>
      </c>
      <c r="L539" s="7" t="s">
        <v>2504</v>
      </c>
      <c r="M539" s="7" t="s">
        <v>2505</v>
      </c>
      <c r="N539" s="9">
        <v>35652.0</v>
      </c>
    </row>
    <row r="540" ht="19.5" customHeight="1">
      <c r="A540" s="6" t="s">
        <v>2506</v>
      </c>
      <c r="B540" s="7" t="s">
        <v>6</v>
      </c>
      <c r="C540" s="7" t="s">
        <v>2507</v>
      </c>
      <c r="D540" s="7" t="s">
        <v>6</v>
      </c>
      <c r="E540" s="7" t="s">
        <v>45</v>
      </c>
      <c r="F540" s="6" t="s">
        <v>46</v>
      </c>
      <c r="G540" s="7" t="s">
        <v>1857</v>
      </c>
      <c r="H540" s="7" t="s">
        <v>48</v>
      </c>
      <c r="I540" s="6" t="s">
        <v>166</v>
      </c>
      <c r="J540" s="7" t="s">
        <v>167</v>
      </c>
      <c r="K540" s="6" t="s">
        <v>26</v>
      </c>
      <c r="L540" s="7" t="s">
        <v>2508</v>
      </c>
      <c r="M540" s="7" t="s">
        <v>2509</v>
      </c>
      <c r="N540" s="9">
        <v>36784.0</v>
      </c>
    </row>
    <row r="541" ht="19.5" customHeight="1">
      <c r="A541" s="6" t="s">
        <v>2510</v>
      </c>
      <c r="B541" s="7" t="s">
        <v>6</v>
      </c>
      <c r="C541" s="7" t="s">
        <v>2511</v>
      </c>
      <c r="D541" s="7" t="s">
        <v>6</v>
      </c>
      <c r="E541" s="7" t="s">
        <v>45</v>
      </c>
      <c r="F541" s="6" t="s">
        <v>46</v>
      </c>
      <c r="G541" s="7" t="s">
        <v>2512</v>
      </c>
      <c r="H541" s="7" t="s">
        <v>23</v>
      </c>
      <c r="I541" s="6" t="s">
        <v>124</v>
      </c>
      <c r="J541" s="7" t="s">
        <v>125</v>
      </c>
      <c r="K541" s="6" t="s">
        <v>26</v>
      </c>
      <c r="L541" s="7" t="s">
        <v>2513</v>
      </c>
      <c r="M541" s="7" t="s">
        <v>2514</v>
      </c>
      <c r="N541" s="9">
        <v>33085.0</v>
      </c>
    </row>
    <row r="542" ht="19.5" customHeight="1">
      <c r="A542" s="6" t="s">
        <v>2515</v>
      </c>
      <c r="B542" s="7" t="s">
        <v>6</v>
      </c>
      <c r="C542" s="7" t="s">
        <v>2516</v>
      </c>
      <c r="D542" s="7" t="s">
        <v>6</v>
      </c>
      <c r="E542" s="7" t="s">
        <v>45</v>
      </c>
      <c r="F542" s="6" t="s">
        <v>46</v>
      </c>
      <c r="G542" s="7" t="s">
        <v>111</v>
      </c>
      <c r="H542" s="7" t="s">
        <v>48</v>
      </c>
      <c r="I542" s="6" t="s">
        <v>176</v>
      </c>
      <c r="J542" s="7" t="s">
        <v>428</v>
      </c>
      <c r="K542" s="6" t="s">
        <v>81</v>
      </c>
      <c r="L542" s="7" t="s">
        <v>2517</v>
      </c>
      <c r="M542" s="7" t="s">
        <v>2518</v>
      </c>
      <c r="N542" s="9">
        <v>33590.0</v>
      </c>
    </row>
    <row r="543" ht="19.5" customHeight="1">
      <c r="A543" s="6" t="s">
        <v>2519</v>
      </c>
      <c r="B543" s="7" t="s">
        <v>6</v>
      </c>
      <c r="C543" s="7" t="s">
        <v>2520</v>
      </c>
      <c r="D543" s="7" t="s">
        <v>6</v>
      </c>
      <c r="E543" s="7" t="s">
        <v>45</v>
      </c>
      <c r="F543" s="6" t="s">
        <v>46</v>
      </c>
      <c r="G543" s="7" t="s">
        <v>2086</v>
      </c>
      <c r="H543" s="7" t="s">
        <v>23</v>
      </c>
      <c r="I543" s="6" t="s">
        <v>184</v>
      </c>
      <c r="J543" s="7" t="s">
        <v>439</v>
      </c>
      <c r="K543" s="6" t="s">
        <v>26</v>
      </c>
      <c r="L543" s="7" t="s">
        <v>2521</v>
      </c>
      <c r="M543" s="7" t="s">
        <v>2522</v>
      </c>
      <c r="N543" s="9">
        <v>34336.0</v>
      </c>
    </row>
    <row r="544" ht="19.5" customHeight="1">
      <c r="A544" s="6" t="s">
        <v>2523</v>
      </c>
      <c r="B544" s="7" t="s">
        <v>6</v>
      </c>
      <c r="C544" s="7" t="s">
        <v>2524</v>
      </c>
      <c r="D544" s="7" t="s">
        <v>6</v>
      </c>
      <c r="E544" s="7" t="s">
        <v>45</v>
      </c>
      <c r="F544" s="6" t="s">
        <v>46</v>
      </c>
      <c r="G544" s="7" t="s">
        <v>2525</v>
      </c>
      <c r="H544" s="7" t="s">
        <v>23</v>
      </c>
      <c r="I544" s="6" t="s">
        <v>193</v>
      </c>
      <c r="J544" s="7" t="s">
        <v>200</v>
      </c>
      <c r="K544" s="6" t="s">
        <v>26</v>
      </c>
      <c r="L544" s="7" t="s">
        <v>2526</v>
      </c>
      <c r="M544" s="7" t="s">
        <v>2527</v>
      </c>
      <c r="N544" s="9">
        <v>35079.0</v>
      </c>
    </row>
    <row r="545" ht="19.5" customHeight="1">
      <c r="A545" s="6" t="s">
        <v>2528</v>
      </c>
      <c r="B545" s="7" t="s">
        <v>6</v>
      </c>
      <c r="C545" s="7" t="s">
        <v>2529</v>
      </c>
      <c r="D545" s="7" t="s">
        <v>6</v>
      </c>
      <c r="E545" s="7" t="s">
        <v>45</v>
      </c>
      <c r="F545" s="6" t="s">
        <v>46</v>
      </c>
      <c r="G545" s="7" t="s">
        <v>2530</v>
      </c>
      <c r="H545" s="7" t="s">
        <v>48</v>
      </c>
      <c r="I545" s="6" t="s">
        <v>135</v>
      </c>
      <c r="J545" s="7" t="s">
        <v>489</v>
      </c>
      <c r="K545" s="6" t="s">
        <v>26</v>
      </c>
      <c r="L545" s="7" t="s">
        <v>2531</v>
      </c>
      <c r="M545" s="7" t="s">
        <v>2532</v>
      </c>
      <c r="N545" s="9">
        <v>29810.0</v>
      </c>
    </row>
    <row r="546" ht="19.5" customHeight="1">
      <c r="A546" s="6" t="s">
        <v>2533</v>
      </c>
      <c r="B546" s="7" t="s">
        <v>6</v>
      </c>
      <c r="C546" s="7" t="s">
        <v>2534</v>
      </c>
      <c r="D546" s="7" t="s">
        <v>6</v>
      </c>
      <c r="E546" s="7" t="s">
        <v>45</v>
      </c>
      <c r="F546" s="6" t="s">
        <v>46</v>
      </c>
      <c r="G546" s="7" t="s">
        <v>1857</v>
      </c>
      <c r="H546" s="7" t="s">
        <v>48</v>
      </c>
      <c r="I546" s="6" t="s">
        <v>189</v>
      </c>
      <c r="J546" s="7" t="s">
        <v>210</v>
      </c>
      <c r="K546" s="6" t="s">
        <v>26</v>
      </c>
      <c r="L546" s="7" t="s">
        <v>2535</v>
      </c>
      <c r="M546" s="7" t="s">
        <v>2536</v>
      </c>
      <c r="N546" s="9">
        <v>34888.0</v>
      </c>
    </row>
    <row r="547" ht="19.5" customHeight="1">
      <c r="A547" s="6" t="s">
        <v>2537</v>
      </c>
      <c r="B547" s="7" t="s">
        <v>6</v>
      </c>
      <c r="C547" s="7" t="s">
        <v>2538</v>
      </c>
      <c r="D547" s="7" t="s">
        <v>6</v>
      </c>
      <c r="E547" s="7" t="s">
        <v>45</v>
      </c>
      <c r="F547" s="6" t="s">
        <v>46</v>
      </c>
      <c r="G547" s="7" t="s">
        <v>2539</v>
      </c>
      <c r="H547" s="7" t="s">
        <v>23</v>
      </c>
      <c r="I547" s="6" t="s">
        <v>297</v>
      </c>
      <c r="J547" s="7" t="s">
        <v>2461</v>
      </c>
      <c r="K547" s="6" t="s">
        <v>26</v>
      </c>
      <c r="L547" s="7" t="s">
        <v>2540</v>
      </c>
      <c r="M547" s="7" t="s">
        <v>6</v>
      </c>
      <c r="N547" s="9">
        <v>43590.0</v>
      </c>
    </row>
    <row r="548" ht="19.5" customHeight="1">
      <c r="A548" s="6" t="s">
        <v>2541</v>
      </c>
      <c r="B548" s="7" t="s">
        <v>6</v>
      </c>
      <c r="C548" s="7" t="s">
        <v>2542</v>
      </c>
      <c r="D548" s="7" t="s">
        <v>6</v>
      </c>
      <c r="E548" s="7" t="s">
        <v>45</v>
      </c>
      <c r="F548" s="6" t="s">
        <v>46</v>
      </c>
      <c r="G548" s="7" t="s">
        <v>2543</v>
      </c>
      <c r="H548" s="7" t="s">
        <v>48</v>
      </c>
      <c r="I548" s="6" t="s">
        <v>109</v>
      </c>
      <c r="J548" s="7" t="s">
        <v>1680</v>
      </c>
      <c r="K548" s="6" t="s">
        <v>26</v>
      </c>
      <c r="L548" s="7" t="s">
        <v>2544</v>
      </c>
      <c r="M548" s="7" t="s">
        <v>2545</v>
      </c>
      <c r="N548" s="9">
        <v>28385.0</v>
      </c>
    </row>
    <row r="549" ht="19.5" customHeight="1">
      <c r="A549" s="6" t="s">
        <v>2546</v>
      </c>
      <c r="B549" s="7" t="s">
        <v>6</v>
      </c>
      <c r="C549" s="7" t="s">
        <v>2547</v>
      </c>
      <c r="D549" s="7" t="s">
        <v>6</v>
      </c>
      <c r="E549" s="7" t="s">
        <v>45</v>
      </c>
      <c r="F549" s="6" t="s">
        <v>46</v>
      </c>
      <c r="G549" s="7" t="s">
        <v>2543</v>
      </c>
      <c r="H549" s="7" t="s">
        <v>23</v>
      </c>
      <c r="I549" s="6" t="s">
        <v>135</v>
      </c>
      <c r="J549" s="7" t="s">
        <v>489</v>
      </c>
      <c r="K549" s="6" t="s">
        <v>26</v>
      </c>
      <c r="L549" s="7" t="s">
        <v>2548</v>
      </c>
      <c r="M549" s="7" t="s">
        <v>2549</v>
      </c>
      <c r="N549" s="9">
        <v>29587.0</v>
      </c>
    </row>
    <row r="550" ht="19.5" customHeight="1">
      <c r="A550" s="6" t="s">
        <v>2550</v>
      </c>
      <c r="B550" s="7" t="s">
        <v>6</v>
      </c>
      <c r="C550" s="7" t="s">
        <v>2551</v>
      </c>
      <c r="D550" s="7" t="s">
        <v>6</v>
      </c>
      <c r="E550" s="7" t="s">
        <v>45</v>
      </c>
      <c r="F550" s="6" t="s">
        <v>46</v>
      </c>
      <c r="G550" s="7" t="s">
        <v>2543</v>
      </c>
      <c r="H550" s="7" t="s">
        <v>48</v>
      </c>
      <c r="I550" s="6" t="s">
        <v>135</v>
      </c>
      <c r="J550" s="7" t="s">
        <v>489</v>
      </c>
      <c r="K550" s="6" t="s">
        <v>26</v>
      </c>
      <c r="L550" s="7" t="s">
        <v>2548</v>
      </c>
      <c r="M550" s="7" t="s">
        <v>2549</v>
      </c>
      <c r="N550" s="9">
        <v>29587.0</v>
      </c>
    </row>
    <row r="551" ht="19.5" customHeight="1">
      <c r="A551" s="6" t="s">
        <v>2552</v>
      </c>
      <c r="B551" s="7" t="s">
        <v>6</v>
      </c>
      <c r="C551" s="7" t="s">
        <v>2553</v>
      </c>
      <c r="D551" s="7" t="s">
        <v>6</v>
      </c>
      <c r="E551" s="7" t="s">
        <v>45</v>
      </c>
      <c r="F551" s="6" t="s">
        <v>46</v>
      </c>
      <c r="G551" s="7" t="s">
        <v>2554</v>
      </c>
      <c r="H551" s="7" t="s">
        <v>23</v>
      </c>
      <c r="I551" s="6" t="s">
        <v>193</v>
      </c>
      <c r="J551" s="7" t="s">
        <v>200</v>
      </c>
      <c r="K551" s="6" t="s">
        <v>26</v>
      </c>
      <c r="L551" s="7" t="s">
        <v>2555</v>
      </c>
      <c r="M551" s="7" t="s">
        <v>2556</v>
      </c>
      <c r="N551" s="9">
        <v>35131.0</v>
      </c>
    </row>
    <row r="552" ht="19.5" customHeight="1">
      <c r="A552" s="6" t="s">
        <v>2557</v>
      </c>
      <c r="B552" s="7" t="s">
        <v>6</v>
      </c>
      <c r="C552" s="7" t="s">
        <v>2558</v>
      </c>
      <c r="D552" s="7" t="s">
        <v>6</v>
      </c>
      <c r="E552" s="7" t="s">
        <v>45</v>
      </c>
      <c r="F552" s="6" t="s">
        <v>46</v>
      </c>
      <c r="G552" s="7" t="s">
        <v>2559</v>
      </c>
      <c r="H552" s="7" t="s">
        <v>23</v>
      </c>
      <c r="I552" s="6" t="s">
        <v>193</v>
      </c>
      <c r="J552" s="7" t="s">
        <v>200</v>
      </c>
      <c r="K552" s="6" t="s">
        <v>26</v>
      </c>
      <c r="L552" s="7" t="s">
        <v>2560</v>
      </c>
      <c r="M552" s="7" t="s">
        <v>2561</v>
      </c>
      <c r="N552" s="9">
        <v>35317.0</v>
      </c>
    </row>
    <row r="553" ht="19.5" customHeight="1">
      <c r="A553" s="6" t="s">
        <v>2562</v>
      </c>
      <c r="B553" s="7" t="s">
        <v>6</v>
      </c>
      <c r="C553" s="7" t="s">
        <v>2563</v>
      </c>
      <c r="D553" s="7" t="s">
        <v>6</v>
      </c>
      <c r="E553" s="7" t="s">
        <v>45</v>
      </c>
      <c r="F553" s="6" t="s">
        <v>46</v>
      </c>
      <c r="G553" s="7" t="s">
        <v>2564</v>
      </c>
      <c r="H553" s="7" t="s">
        <v>23</v>
      </c>
      <c r="I553" s="6" t="s">
        <v>193</v>
      </c>
      <c r="J553" s="7" t="s">
        <v>200</v>
      </c>
      <c r="K553" s="6" t="s">
        <v>26</v>
      </c>
      <c r="L553" s="7" t="s">
        <v>2565</v>
      </c>
      <c r="M553" s="7" t="s">
        <v>2566</v>
      </c>
      <c r="N553" s="9">
        <v>35282.0</v>
      </c>
    </row>
    <row r="554" ht="19.5" customHeight="1">
      <c r="A554" s="6" t="s">
        <v>2567</v>
      </c>
      <c r="B554" s="7" t="s">
        <v>6</v>
      </c>
      <c r="C554" s="7" t="s">
        <v>2568</v>
      </c>
      <c r="D554" s="7" t="s">
        <v>6</v>
      </c>
      <c r="E554" s="7" t="s">
        <v>45</v>
      </c>
      <c r="F554" s="6" t="s">
        <v>46</v>
      </c>
      <c r="G554" s="7" t="s">
        <v>2569</v>
      </c>
      <c r="H554" s="7" t="s">
        <v>23</v>
      </c>
      <c r="I554" s="6" t="s">
        <v>193</v>
      </c>
      <c r="J554" s="7" t="s">
        <v>200</v>
      </c>
      <c r="K554" s="6" t="s">
        <v>26</v>
      </c>
      <c r="L554" s="7" t="s">
        <v>2570</v>
      </c>
      <c r="M554" s="7" t="s">
        <v>2571</v>
      </c>
      <c r="N554" s="9">
        <v>35309.0</v>
      </c>
    </row>
    <row r="555" ht="19.5" customHeight="1">
      <c r="A555" s="6" t="s">
        <v>2572</v>
      </c>
      <c r="B555" s="7" t="s">
        <v>6</v>
      </c>
      <c r="C555" s="7" t="s">
        <v>2573</v>
      </c>
      <c r="D555" s="7" t="s">
        <v>6</v>
      </c>
      <c r="E555" s="7" t="s">
        <v>45</v>
      </c>
      <c r="F555" s="6" t="s">
        <v>46</v>
      </c>
      <c r="G555" s="7" t="s">
        <v>2574</v>
      </c>
      <c r="H555" s="7" t="s">
        <v>23</v>
      </c>
      <c r="I555" s="6" t="s">
        <v>24</v>
      </c>
      <c r="J555" s="7" t="s">
        <v>25</v>
      </c>
      <c r="K555" s="6" t="s">
        <v>26</v>
      </c>
      <c r="L555" s="7" t="s">
        <v>2575</v>
      </c>
      <c r="M555" s="7" t="s">
        <v>2576</v>
      </c>
      <c r="N555" s="9">
        <v>34226.0</v>
      </c>
    </row>
    <row r="556" ht="19.5" customHeight="1">
      <c r="A556" s="6" t="s">
        <v>2577</v>
      </c>
      <c r="B556" s="7" t="s">
        <v>6</v>
      </c>
      <c r="C556" s="7" t="s">
        <v>2578</v>
      </c>
      <c r="D556" s="7" t="s">
        <v>6</v>
      </c>
      <c r="E556" s="7" t="s">
        <v>45</v>
      </c>
      <c r="F556" s="6" t="s">
        <v>46</v>
      </c>
      <c r="G556" s="7" t="s">
        <v>2579</v>
      </c>
      <c r="H556" s="7" t="s">
        <v>23</v>
      </c>
      <c r="I556" s="6" t="s">
        <v>198</v>
      </c>
      <c r="J556" s="7" t="s">
        <v>337</v>
      </c>
      <c r="K556" s="6" t="s">
        <v>26</v>
      </c>
      <c r="L556" s="7" t="s">
        <v>2580</v>
      </c>
      <c r="M556" s="7" t="s">
        <v>2581</v>
      </c>
      <c r="N556" s="9">
        <v>35496.0</v>
      </c>
    </row>
    <row r="557" ht="19.5" customHeight="1">
      <c r="A557" s="6" t="s">
        <v>2582</v>
      </c>
      <c r="B557" s="7" t="s">
        <v>6</v>
      </c>
      <c r="C557" s="7" t="s">
        <v>2583</v>
      </c>
      <c r="D557" s="7" t="s">
        <v>6</v>
      </c>
      <c r="E557" s="7" t="s">
        <v>45</v>
      </c>
      <c r="F557" s="6" t="s">
        <v>46</v>
      </c>
      <c r="G557" s="7" t="s">
        <v>2584</v>
      </c>
      <c r="H557" s="7" t="s">
        <v>23</v>
      </c>
      <c r="I557" s="6" t="s">
        <v>193</v>
      </c>
      <c r="J557" s="7" t="s">
        <v>200</v>
      </c>
      <c r="K557" s="6" t="s">
        <v>26</v>
      </c>
      <c r="L557" s="7" t="s">
        <v>2585</v>
      </c>
      <c r="M557" s="7" t="s">
        <v>2586</v>
      </c>
      <c r="N557" s="9">
        <v>35204.0</v>
      </c>
    </row>
    <row r="558" ht="19.5" customHeight="1">
      <c r="A558" s="6" t="s">
        <v>2587</v>
      </c>
      <c r="B558" s="7" t="s">
        <v>6</v>
      </c>
      <c r="C558" s="7" t="s">
        <v>2588</v>
      </c>
      <c r="D558" s="7" t="s">
        <v>6</v>
      </c>
      <c r="E558" s="7" t="s">
        <v>45</v>
      </c>
      <c r="F558" s="6" t="s">
        <v>46</v>
      </c>
      <c r="G558" s="7" t="s">
        <v>2589</v>
      </c>
      <c r="H558" s="7" t="s">
        <v>23</v>
      </c>
      <c r="I558" s="6" t="s">
        <v>193</v>
      </c>
      <c r="J558" s="7" t="s">
        <v>200</v>
      </c>
      <c r="K558" s="6" t="s">
        <v>26</v>
      </c>
      <c r="L558" s="7" t="s">
        <v>2590</v>
      </c>
      <c r="M558" s="7" t="s">
        <v>2591</v>
      </c>
      <c r="N558" s="9">
        <v>35076.0</v>
      </c>
    </row>
    <row r="559" ht="19.5" customHeight="1">
      <c r="A559" s="6" t="s">
        <v>2592</v>
      </c>
      <c r="B559" s="7" t="s">
        <v>6</v>
      </c>
      <c r="C559" s="7" t="s">
        <v>2593</v>
      </c>
      <c r="D559" s="7" t="s">
        <v>6</v>
      </c>
      <c r="E559" s="7" t="s">
        <v>45</v>
      </c>
      <c r="F559" s="6" t="s">
        <v>46</v>
      </c>
      <c r="G559" s="7" t="s">
        <v>2559</v>
      </c>
      <c r="H559" s="7" t="s">
        <v>23</v>
      </c>
      <c r="I559" s="6" t="s">
        <v>189</v>
      </c>
      <c r="J559" s="7" t="s">
        <v>210</v>
      </c>
      <c r="K559" s="6" t="s">
        <v>26</v>
      </c>
      <c r="L559" s="7" t="s">
        <v>2594</v>
      </c>
      <c r="M559" s="7" t="s">
        <v>2595</v>
      </c>
      <c r="N559" s="9">
        <v>34837.0</v>
      </c>
    </row>
    <row r="560" ht="19.5" customHeight="1">
      <c r="A560" s="6" t="s">
        <v>2596</v>
      </c>
      <c r="B560" s="7" t="s">
        <v>6</v>
      </c>
      <c r="C560" s="7" t="s">
        <v>2597</v>
      </c>
      <c r="D560" s="7" t="s">
        <v>6</v>
      </c>
      <c r="E560" s="7" t="s">
        <v>45</v>
      </c>
      <c r="F560" s="6" t="s">
        <v>46</v>
      </c>
      <c r="G560" s="7" t="s">
        <v>2554</v>
      </c>
      <c r="H560" s="7" t="s">
        <v>48</v>
      </c>
      <c r="I560" s="6" t="s">
        <v>198</v>
      </c>
      <c r="J560" s="7" t="s">
        <v>337</v>
      </c>
      <c r="K560" s="6" t="s">
        <v>81</v>
      </c>
      <c r="L560" s="7" t="s">
        <v>2598</v>
      </c>
      <c r="M560" s="7" t="s">
        <v>2599</v>
      </c>
      <c r="N560" s="9">
        <v>35429.0</v>
      </c>
    </row>
    <row r="561" ht="19.5" customHeight="1">
      <c r="A561" s="6" t="s">
        <v>2600</v>
      </c>
      <c r="B561" s="7" t="s">
        <v>6</v>
      </c>
      <c r="C561" s="7" t="s">
        <v>2601</v>
      </c>
      <c r="D561" s="7" t="s">
        <v>6</v>
      </c>
      <c r="E561" s="7" t="s">
        <v>45</v>
      </c>
      <c r="F561" s="6" t="s">
        <v>46</v>
      </c>
      <c r="G561" s="7" t="s">
        <v>2602</v>
      </c>
      <c r="H561" s="7" t="s">
        <v>48</v>
      </c>
      <c r="I561" s="6" t="s">
        <v>193</v>
      </c>
      <c r="J561" s="7" t="s">
        <v>200</v>
      </c>
      <c r="K561" s="6" t="s">
        <v>26</v>
      </c>
      <c r="L561" s="7" t="s">
        <v>2603</v>
      </c>
      <c r="M561" s="7" t="s">
        <v>2604</v>
      </c>
      <c r="N561" s="9">
        <v>35152.0</v>
      </c>
    </row>
    <row r="562" ht="19.5" customHeight="1">
      <c r="A562" s="6" t="s">
        <v>2605</v>
      </c>
      <c r="B562" s="7" t="s">
        <v>6</v>
      </c>
      <c r="C562" s="7" t="s">
        <v>2606</v>
      </c>
      <c r="D562" s="7" t="s">
        <v>6</v>
      </c>
      <c r="E562" s="7" t="s">
        <v>45</v>
      </c>
      <c r="F562" s="6" t="s">
        <v>46</v>
      </c>
      <c r="G562" s="7" t="s">
        <v>2607</v>
      </c>
      <c r="H562" s="7" t="s">
        <v>23</v>
      </c>
      <c r="I562" s="6" t="s">
        <v>198</v>
      </c>
      <c r="J562" s="7" t="s">
        <v>337</v>
      </c>
      <c r="K562" s="6" t="s">
        <v>81</v>
      </c>
      <c r="L562" s="7" t="s">
        <v>2608</v>
      </c>
      <c r="M562" s="7" t="s">
        <v>2609</v>
      </c>
      <c r="N562" s="9">
        <v>35394.0</v>
      </c>
    </row>
    <row r="563" ht="19.5" customHeight="1">
      <c r="A563" s="6" t="s">
        <v>2610</v>
      </c>
      <c r="B563" s="7" t="s">
        <v>6</v>
      </c>
      <c r="C563" s="7" t="s">
        <v>2611</v>
      </c>
      <c r="D563" s="7" t="s">
        <v>6</v>
      </c>
      <c r="E563" s="7" t="s">
        <v>45</v>
      </c>
      <c r="F563" s="6" t="s">
        <v>46</v>
      </c>
      <c r="G563" s="7" t="s">
        <v>2612</v>
      </c>
      <c r="H563" s="7" t="s">
        <v>48</v>
      </c>
      <c r="I563" s="6" t="s">
        <v>198</v>
      </c>
      <c r="J563" s="7" t="s">
        <v>337</v>
      </c>
      <c r="K563" s="6" t="s">
        <v>81</v>
      </c>
      <c r="L563" s="7" t="s">
        <v>2613</v>
      </c>
      <c r="M563" s="7" t="s">
        <v>2614</v>
      </c>
      <c r="N563" s="9">
        <v>35397.0</v>
      </c>
    </row>
    <row r="564" ht="19.5" customHeight="1">
      <c r="A564" s="6" t="s">
        <v>2615</v>
      </c>
      <c r="B564" s="7" t="s">
        <v>6</v>
      </c>
      <c r="C564" s="7" t="s">
        <v>2616</v>
      </c>
      <c r="D564" s="7" t="s">
        <v>6</v>
      </c>
      <c r="E564" s="7" t="s">
        <v>45</v>
      </c>
      <c r="F564" s="6" t="s">
        <v>46</v>
      </c>
      <c r="G564" s="7" t="s">
        <v>2617</v>
      </c>
      <c r="H564" s="7" t="s">
        <v>48</v>
      </c>
      <c r="I564" s="6" t="s">
        <v>198</v>
      </c>
      <c r="J564" s="7" t="s">
        <v>337</v>
      </c>
      <c r="K564" s="6" t="s">
        <v>26</v>
      </c>
      <c r="L564" s="7" t="s">
        <v>2618</v>
      </c>
      <c r="M564" s="7" t="s">
        <v>2619</v>
      </c>
      <c r="N564" s="9">
        <v>35649.0</v>
      </c>
    </row>
    <row r="565" ht="19.5" customHeight="1">
      <c r="A565" s="6" t="s">
        <v>2620</v>
      </c>
      <c r="B565" s="7" t="s">
        <v>6</v>
      </c>
      <c r="C565" s="7" t="s">
        <v>2621</v>
      </c>
      <c r="D565" s="7" t="s">
        <v>6</v>
      </c>
      <c r="E565" s="7" t="s">
        <v>45</v>
      </c>
      <c r="F565" s="6" t="s">
        <v>46</v>
      </c>
      <c r="G565" s="7" t="s">
        <v>2622</v>
      </c>
      <c r="H565" s="7" t="s">
        <v>23</v>
      </c>
      <c r="I565" s="6" t="s">
        <v>198</v>
      </c>
      <c r="J565" s="7" t="s">
        <v>337</v>
      </c>
      <c r="K565" s="6" t="s">
        <v>26</v>
      </c>
      <c r="L565" s="7" t="s">
        <v>2623</v>
      </c>
      <c r="M565" s="7" t="s">
        <v>2624</v>
      </c>
      <c r="N565" s="9">
        <v>35552.0</v>
      </c>
    </row>
    <row r="566" ht="19.5" customHeight="1">
      <c r="A566" s="6" t="s">
        <v>2625</v>
      </c>
      <c r="B566" s="7" t="s">
        <v>6</v>
      </c>
      <c r="C566" s="7" t="s">
        <v>2626</v>
      </c>
      <c r="D566" s="7" t="s">
        <v>6</v>
      </c>
      <c r="E566" s="7" t="s">
        <v>45</v>
      </c>
      <c r="F566" s="6" t="s">
        <v>46</v>
      </c>
      <c r="G566" s="7" t="s">
        <v>1190</v>
      </c>
      <c r="H566" s="7" t="s">
        <v>23</v>
      </c>
      <c r="I566" s="6" t="s">
        <v>198</v>
      </c>
      <c r="J566" s="7" t="s">
        <v>337</v>
      </c>
      <c r="K566" s="6" t="s">
        <v>81</v>
      </c>
      <c r="L566" s="7" t="s">
        <v>2627</v>
      </c>
      <c r="M566" s="7" t="s">
        <v>2628</v>
      </c>
      <c r="N566" s="9">
        <v>35404.0</v>
      </c>
    </row>
    <row r="567" ht="19.5" customHeight="1">
      <c r="A567" s="6" t="s">
        <v>2629</v>
      </c>
      <c r="B567" s="7" t="s">
        <v>6</v>
      </c>
      <c r="C567" s="7" t="s">
        <v>2630</v>
      </c>
      <c r="D567" s="7" t="s">
        <v>6</v>
      </c>
      <c r="E567" s="7" t="s">
        <v>45</v>
      </c>
      <c r="F567" s="6" t="s">
        <v>46</v>
      </c>
      <c r="G567" s="7" t="s">
        <v>1841</v>
      </c>
      <c r="H567" s="7" t="s">
        <v>48</v>
      </c>
      <c r="I567" s="6" t="s">
        <v>193</v>
      </c>
      <c r="J567" s="7" t="s">
        <v>200</v>
      </c>
      <c r="K567" s="6" t="s">
        <v>26</v>
      </c>
      <c r="L567" s="7" t="s">
        <v>2631</v>
      </c>
      <c r="M567" s="7" t="s">
        <v>2632</v>
      </c>
      <c r="N567" s="9">
        <v>35287.0</v>
      </c>
    </row>
    <row r="568" ht="19.5" customHeight="1">
      <c r="A568" s="6" t="s">
        <v>2633</v>
      </c>
      <c r="B568" s="7" t="s">
        <v>6</v>
      </c>
      <c r="C568" s="7" t="s">
        <v>2634</v>
      </c>
      <c r="D568" s="7" t="s">
        <v>6</v>
      </c>
      <c r="E568" s="7" t="s">
        <v>45</v>
      </c>
      <c r="F568" s="6" t="s">
        <v>46</v>
      </c>
      <c r="G568" s="7" t="s">
        <v>1234</v>
      </c>
      <c r="H568" s="7" t="s">
        <v>23</v>
      </c>
      <c r="I568" s="6" t="s">
        <v>193</v>
      </c>
      <c r="J568" s="7" t="s">
        <v>200</v>
      </c>
      <c r="K568" s="6" t="s">
        <v>26</v>
      </c>
      <c r="L568" s="7" t="s">
        <v>2635</v>
      </c>
      <c r="M568" s="7" t="s">
        <v>2636</v>
      </c>
      <c r="N568" s="9">
        <v>35285.0</v>
      </c>
    </row>
    <row r="569" ht="19.5" customHeight="1">
      <c r="A569" s="6" t="s">
        <v>2637</v>
      </c>
      <c r="B569" s="7" t="s">
        <v>6</v>
      </c>
      <c r="C569" s="7" t="s">
        <v>2638</v>
      </c>
      <c r="D569" s="7" t="s">
        <v>6</v>
      </c>
      <c r="E569" s="7" t="s">
        <v>45</v>
      </c>
      <c r="F569" s="6" t="s">
        <v>46</v>
      </c>
      <c r="G569" s="7" t="s">
        <v>2639</v>
      </c>
      <c r="H569" s="7" t="s">
        <v>48</v>
      </c>
      <c r="I569" s="6" t="s">
        <v>198</v>
      </c>
      <c r="J569" s="7" t="s">
        <v>337</v>
      </c>
      <c r="K569" s="6" t="s">
        <v>81</v>
      </c>
      <c r="L569" s="7" t="s">
        <v>2640</v>
      </c>
      <c r="M569" s="7" t="s">
        <v>2641</v>
      </c>
      <c r="N569" s="9">
        <v>35369.0</v>
      </c>
    </row>
    <row r="570" ht="19.5" customHeight="1">
      <c r="A570" s="6" t="s">
        <v>2642</v>
      </c>
      <c r="B570" s="7" t="s">
        <v>6</v>
      </c>
      <c r="C570" s="7" t="s">
        <v>2643</v>
      </c>
      <c r="D570" s="7" t="s">
        <v>6</v>
      </c>
      <c r="E570" s="7" t="s">
        <v>45</v>
      </c>
      <c r="F570" s="6" t="s">
        <v>46</v>
      </c>
      <c r="G570" s="7" t="s">
        <v>2644</v>
      </c>
      <c r="H570" s="7" t="s">
        <v>48</v>
      </c>
      <c r="I570" s="6" t="s">
        <v>193</v>
      </c>
      <c r="J570" s="7" t="s">
        <v>200</v>
      </c>
      <c r="K570" s="6" t="s">
        <v>26</v>
      </c>
      <c r="L570" s="7" t="s">
        <v>2645</v>
      </c>
      <c r="M570" s="7" t="s">
        <v>2646</v>
      </c>
      <c r="N570" s="9">
        <v>35232.0</v>
      </c>
    </row>
    <row r="571" ht="19.5" customHeight="1">
      <c r="A571" s="6" t="s">
        <v>2647</v>
      </c>
      <c r="B571" s="7" t="s">
        <v>6</v>
      </c>
      <c r="C571" s="7" t="s">
        <v>2648</v>
      </c>
      <c r="D571" s="7" t="s">
        <v>6</v>
      </c>
      <c r="E571" s="7" t="s">
        <v>45</v>
      </c>
      <c r="F571" s="6" t="s">
        <v>46</v>
      </c>
      <c r="G571" s="7" t="s">
        <v>1311</v>
      </c>
      <c r="H571" s="7" t="s">
        <v>23</v>
      </c>
      <c r="I571" s="6" t="s">
        <v>198</v>
      </c>
      <c r="J571" s="7" t="s">
        <v>337</v>
      </c>
      <c r="K571" s="6" t="s">
        <v>26</v>
      </c>
      <c r="L571" s="7" t="s">
        <v>2649</v>
      </c>
      <c r="M571" s="7" t="s">
        <v>2650</v>
      </c>
      <c r="N571" s="9">
        <v>35456.0</v>
      </c>
    </row>
    <row r="572" ht="19.5" customHeight="1">
      <c r="A572" s="6" t="s">
        <v>2651</v>
      </c>
      <c r="B572" s="7" t="s">
        <v>6</v>
      </c>
      <c r="C572" s="7" t="s">
        <v>2652</v>
      </c>
      <c r="D572" s="7" t="s">
        <v>6</v>
      </c>
      <c r="E572" s="7" t="s">
        <v>45</v>
      </c>
      <c r="F572" s="6" t="s">
        <v>46</v>
      </c>
      <c r="G572" s="7" t="s">
        <v>2440</v>
      </c>
      <c r="H572" s="7" t="s">
        <v>48</v>
      </c>
      <c r="I572" s="6" t="s">
        <v>198</v>
      </c>
      <c r="J572" s="7" t="s">
        <v>337</v>
      </c>
      <c r="K572" s="6" t="s">
        <v>26</v>
      </c>
      <c r="L572" s="7" t="s">
        <v>2653</v>
      </c>
      <c r="M572" s="7" t="s">
        <v>2654</v>
      </c>
      <c r="N572" s="9">
        <v>35491.0</v>
      </c>
    </row>
    <row r="573" ht="19.5" customHeight="1">
      <c r="A573" s="6" t="s">
        <v>2655</v>
      </c>
      <c r="B573" s="7" t="s">
        <v>6</v>
      </c>
      <c r="C573" s="7" t="s">
        <v>2656</v>
      </c>
      <c r="D573" s="7" t="s">
        <v>6</v>
      </c>
      <c r="E573" s="7" t="s">
        <v>45</v>
      </c>
      <c r="F573" s="6" t="s">
        <v>46</v>
      </c>
      <c r="G573" s="7" t="s">
        <v>408</v>
      </c>
      <c r="H573" s="7" t="s">
        <v>23</v>
      </c>
      <c r="I573" s="6" t="s">
        <v>193</v>
      </c>
      <c r="J573" s="7" t="s">
        <v>200</v>
      </c>
      <c r="K573" s="6" t="s">
        <v>26</v>
      </c>
      <c r="L573" s="7" t="s">
        <v>2657</v>
      </c>
      <c r="M573" s="7" t="s">
        <v>2658</v>
      </c>
      <c r="N573" s="9">
        <v>35328.0</v>
      </c>
    </row>
    <row r="574" ht="19.5" customHeight="1">
      <c r="A574" s="6" t="s">
        <v>2659</v>
      </c>
      <c r="B574" s="7" t="s">
        <v>6</v>
      </c>
      <c r="C574" s="7" t="s">
        <v>2660</v>
      </c>
      <c r="D574" s="7" t="s">
        <v>6</v>
      </c>
      <c r="E574" s="7" t="s">
        <v>45</v>
      </c>
      <c r="F574" s="6" t="s">
        <v>46</v>
      </c>
      <c r="G574" s="7" t="s">
        <v>1073</v>
      </c>
      <c r="H574" s="7" t="s">
        <v>23</v>
      </c>
      <c r="I574" s="6" t="s">
        <v>198</v>
      </c>
      <c r="J574" s="7" t="s">
        <v>337</v>
      </c>
      <c r="K574" s="6" t="s">
        <v>26</v>
      </c>
      <c r="L574" s="7" t="s">
        <v>2661</v>
      </c>
      <c r="M574" s="7" t="s">
        <v>2662</v>
      </c>
      <c r="N574" s="9">
        <v>35591.0</v>
      </c>
    </row>
    <row r="575" ht="19.5" customHeight="1">
      <c r="A575" s="6" t="s">
        <v>2663</v>
      </c>
      <c r="B575" s="7" t="s">
        <v>6</v>
      </c>
      <c r="C575" s="7" t="s">
        <v>2664</v>
      </c>
      <c r="D575" s="7" t="s">
        <v>6</v>
      </c>
      <c r="E575" s="7" t="s">
        <v>45</v>
      </c>
      <c r="F575" s="6" t="s">
        <v>46</v>
      </c>
      <c r="G575" s="7" t="s">
        <v>1254</v>
      </c>
      <c r="H575" s="7" t="s">
        <v>48</v>
      </c>
      <c r="I575" s="6" t="s">
        <v>198</v>
      </c>
      <c r="J575" s="7" t="s">
        <v>337</v>
      </c>
      <c r="K575" s="6" t="s">
        <v>26</v>
      </c>
      <c r="L575" s="7" t="s">
        <v>2665</v>
      </c>
      <c r="M575" s="7" t="s">
        <v>2666</v>
      </c>
      <c r="N575" s="9">
        <v>35641.0</v>
      </c>
    </row>
    <row r="576" ht="19.5" customHeight="1">
      <c r="A576" s="6" t="s">
        <v>2667</v>
      </c>
      <c r="B576" s="7" t="s">
        <v>6</v>
      </c>
      <c r="C576" s="7" t="s">
        <v>2668</v>
      </c>
      <c r="D576" s="7" t="s">
        <v>6</v>
      </c>
      <c r="E576" s="7" t="s">
        <v>45</v>
      </c>
      <c r="F576" s="6" t="s">
        <v>46</v>
      </c>
      <c r="G576" s="7" t="s">
        <v>2669</v>
      </c>
      <c r="H576" s="7" t="s">
        <v>48</v>
      </c>
      <c r="I576" s="6" t="s">
        <v>198</v>
      </c>
      <c r="J576" s="7" t="s">
        <v>337</v>
      </c>
      <c r="K576" s="6" t="s">
        <v>26</v>
      </c>
      <c r="L576" s="7" t="s">
        <v>2670</v>
      </c>
      <c r="M576" s="7" t="s">
        <v>2671</v>
      </c>
      <c r="N576" s="9">
        <v>35478.0</v>
      </c>
    </row>
    <row r="577" ht="19.5" customHeight="1">
      <c r="A577" s="6" t="s">
        <v>2672</v>
      </c>
      <c r="B577" s="7" t="s">
        <v>6</v>
      </c>
      <c r="C577" s="7" t="s">
        <v>2673</v>
      </c>
      <c r="D577" s="7" t="s">
        <v>6</v>
      </c>
      <c r="E577" s="7" t="s">
        <v>45</v>
      </c>
      <c r="F577" s="6" t="s">
        <v>46</v>
      </c>
      <c r="G577" s="7" t="s">
        <v>1185</v>
      </c>
      <c r="H577" s="7" t="s">
        <v>48</v>
      </c>
      <c r="I577" s="6" t="s">
        <v>193</v>
      </c>
      <c r="J577" s="7" t="s">
        <v>200</v>
      </c>
      <c r="K577" s="6" t="s">
        <v>26</v>
      </c>
      <c r="L577" s="7" t="s">
        <v>2674</v>
      </c>
      <c r="M577" s="7" t="s">
        <v>2675</v>
      </c>
      <c r="N577" s="9">
        <v>35277.0</v>
      </c>
    </row>
    <row r="578" ht="19.5" customHeight="1">
      <c r="A578" s="6" t="s">
        <v>2676</v>
      </c>
      <c r="B578" s="7" t="s">
        <v>6</v>
      </c>
      <c r="C578" s="7" t="s">
        <v>2677</v>
      </c>
      <c r="D578" s="7" t="s">
        <v>6</v>
      </c>
      <c r="E578" s="7" t="s">
        <v>45</v>
      </c>
      <c r="F578" s="6" t="s">
        <v>46</v>
      </c>
      <c r="G578" s="7" t="s">
        <v>658</v>
      </c>
      <c r="H578" s="7" t="s">
        <v>48</v>
      </c>
      <c r="I578" s="6" t="s">
        <v>198</v>
      </c>
      <c r="J578" s="7" t="s">
        <v>337</v>
      </c>
      <c r="K578" s="6" t="s">
        <v>26</v>
      </c>
      <c r="L578" s="7" t="s">
        <v>2678</v>
      </c>
      <c r="M578" s="7" t="s">
        <v>2679</v>
      </c>
      <c r="N578" s="9">
        <v>35464.0</v>
      </c>
    </row>
    <row r="579" ht="19.5" customHeight="1">
      <c r="A579" s="6" t="s">
        <v>2680</v>
      </c>
      <c r="B579" s="7" t="s">
        <v>6</v>
      </c>
      <c r="C579" s="7" t="s">
        <v>2681</v>
      </c>
      <c r="D579" s="7" t="s">
        <v>6</v>
      </c>
      <c r="E579" s="7" t="s">
        <v>45</v>
      </c>
      <c r="F579" s="6" t="s">
        <v>46</v>
      </c>
      <c r="G579" s="7" t="s">
        <v>2682</v>
      </c>
      <c r="H579" s="7" t="s">
        <v>48</v>
      </c>
      <c r="I579" s="6" t="s">
        <v>193</v>
      </c>
      <c r="J579" s="7" t="s">
        <v>200</v>
      </c>
      <c r="K579" s="6" t="s">
        <v>81</v>
      </c>
      <c r="L579" s="7" t="s">
        <v>2683</v>
      </c>
      <c r="M579" s="7" t="s">
        <v>2684</v>
      </c>
      <c r="N579" s="9">
        <v>35055.0</v>
      </c>
    </row>
    <row r="580" ht="19.5" customHeight="1">
      <c r="A580" s="6" t="s">
        <v>2685</v>
      </c>
      <c r="B580" s="7" t="s">
        <v>6</v>
      </c>
      <c r="C580" s="7" t="s">
        <v>2686</v>
      </c>
      <c r="D580" s="7" t="s">
        <v>6</v>
      </c>
      <c r="E580" s="7" t="s">
        <v>45</v>
      </c>
      <c r="F580" s="6" t="s">
        <v>46</v>
      </c>
      <c r="G580" s="7" t="s">
        <v>2687</v>
      </c>
      <c r="H580" s="7" t="s">
        <v>48</v>
      </c>
      <c r="I580" s="6" t="s">
        <v>198</v>
      </c>
      <c r="J580" s="7" t="s">
        <v>337</v>
      </c>
      <c r="K580" s="6" t="s">
        <v>26</v>
      </c>
      <c r="L580" s="7" t="s">
        <v>2688</v>
      </c>
      <c r="M580" s="7" t="s">
        <v>2689</v>
      </c>
      <c r="N580" s="9">
        <v>35454.0</v>
      </c>
    </row>
    <row r="581" ht="19.5" customHeight="1">
      <c r="A581" s="6" t="s">
        <v>2690</v>
      </c>
      <c r="B581" s="7" t="s">
        <v>6</v>
      </c>
      <c r="C581" s="7" t="s">
        <v>2691</v>
      </c>
      <c r="D581" s="7" t="s">
        <v>6</v>
      </c>
      <c r="E581" s="7" t="s">
        <v>45</v>
      </c>
      <c r="F581" s="6" t="s">
        <v>46</v>
      </c>
      <c r="G581" s="7" t="s">
        <v>2692</v>
      </c>
      <c r="H581" s="7" t="s">
        <v>48</v>
      </c>
      <c r="I581" s="6" t="s">
        <v>198</v>
      </c>
      <c r="J581" s="7" t="s">
        <v>337</v>
      </c>
      <c r="K581" s="6" t="s">
        <v>26</v>
      </c>
      <c r="L581" s="7" t="s">
        <v>2693</v>
      </c>
      <c r="M581" s="7" t="s">
        <v>2694</v>
      </c>
      <c r="N581" s="9">
        <v>35432.0</v>
      </c>
    </row>
    <row r="582" ht="19.5" customHeight="1">
      <c r="A582" s="6" t="s">
        <v>2695</v>
      </c>
      <c r="B582" s="7" t="s">
        <v>6</v>
      </c>
      <c r="C582" s="7" t="s">
        <v>2696</v>
      </c>
      <c r="D582" s="7" t="s">
        <v>6</v>
      </c>
      <c r="E582" s="7" t="s">
        <v>45</v>
      </c>
      <c r="F582" s="6" t="s">
        <v>46</v>
      </c>
      <c r="G582" s="7" t="s">
        <v>2697</v>
      </c>
      <c r="H582" s="7" t="s">
        <v>23</v>
      </c>
      <c r="I582" s="6" t="s">
        <v>193</v>
      </c>
      <c r="J582" s="7" t="s">
        <v>200</v>
      </c>
      <c r="K582" s="6" t="s">
        <v>26</v>
      </c>
      <c r="L582" s="7" t="s">
        <v>2698</v>
      </c>
      <c r="M582" s="7" t="s">
        <v>2699</v>
      </c>
      <c r="N582" s="9">
        <v>35215.0</v>
      </c>
    </row>
    <row r="583" ht="19.5" customHeight="1">
      <c r="A583" s="6" t="s">
        <v>2700</v>
      </c>
      <c r="B583" s="7" t="s">
        <v>6</v>
      </c>
      <c r="C583" s="7" t="s">
        <v>2701</v>
      </c>
      <c r="D583" s="7" t="s">
        <v>6</v>
      </c>
      <c r="E583" s="7" t="s">
        <v>45</v>
      </c>
      <c r="F583" s="6" t="s">
        <v>46</v>
      </c>
      <c r="G583" s="7" t="s">
        <v>2687</v>
      </c>
      <c r="H583" s="7" t="s">
        <v>23</v>
      </c>
      <c r="I583" s="6" t="s">
        <v>193</v>
      </c>
      <c r="J583" s="7" t="s">
        <v>200</v>
      </c>
      <c r="K583" s="6" t="s">
        <v>26</v>
      </c>
      <c r="L583" s="7" t="s">
        <v>2702</v>
      </c>
      <c r="M583" s="7" t="s">
        <v>2703</v>
      </c>
      <c r="N583" s="9">
        <v>35290.0</v>
      </c>
    </row>
    <row r="584" ht="19.5" customHeight="1">
      <c r="A584" s="6" t="s">
        <v>2704</v>
      </c>
      <c r="B584" s="7" t="s">
        <v>6</v>
      </c>
      <c r="C584" s="7" t="s">
        <v>2705</v>
      </c>
      <c r="D584" s="7" t="s">
        <v>6</v>
      </c>
      <c r="E584" s="7" t="s">
        <v>45</v>
      </c>
      <c r="F584" s="6" t="s">
        <v>46</v>
      </c>
      <c r="G584" s="7" t="s">
        <v>1841</v>
      </c>
      <c r="H584" s="7" t="s">
        <v>23</v>
      </c>
      <c r="I584" s="6" t="s">
        <v>193</v>
      </c>
      <c r="J584" s="7" t="s">
        <v>200</v>
      </c>
      <c r="K584" s="6" t="s">
        <v>26</v>
      </c>
      <c r="L584" s="7" t="s">
        <v>2706</v>
      </c>
      <c r="M584" s="7" t="s">
        <v>2707</v>
      </c>
      <c r="N584" s="9">
        <v>35316.0</v>
      </c>
    </row>
    <row r="585" ht="19.5" customHeight="1">
      <c r="A585" s="6" t="s">
        <v>2708</v>
      </c>
      <c r="B585" s="7" t="s">
        <v>6</v>
      </c>
      <c r="C585" s="7" t="s">
        <v>2709</v>
      </c>
      <c r="D585" s="7" t="s">
        <v>6</v>
      </c>
      <c r="E585" s="7" t="s">
        <v>45</v>
      </c>
      <c r="F585" s="6" t="s">
        <v>46</v>
      </c>
      <c r="G585" s="7" t="s">
        <v>2710</v>
      </c>
      <c r="H585" s="7" t="s">
        <v>23</v>
      </c>
      <c r="I585" s="6" t="s">
        <v>198</v>
      </c>
      <c r="J585" s="7" t="s">
        <v>337</v>
      </c>
      <c r="K585" s="6" t="s">
        <v>26</v>
      </c>
      <c r="L585" s="7" t="s">
        <v>2711</v>
      </c>
      <c r="M585" s="7" t="s">
        <v>2712</v>
      </c>
      <c r="N585" s="9">
        <v>35503.0</v>
      </c>
    </row>
    <row r="586" ht="19.5" customHeight="1">
      <c r="A586" s="6" t="s">
        <v>2713</v>
      </c>
      <c r="B586" s="7" t="s">
        <v>6</v>
      </c>
      <c r="C586" s="7" t="s">
        <v>2714</v>
      </c>
      <c r="D586" s="7" t="s">
        <v>6</v>
      </c>
      <c r="E586" s="7" t="s">
        <v>45</v>
      </c>
      <c r="F586" s="6" t="s">
        <v>46</v>
      </c>
      <c r="G586" s="7" t="s">
        <v>2715</v>
      </c>
      <c r="H586" s="7" t="s">
        <v>23</v>
      </c>
      <c r="I586" s="6" t="s">
        <v>198</v>
      </c>
      <c r="J586" s="7" t="s">
        <v>337</v>
      </c>
      <c r="K586" s="6" t="s">
        <v>81</v>
      </c>
      <c r="L586" s="7" t="s">
        <v>2716</v>
      </c>
      <c r="M586" s="7" t="s">
        <v>2717</v>
      </c>
      <c r="N586" s="9">
        <v>35366.0</v>
      </c>
    </row>
    <row r="587" ht="19.5" customHeight="1">
      <c r="A587" s="6" t="s">
        <v>2718</v>
      </c>
      <c r="B587" s="7" t="s">
        <v>6</v>
      </c>
      <c r="C587" s="7" t="s">
        <v>2719</v>
      </c>
      <c r="D587" s="7" t="s">
        <v>6</v>
      </c>
      <c r="E587" s="7" t="s">
        <v>45</v>
      </c>
      <c r="F587" s="6" t="s">
        <v>46</v>
      </c>
      <c r="G587" s="7" t="s">
        <v>1175</v>
      </c>
      <c r="H587" s="7" t="s">
        <v>23</v>
      </c>
      <c r="I587" s="6" t="s">
        <v>198</v>
      </c>
      <c r="J587" s="7" t="s">
        <v>337</v>
      </c>
      <c r="K587" s="6" t="s">
        <v>26</v>
      </c>
      <c r="L587" s="7" t="s">
        <v>2720</v>
      </c>
      <c r="M587" s="7" t="s">
        <v>2721</v>
      </c>
      <c r="N587" s="9">
        <v>35472.0</v>
      </c>
    </row>
    <row r="588" ht="19.5" customHeight="1">
      <c r="A588" s="6" t="s">
        <v>2722</v>
      </c>
      <c r="B588" s="7" t="s">
        <v>6</v>
      </c>
      <c r="C588" s="7" t="s">
        <v>2723</v>
      </c>
      <c r="D588" s="7" t="s">
        <v>6</v>
      </c>
      <c r="E588" s="7" t="s">
        <v>45</v>
      </c>
      <c r="F588" s="6" t="s">
        <v>46</v>
      </c>
      <c r="G588" s="7" t="s">
        <v>2440</v>
      </c>
      <c r="H588" s="7" t="s">
        <v>23</v>
      </c>
      <c r="I588" s="6" t="s">
        <v>189</v>
      </c>
      <c r="J588" s="7" t="s">
        <v>210</v>
      </c>
      <c r="K588" s="6" t="s">
        <v>26</v>
      </c>
      <c r="L588" s="7" t="s">
        <v>2724</v>
      </c>
      <c r="M588" s="7" t="s">
        <v>2725</v>
      </c>
      <c r="N588" s="9">
        <v>34937.0</v>
      </c>
    </row>
    <row r="589" ht="19.5" customHeight="1">
      <c r="A589" s="6" t="s">
        <v>2726</v>
      </c>
      <c r="B589" s="7" t="s">
        <v>6</v>
      </c>
      <c r="C589" s="7" t="s">
        <v>2727</v>
      </c>
      <c r="D589" s="7" t="s">
        <v>6</v>
      </c>
      <c r="E589" s="7" t="s">
        <v>45</v>
      </c>
      <c r="F589" s="6" t="s">
        <v>46</v>
      </c>
      <c r="G589" s="7" t="s">
        <v>980</v>
      </c>
      <c r="H589" s="7" t="s">
        <v>48</v>
      </c>
      <c r="I589" s="6" t="s">
        <v>193</v>
      </c>
      <c r="J589" s="7" t="s">
        <v>200</v>
      </c>
      <c r="K589" s="6" t="s">
        <v>26</v>
      </c>
      <c r="L589" s="7" t="s">
        <v>2728</v>
      </c>
      <c r="M589" s="7" t="s">
        <v>2729</v>
      </c>
      <c r="N589" s="9">
        <v>35320.0</v>
      </c>
    </row>
    <row r="590" ht="19.5" customHeight="1">
      <c r="A590" s="6" t="s">
        <v>2730</v>
      </c>
      <c r="B590" s="7" t="s">
        <v>6</v>
      </c>
      <c r="C590" s="7" t="s">
        <v>2731</v>
      </c>
      <c r="D590" s="7" t="s">
        <v>6</v>
      </c>
      <c r="E590" s="7" t="s">
        <v>45</v>
      </c>
      <c r="F590" s="6" t="s">
        <v>46</v>
      </c>
      <c r="G590" s="7" t="s">
        <v>2732</v>
      </c>
      <c r="H590" s="7" t="s">
        <v>23</v>
      </c>
      <c r="I590" s="6" t="s">
        <v>193</v>
      </c>
      <c r="J590" s="7" t="s">
        <v>200</v>
      </c>
      <c r="K590" s="6" t="s">
        <v>81</v>
      </c>
      <c r="L590" s="7" t="s">
        <v>2733</v>
      </c>
      <c r="M590" s="7" t="s">
        <v>2734</v>
      </c>
      <c r="N590" s="9">
        <v>34981.0</v>
      </c>
    </row>
    <row r="591" ht="19.5" customHeight="1">
      <c r="A591" s="6" t="s">
        <v>2735</v>
      </c>
      <c r="B591" s="7" t="s">
        <v>6</v>
      </c>
      <c r="C591" s="7" t="s">
        <v>2737</v>
      </c>
      <c r="D591" s="7" t="s">
        <v>6</v>
      </c>
      <c r="E591" s="7" t="s">
        <v>45</v>
      </c>
      <c r="F591" s="6" t="s">
        <v>46</v>
      </c>
      <c r="G591" s="7" t="s">
        <v>2738</v>
      </c>
      <c r="H591" s="7" t="s">
        <v>23</v>
      </c>
      <c r="I591" s="6" t="s">
        <v>198</v>
      </c>
      <c r="J591" s="7" t="s">
        <v>337</v>
      </c>
      <c r="K591" s="6" t="s">
        <v>26</v>
      </c>
      <c r="L591" s="7" t="s">
        <v>2739</v>
      </c>
      <c r="M591" s="7" t="s">
        <v>2740</v>
      </c>
      <c r="N591" s="9">
        <v>35522.0</v>
      </c>
    </row>
    <row r="592" ht="19.5" customHeight="1">
      <c r="A592" s="6" t="s">
        <v>2741</v>
      </c>
      <c r="B592" s="7" t="s">
        <v>6</v>
      </c>
      <c r="C592" s="7" t="s">
        <v>2742</v>
      </c>
      <c r="D592" s="7" t="s">
        <v>6</v>
      </c>
      <c r="E592" s="7" t="s">
        <v>45</v>
      </c>
      <c r="F592" s="6" t="s">
        <v>46</v>
      </c>
      <c r="G592" s="7" t="s">
        <v>2743</v>
      </c>
      <c r="H592" s="7" t="s">
        <v>23</v>
      </c>
      <c r="I592" s="6" t="s">
        <v>198</v>
      </c>
      <c r="J592" s="7" t="s">
        <v>337</v>
      </c>
      <c r="K592" s="6" t="s">
        <v>81</v>
      </c>
      <c r="L592" s="7" t="s">
        <v>2744</v>
      </c>
      <c r="M592" s="7" t="s">
        <v>2745</v>
      </c>
      <c r="N592" s="9">
        <v>35345.0</v>
      </c>
    </row>
    <row r="593" ht="19.5" customHeight="1">
      <c r="A593" s="6" t="s">
        <v>2746</v>
      </c>
      <c r="B593" s="7" t="s">
        <v>6</v>
      </c>
      <c r="C593" s="7" t="s">
        <v>2747</v>
      </c>
      <c r="D593" s="7" t="s">
        <v>6</v>
      </c>
      <c r="E593" s="7" t="s">
        <v>45</v>
      </c>
      <c r="F593" s="6" t="s">
        <v>46</v>
      </c>
      <c r="G593" s="7" t="s">
        <v>2692</v>
      </c>
      <c r="H593" s="7" t="s">
        <v>23</v>
      </c>
      <c r="I593" s="6" t="s">
        <v>193</v>
      </c>
      <c r="J593" s="7" t="s">
        <v>200</v>
      </c>
      <c r="K593" s="6" t="s">
        <v>26</v>
      </c>
      <c r="L593" s="7" t="s">
        <v>2748</v>
      </c>
      <c r="M593" s="7" t="s">
        <v>2749</v>
      </c>
      <c r="N593" s="9">
        <v>35306.0</v>
      </c>
    </row>
    <row r="594" ht="19.5" customHeight="1">
      <c r="A594" s="6" t="s">
        <v>2750</v>
      </c>
      <c r="B594" s="7" t="s">
        <v>6</v>
      </c>
      <c r="C594" s="7" t="s">
        <v>2751</v>
      </c>
      <c r="D594" s="7" t="s">
        <v>6</v>
      </c>
      <c r="E594" s="7" t="s">
        <v>45</v>
      </c>
      <c r="F594" s="6" t="s">
        <v>46</v>
      </c>
      <c r="G594" s="7" t="s">
        <v>2752</v>
      </c>
      <c r="H594" s="7" t="s">
        <v>23</v>
      </c>
      <c r="I594" s="6" t="s">
        <v>198</v>
      </c>
      <c r="J594" s="7" t="s">
        <v>337</v>
      </c>
      <c r="K594" s="6" t="s">
        <v>26</v>
      </c>
      <c r="L594" s="7" t="s">
        <v>2753</v>
      </c>
      <c r="M594" s="7" t="s">
        <v>2754</v>
      </c>
      <c r="N594" s="9">
        <v>35482.0</v>
      </c>
    </row>
    <row r="595" ht="19.5" customHeight="1">
      <c r="A595" s="6" t="s">
        <v>2755</v>
      </c>
      <c r="B595" s="7" t="s">
        <v>6</v>
      </c>
      <c r="C595" s="7" t="s">
        <v>2756</v>
      </c>
      <c r="D595" s="7" t="s">
        <v>6</v>
      </c>
      <c r="E595" s="7" t="s">
        <v>45</v>
      </c>
      <c r="F595" s="6" t="s">
        <v>46</v>
      </c>
      <c r="G595" s="7" t="s">
        <v>1862</v>
      </c>
      <c r="H595" s="7" t="s">
        <v>23</v>
      </c>
      <c r="I595" s="6" t="s">
        <v>193</v>
      </c>
      <c r="J595" s="7" t="s">
        <v>200</v>
      </c>
      <c r="K595" s="6" t="s">
        <v>26</v>
      </c>
      <c r="L595" s="7" t="s">
        <v>2757</v>
      </c>
      <c r="M595" s="7" t="s">
        <v>2758</v>
      </c>
      <c r="N595" s="9">
        <v>35080.0</v>
      </c>
    </row>
    <row r="596" ht="19.5" customHeight="1">
      <c r="A596" s="6" t="s">
        <v>2759</v>
      </c>
      <c r="B596" s="7" t="s">
        <v>6</v>
      </c>
      <c r="C596" s="7" t="s">
        <v>2760</v>
      </c>
      <c r="D596" s="7" t="s">
        <v>6</v>
      </c>
      <c r="E596" s="7" t="s">
        <v>45</v>
      </c>
      <c r="F596" s="6" t="s">
        <v>46</v>
      </c>
      <c r="G596" s="7" t="s">
        <v>2761</v>
      </c>
      <c r="H596" s="7" t="s">
        <v>48</v>
      </c>
      <c r="I596" s="6" t="s">
        <v>24</v>
      </c>
      <c r="J596" s="7" t="s">
        <v>25</v>
      </c>
      <c r="K596" s="6" t="s">
        <v>81</v>
      </c>
      <c r="L596" s="7" t="s">
        <v>2762</v>
      </c>
      <c r="M596" s="7" t="s">
        <v>2763</v>
      </c>
      <c r="N596" s="9">
        <v>33931.0</v>
      </c>
    </row>
    <row r="597" ht="19.5" customHeight="1">
      <c r="A597" s="6" t="s">
        <v>2764</v>
      </c>
      <c r="B597" s="7" t="s">
        <v>6</v>
      </c>
      <c r="C597" s="7" t="s">
        <v>2765</v>
      </c>
      <c r="D597" s="7" t="s">
        <v>6</v>
      </c>
      <c r="E597" s="7" t="s">
        <v>45</v>
      </c>
      <c r="F597" s="6" t="s">
        <v>46</v>
      </c>
      <c r="G597" s="7" t="s">
        <v>2766</v>
      </c>
      <c r="H597" s="7" t="s">
        <v>23</v>
      </c>
      <c r="I597" s="6" t="s">
        <v>198</v>
      </c>
      <c r="J597" s="7" t="s">
        <v>337</v>
      </c>
      <c r="K597" s="6" t="s">
        <v>26</v>
      </c>
      <c r="L597" s="7" t="s">
        <v>2767</v>
      </c>
      <c r="M597" s="7" t="s">
        <v>2768</v>
      </c>
      <c r="N597" s="9">
        <v>35630.0</v>
      </c>
    </row>
    <row r="598" ht="19.5" customHeight="1">
      <c r="A598" s="6" t="s">
        <v>2769</v>
      </c>
      <c r="B598" s="7" t="s">
        <v>6</v>
      </c>
      <c r="C598" s="7" t="s">
        <v>2770</v>
      </c>
      <c r="D598" s="7" t="s">
        <v>6</v>
      </c>
      <c r="E598" s="7" t="s">
        <v>45</v>
      </c>
      <c r="F598" s="6" t="s">
        <v>46</v>
      </c>
      <c r="G598" s="7" t="s">
        <v>864</v>
      </c>
      <c r="H598" s="7" t="s">
        <v>23</v>
      </c>
      <c r="I598" s="6" t="s">
        <v>193</v>
      </c>
      <c r="J598" s="7" t="s">
        <v>200</v>
      </c>
      <c r="K598" s="6" t="s">
        <v>26</v>
      </c>
      <c r="L598" s="7" t="s">
        <v>2771</v>
      </c>
      <c r="M598" s="7" t="s">
        <v>2772</v>
      </c>
      <c r="N598" s="9">
        <v>35067.0</v>
      </c>
    </row>
    <row r="599" ht="19.5" customHeight="1">
      <c r="A599" s="6" t="s">
        <v>2773</v>
      </c>
      <c r="B599" s="7" t="s">
        <v>6</v>
      </c>
      <c r="C599" s="7" t="s">
        <v>2774</v>
      </c>
      <c r="D599" s="7" t="s">
        <v>6</v>
      </c>
      <c r="E599" s="7" t="s">
        <v>45</v>
      </c>
      <c r="F599" s="6" t="s">
        <v>46</v>
      </c>
      <c r="G599" s="7" t="s">
        <v>2775</v>
      </c>
      <c r="H599" s="7" t="s">
        <v>23</v>
      </c>
      <c r="I599" s="6" t="s">
        <v>170</v>
      </c>
      <c r="J599" s="7" t="s">
        <v>409</v>
      </c>
      <c r="K599" s="6" t="s">
        <v>81</v>
      </c>
      <c r="L599" s="7" t="s">
        <v>2777</v>
      </c>
      <c r="M599" s="7" t="s">
        <v>2778</v>
      </c>
      <c r="N599" s="9">
        <v>33221.0</v>
      </c>
    </row>
    <row r="600" ht="19.5" customHeight="1">
      <c r="A600" s="6" t="s">
        <v>2779</v>
      </c>
      <c r="B600" s="7" t="s">
        <v>6</v>
      </c>
      <c r="C600" s="7" t="s">
        <v>2780</v>
      </c>
      <c r="D600" s="7" t="s">
        <v>6</v>
      </c>
      <c r="E600" s="7" t="s">
        <v>45</v>
      </c>
      <c r="F600" s="6" t="s">
        <v>46</v>
      </c>
      <c r="G600" s="7" t="s">
        <v>2781</v>
      </c>
      <c r="H600" s="7" t="s">
        <v>23</v>
      </c>
      <c r="I600" s="6" t="s">
        <v>1255</v>
      </c>
      <c r="J600" s="7" t="s">
        <v>1256</v>
      </c>
      <c r="K600" s="6" t="s">
        <v>26</v>
      </c>
      <c r="L600" s="7" t="s">
        <v>2782</v>
      </c>
      <c r="M600" s="7" t="s">
        <v>2783</v>
      </c>
      <c r="N600" s="9">
        <v>32285.0</v>
      </c>
    </row>
    <row r="601" ht="19.5" customHeight="1">
      <c r="A601" s="6" t="s">
        <v>2784</v>
      </c>
      <c r="B601" s="7" t="s">
        <v>6</v>
      </c>
      <c r="C601" s="7" t="s">
        <v>2785</v>
      </c>
      <c r="D601" s="7" t="s">
        <v>6</v>
      </c>
      <c r="E601" s="7" t="s">
        <v>45</v>
      </c>
      <c r="F601" s="6" t="s">
        <v>46</v>
      </c>
      <c r="G601" s="7" t="s">
        <v>548</v>
      </c>
      <c r="H601" s="7" t="s">
        <v>23</v>
      </c>
      <c r="I601" s="6" t="s">
        <v>198</v>
      </c>
      <c r="J601" s="7" t="s">
        <v>337</v>
      </c>
      <c r="K601" s="6" t="s">
        <v>26</v>
      </c>
      <c r="L601" s="7" t="s">
        <v>2786</v>
      </c>
      <c r="M601" s="7" t="s">
        <v>2787</v>
      </c>
      <c r="N601" s="9">
        <v>35650.0</v>
      </c>
    </row>
    <row r="602" ht="19.5" customHeight="1">
      <c r="A602" s="6" t="s">
        <v>2788</v>
      </c>
      <c r="B602" s="7" t="s">
        <v>6</v>
      </c>
      <c r="C602" s="7" t="s">
        <v>2789</v>
      </c>
      <c r="D602" s="7" t="s">
        <v>6</v>
      </c>
      <c r="E602" s="7" t="s">
        <v>45</v>
      </c>
      <c r="F602" s="6" t="s">
        <v>46</v>
      </c>
      <c r="G602" s="7" t="s">
        <v>2790</v>
      </c>
      <c r="H602" s="7" t="s">
        <v>48</v>
      </c>
      <c r="I602" s="6" t="s">
        <v>170</v>
      </c>
      <c r="J602" s="7" t="s">
        <v>409</v>
      </c>
      <c r="K602" s="6" t="s">
        <v>81</v>
      </c>
      <c r="L602" s="7" t="s">
        <v>2791</v>
      </c>
      <c r="M602" s="7" t="s">
        <v>2792</v>
      </c>
      <c r="N602" s="9">
        <v>33215.0</v>
      </c>
    </row>
    <row r="603" ht="19.5" customHeight="1">
      <c r="A603" s="6" t="s">
        <v>2793</v>
      </c>
      <c r="B603" s="7" t="s">
        <v>6</v>
      </c>
      <c r="C603" s="7" t="s">
        <v>2795</v>
      </c>
      <c r="D603" s="7" t="s">
        <v>6</v>
      </c>
      <c r="E603" s="7" t="s">
        <v>45</v>
      </c>
      <c r="F603" s="6" t="s">
        <v>46</v>
      </c>
      <c r="G603" s="7" t="s">
        <v>2796</v>
      </c>
      <c r="H603" s="7" t="s">
        <v>48</v>
      </c>
      <c r="I603" s="6" t="s">
        <v>140</v>
      </c>
      <c r="J603" s="7" t="s">
        <v>173</v>
      </c>
      <c r="K603" s="6" t="s">
        <v>26</v>
      </c>
      <c r="L603" s="7" t="s">
        <v>2797</v>
      </c>
      <c r="M603" s="7" t="s">
        <v>6</v>
      </c>
      <c r="N603" s="9">
        <v>30439.0</v>
      </c>
    </row>
    <row r="604" ht="19.5" customHeight="1">
      <c r="A604" s="6" t="s">
        <v>2798</v>
      </c>
      <c r="B604" s="7" t="s">
        <v>6</v>
      </c>
      <c r="C604" s="7" t="s">
        <v>2799</v>
      </c>
      <c r="D604" s="7" t="s">
        <v>6</v>
      </c>
      <c r="E604" s="7" t="s">
        <v>45</v>
      </c>
      <c r="F604" s="6" t="s">
        <v>46</v>
      </c>
      <c r="G604" s="7" t="s">
        <v>2800</v>
      </c>
      <c r="H604" s="7" t="s">
        <v>48</v>
      </c>
      <c r="I604" s="6" t="s">
        <v>71</v>
      </c>
      <c r="J604" s="7" t="s">
        <v>2388</v>
      </c>
      <c r="K604" s="6" t="s">
        <v>81</v>
      </c>
      <c r="L604" s="7" t="s">
        <v>2801</v>
      </c>
      <c r="M604" s="7" t="s">
        <v>2802</v>
      </c>
      <c r="N604" s="9">
        <v>25879.0</v>
      </c>
    </row>
    <row r="605" ht="19.5" customHeight="1">
      <c r="A605" s="6" t="s">
        <v>2803</v>
      </c>
      <c r="B605" s="7" t="s">
        <v>6</v>
      </c>
      <c r="C605" s="7" t="s">
        <v>2804</v>
      </c>
      <c r="D605" s="7" t="s">
        <v>6</v>
      </c>
      <c r="E605" s="7" t="s">
        <v>45</v>
      </c>
      <c r="F605" s="6" t="s">
        <v>46</v>
      </c>
      <c r="G605" s="7" t="s">
        <v>2805</v>
      </c>
      <c r="H605" s="7" t="s">
        <v>23</v>
      </c>
      <c r="I605" s="6" t="s">
        <v>128</v>
      </c>
      <c r="J605" s="7" t="s">
        <v>1978</v>
      </c>
      <c r="K605" s="6" t="s">
        <v>26</v>
      </c>
      <c r="L605" s="7" t="s">
        <v>2806</v>
      </c>
      <c r="M605" s="7" t="s">
        <v>2807</v>
      </c>
      <c r="N605" s="9">
        <v>29267.0</v>
      </c>
    </row>
    <row r="606" ht="19.5" customHeight="1">
      <c r="A606" s="6" t="s">
        <v>2808</v>
      </c>
      <c r="B606" s="7" t="s">
        <v>6</v>
      </c>
      <c r="C606" s="7" t="s">
        <v>2809</v>
      </c>
      <c r="D606" s="7" t="s">
        <v>6</v>
      </c>
      <c r="E606" s="7" t="s">
        <v>45</v>
      </c>
      <c r="F606" s="6" t="s">
        <v>46</v>
      </c>
      <c r="G606" s="7" t="s">
        <v>178</v>
      </c>
      <c r="H606" s="7" t="s">
        <v>23</v>
      </c>
      <c r="I606" s="6" t="s">
        <v>176</v>
      </c>
      <c r="J606" s="7" t="s">
        <v>428</v>
      </c>
      <c r="K606" s="6" t="s">
        <v>26</v>
      </c>
      <c r="L606" s="7" t="s">
        <v>2810</v>
      </c>
      <c r="M606" s="7" t="s">
        <v>2811</v>
      </c>
      <c r="N606" s="9">
        <v>33767.0</v>
      </c>
    </row>
    <row r="607" ht="19.5" customHeight="1">
      <c r="A607" s="6" t="s">
        <v>2812</v>
      </c>
      <c r="B607" s="7" t="s">
        <v>6</v>
      </c>
      <c r="C607" s="7" t="s">
        <v>2813</v>
      </c>
      <c r="D607" s="7" t="s">
        <v>6</v>
      </c>
      <c r="E607" s="7" t="s">
        <v>45</v>
      </c>
      <c r="F607" s="6" t="s">
        <v>46</v>
      </c>
      <c r="G607" s="7" t="s">
        <v>1175</v>
      </c>
      <c r="H607" s="7" t="s">
        <v>23</v>
      </c>
      <c r="I607" s="6" t="s">
        <v>184</v>
      </c>
      <c r="J607" s="7" t="s">
        <v>439</v>
      </c>
      <c r="K607" s="6" t="s">
        <v>26</v>
      </c>
      <c r="L607" s="7" t="s">
        <v>2814</v>
      </c>
      <c r="M607" s="7" t="s">
        <v>2815</v>
      </c>
      <c r="N607" s="9">
        <v>34539.0</v>
      </c>
    </row>
    <row r="608" ht="19.5" customHeight="1">
      <c r="A608" s="6" t="s">
        <v>2816</v>
      </c>
      <c r="B608" s="7" t="s">
        <v>6</v>
      </c>
      <c r="C608" s="7" t="s">
        <v>2817</v>
      </c>
      <c r="D608" s="7" t="s">
        <v>6</v>
      </c>
      <c r="E608" s="7" t="s">
        <v>45</v>
      </c>
      <c r="F608" s="6" t="s">
        <v>46</v>
      </c>
      <c r="G608" s="7" t="s">
        <v>1910</v>
      </c>
      <c r="H608" s="7" t="s">
        <v>48</v>
      </c>
      <c r="I608" s="6" t="s">
        <v>140</v>
      </c>
      <c r="J608" s="7" t="s">
        <v>173</v>
      </c>
      <c r="K608" s="6" t="s">
        <v>26</v>
      </c>
      <c r="L608" s="7" t="s">
        <v>2818</v>
      </c>
      <c r="M608" s="7" t="s">
        <v>2819</v>
      </c>
      <c r="N608" s="9">
        <v>30405.0</v>
      </c>
    </row>
    <row r="609" ht="19.5" customHeight="1">
      <c r="A609" s="6" t="s">
        <v>2820</v>
      </c>
      <c r="B609" s="7" t="s">
        <v>6</v>
      </c>
      <c r="C609" s="7" t="s">
        <v>2821</v>
      </c>
      <c r="D609" s="7" t="s">
        <v>6</v>
      </c>
      <c r="E609" s="7" t="s">
        <v>45</v>
      </c>
      <c r="F609" s="6" t="s">
        <v>46</v>
      </c>
      <c r="G609" s="7" t="s">
        <v>2822</v>
      </c>
      <c r="H609" s="7" t="s">
        <v>23</v>
      </c>
      <c r="I609" s="6" t="s">
        <v>24</v>
      </c>
      <c r="J609" s="7" t="s">
        <v>25</v>
      </c>
      <c r="K609" s="6" t="s">
        <v>26</v>
      </c>
      <c r="L609" s="7" t="s">
        <v>2823</v>
      </c>
      <c r="M609" s="7" t="s">
        <v>2824</v>
      </c>
      <c r="N609" s="9">
        <v>34144.0</v>
      </c>
    </row>
    <row r="610" ht="19.5" customHeight="1">
      <c r="A610" s="6" t="s">
        <v>2825</v>
      </c>
      <c r="B610" s="7" t="s">
        <v>6</v>
      </c>
      <c r="C610" s="7" t="s">
        <v>2826</v>
      </c>
      <c r="D610" s="7" t="s">
        <v>6</v>
      </c>
      <c r="E610" s="7" t="s">
        <v>45</v>
      </c>
      <c r="F610" s="6" t="s">
        <v>46</v>
      </c>
      <c r="G610" s="7" t="s">
        <v>954</v>
      </c>
      <c r="H610" s="7" t="s">
        <v>23</v>
      </c>
      <c r="I610" s="6" t="s">
        <v>184</v>
      </c>
      <c r="J610" s="7" t="s">
        <v>439</v>
      </c>
      <c r="K610" s="6" t="s">
        <v>26</v>
      </c>
      <c r="L610" s="7" t="s">
        <v>2827</v>
      </c>
      <c r="M610" s="7" t="s">
        <v>2828</v>
      </c>
      <c r="N610" s="9">
        <v>34468.0</v>
      </c>
    </row>
    <row r="611" ht="19.5" customHeight="1">
      <c r="A611" s="6" t="s">
        <v>2829</v>
      </c>
      <c r="B611" s="7" t="s">
        <v>6</v>
      </c>
      <c r="C611" s="7" t="s">
        <v>2830</v>
      </c>
      <c r="D611" s="7" t="s">
        <v>6</v>
      </c>
      <c r="E611" s="7" t="s">
        <v>45</v>
      </c>
      <c r="F611" s="6" t="s">
        <v>46</v>
      </c>
      <c r="G611" s="7" t="s">
        <v>2738</v>
      </c>
      <c r="H611" s="7" t="s">
        <v>23</v>
      </c>
      <c r="I611" s="6" t="s">
        <v>189</v>
      </c>
      <c r="J611" s="7" t="s">
        <v>210</v>
      </c>
      <c r="K611" s="6" t="s">
        <v>26</v>
      </c>
      <c r="L611" s="7" t="s">
        <v>2831</v>
      </c>
      <c r="M611" s="7" t="s">
        <v>2832</v>
      </c>
      <c r="N611" s="9">
        <v>34710.0</v>
      </c>
    </row>
    <row r="612" ht="19.5" customHeight="1">
      <c r="A612" s="6" t="s">
        <v>2833</v>
      </c>
      <c r="B612" s="7" t="s">
        <v>6</v>
      </c>
      <c r="C612" s="7" t="s">
        <v>2834</v>
      </c>
      <c r="D612" s="7" t="s">
        <v>6</v>
      </c>
      <c r="E612" s="7" t="s">
        <v>45</v>
      </c>
      <c r="F612" s="6" t="s">
        <v>46</v>
      </c>
      <c r="G612" s="7" t="s">
        <v>1823</v>
      </c>
      <c r="H612" s="7" t="s">
        <v>48</v>
      </c>
      <c r="I612" s="6" t="s">
        <v>24</v>
      </c>
      <c r="J612" s="7" t="s">
        <v>25</v>
      </c>
      <c r="K612" s="6" t="s">
        <v>26</v>
      </c>
      <c r="L612" s="7" t="s">
        <v>2835</v>
      </c>
      <c r="M612" s="7" t="s">
        <v>2836</v>
      </c>
      <c r="N612" s="9">
        <v>34197.0</v>
      </c>
    </row>
    <row r="613" ht="19.5" customHeight="1">
      <c r="A613" s="6" t="s">
        <v>2837</v>
      </c>
      <c r="B613" s="7" t="s">
        <v>6</v>
      </c>
      <c r="C613" s="7" t="s">
        <v>2838</v>
      </c>
      <c r="D613" s="7" t="s">
        <v>6</v>
      </c>
      <c r="E613" s="7" t="s">
        <v>45</v>
      </c>
      <c r="F613" s="6" t="s">
        <v>46</v>
      </c>
      <c r="G613" s="7" t="s">
        <v>2839</v>
      </c>
      <c r="H613" s="7" t="s">
        <v>48</v>
      </c>
      <c r="I613" s="6" t="s">
        <v>184</v>
      </c>
      <c r="J613" s="7" t="s">
        <v>439</v>
      </c>
      <c r="K613" s="6" t="s">
        <v>26</v>
      </c>
      <c r="L613" s="7" t="s">
        <v>2840</v>
      </c>
      <c r="M613" s="7" t="s">
        <v>2841</v>
      </c>
      <c r="N613" s="9">
        <v>34519.0</v>
      </c>
    </row>
    <row r="614" ht="19.5" customHeight="1">
      <c r="A614" s="6" t="s">
        <v>2842</v>
      </c>
      <c r="B614" s="7" t="s">
        <v>6</v>
      </c>
      <c r="C614" s="7" t="s">
        <v>2843</v>
      </c>
      <c r="D614" s="7" t="s">
        <v>6</v>
      </c>
      <c r="E614" s="7" t="s">
        <v>45</v>
      </c>
      <c r="F614" s="6" t="s">
        <v>46</v>
      </c>
      <c r="G614" s="7" t="s">
        <v>684</v>
      </c>
      <c r="H614" s="7" t="s">
        <v>23</v>
      </c>
      <c r="I614" s="6" t="s">
        <v>184</v>
      </c>
      <c r="J614" s="7" t="s">
        <v>439</v>
      </c>
      <c r="K614" s="6" t="s">
        <v>26</v>
      </c>
      <c r="L614" s="7" t="s">
        <v>2844</v>
      </c>
      <c r="M614" s="7" t="s">
        <v>2845</v>
      </c>
      <c r="N614" s="9">
        <v>34558.0</v>
      </c>
    </row>
    <row r="615" ht="19.5" customHeight="1">
      <c r="A615" s="6" t="s">
        <v>2846</v>
      </c>
      <c r="B615" s="7" t="s">
        <v>6</v>
      </c>
      <c r="C615" s="7" t="s">
        <v>2847</v>
      </c>
      <c r="D615" s="7" t="s">
        <v>6</v>
      </c>
      <c r="E615" s="7" t="s">
        <v>45</v>
      </c>
      <c r="F615" s="6" t="s">
        <v>46</v>
      </c>
      <c r="G615" s="7" t="s">
        <v>2848</v>
      </c>
      <c r="H615" s="7" t="s">
        <v>23</v>
      </c>
      <c r="I615" s="6" t="s">
        <v>189</v>
      </c>
      <c r="J615" s="7" t="s">
        <v>210</v>
      </c>
      <c r="K615" s="6" t="s">
        <v>81</v>
      </c>
      <c r="L615" s="7" t="s">
        <v>2849</v>
      </c>
      <c r="M615" s="7" t="s">
        <v>2850</v>
      </c>
      <c r="N615" s="9">
        <v>34681.0</v>
      </c>
    </row>
    <row r="616" ht="19.5" customHeight="1">
      <c r="A616" s="6" t="s">
        <v>2851</v>
      </c>
      <c r="B616" s="7" t="s">
        <v>6</v>
      </c>
      <c r="C616" s="7" t="s">
        <v>2852</v>
      </c>
      <c r="D616" s="7" t="s">
        <v>6</v>
      </c>
      <c r="E616" s="7" t="s">
        <v>45</v>
      </c>
      <c r="F616" s="6" t="s">
        <v>46</v>
      </c>
      <c r="G616" s="7" t="s">
        <v>2853</v>
      </c>
      <c r="H616" s="7" t="s">
        <v>23</v>
      </c>
      <c r="I616" s="6" t="s">
        <v>189</v>
      </c>
      <c r="J616" s="7" t="s">
        <v>210</v>
      </c>
      <c r="K616" s="6" t="s">
        <v>81</v>
      </c>
      <c r="L616" s="7" t="s">
        <v>2854</v>
      </c>
      <c r="M616" s="7" t="s">
        <v>2855</v>
      </c>
      <c r="N616" s="9">
        <v>34635.0</v>
      </c>
    </row>
    <row r="617" ht="19.5" customHeight="1">
      <c r="A617" s="6" t="s">
        <v>2856</v>
      </c>
      <c r="B617" s="7" t="s">
        <v>6</v>
      </c>
      <c r="C617" s="7" t="s">
        <v>2857</v>
      </c>
      <c r="D617" s="7" t="s">
        <v>6</v>
      </c>
      <c r="E617" s="7" t="s">
        <v>45</v>
      </c>
      <c r="F617" s="6" t="s">
        <v>46</v>
      </c>
      <c r="G617" s="7" t="s">
        <v>2858</v>
      </c>
      <c r="H617" s="7" t="s">
        <v>23</v>
      </c>
      <c r="I617" s="6" t="s">
        <v>184</v>
      </c>
      <c r="J617" s="7" t="s">
        <v>439</v>
      </c>
      <c r="K617" s="6" t="s">
        <v>26</v>
      </c>
      <c r="L617" s="7" t="s">
        <v>2859</v>
      </c>
      <c r="M617" s="7" t="s">
        <v>2860</v>
      </c>
      <c r="N617" s="9">
        <v>34416.0</v>
      </c>
    </row>
    <row r="618" ht="19.5" customHeight="1">
      <c r="A618" s="6" t="s">
        <v>2861</v>
      </c>
      <c r="B618" s="7" t="s">
        <v>6</v>
      </c>
      <c r="C618" s="7" t="s">
        <v>2862</v>
      </c>
      <c r="D618" s="7" t="s">
        <v>6</v>
      </c>
      <c r="E618" s="7" t="s">
        <v>45</v>
      </c>
      <c r="F618" s="6" t="s">
        <v>46</v>
      </c>
      <c r="G618" s="7" t="s">
        <v>1857</v>
      </c>
      <c r="H618" s="7" t="s">
        <v>23</v>
      </c>
      <c r="I618" s="6" t="s">
        <v>184</v>
      </c>
      <c r="J618" s="7" t="s">
        <v>439</v>
      </c>
      <c r="K618" s="6" t="s">
        <v>26</v>
      </c>
      <c r="L618" s="7" t="s">
        <v>2863</v>
      </c>
      <c r="M618" s="7" t="s">
        <v>2864</v>
      </c>
      <c r="N618" s="9">
        <v>34509.0</v>
      </c>
    </row>
    <row r="619" ht="19.5" customHeight="1">
      <c r="A619" s="6" t="s">
        <v>2865</v>
      </c>
      <c r="B619" s="7" t="s">
        <v>6</v>
      </c>
      <c r="C619" s="7" t="s">
        <v>2866</v>
      </c>
      <c r="D619" s="7" t="s">
        <v>6</v>
      </c>
      <c r="E619" s="7" t="s">
        <v>45</v>
      </c>
      <c r="F619" s="6" t="s">
        <v>46</v>
      </c>
      <c r="G619" s="7" t="s">
        <v>1841</v>
      </c>
      <c r="H619" s="7" t="s">
        <v>48</v>
      </c>
      <c r="I619" s="6" t="s">
        <v>184</v>
      </c>
      <c r="J619" s="7" t="s">
        <v>439</v>
      </c>
      <c r="K619" s="6" t="s">
        <v>26</v>
      </c>
      <c r="L619" s="7" t="s">
        <v>2867</v>
      </c>
      <c r="M619" s="7" t="s">
        <v>2868</v>
      </c>
      <c r="N619" s="9">
        <v>34464.0</v>
      </c>
    </row>
    <row r="620" ht="19.5" customHeight="1">
      <c r="A620" s="6" t="s">
        <v>2869</v>
      </c>
      <c r="B620" s="7" t="s">
        <v>6</v>
      </c>
      <c r="C620" s="7" t="s">
        <v>2870</v>
      </c>
      <c r="D620" s="7" t="s">
        <v>6</v>
      </c>
      <c r="E620" s="7" t="s">
        <v>45</v>
      </c>
      <c r="F620" s="6" t="s">
        <v>46</v>
      </c>
      <c r="G620" s="7" t="s">
        <v>2871</v>
      </c>
      <c r="H620" s="7" t="s">
        <v>23</v>
      </c>
      <c r="I620" s="6" t="s">
        <v>184</v>
      </c>
      <c r="J620" s="7" t="s">
        <v>439</v>
      </c>
      <c r="K620" s="6" t="s">
        <v>26</v>
      </c>
      <c r="L620" s="7" t="s">
        <v>2872</v>
      </c>
      <c r="M620" s="7" t="s">
        <v>2873</v>
      </c>
      <c r="N620" s="9">
        <v>34521.0</v>
      </c>
    </row>
    <row r="621" ht="19.5" customHeight="1">
      <c r="A621" s="6" t="s">
        <v>2874</v>
      </c>
      <c r="B621" s="7" t="s">
        <v>6</v>
      </c>
      <c r="C621" s="7" t="s">
        <v>2875</v>
      </c>
      <c r="D621" s="7" t="s">
        <v>6</v>
      </c>
      <c r="E621" s="7" t="s">
        <v>45</v>
      </c>
      <c r="F621" s="6" t="s">
        <v>46</v>
      </c>
      <c r="G621" s="7" t="s">
        <v>2876</v>
      </c>
      <c r="H621" s="7" t="s">
        <v>23</v>
      </c>
      <c r="I621" s="6" t="s">
        <v>189</v>
      </c>
      <c r="J621" s="7" t="s">
        <v>210</v>
      </c>
      <c r="K621" s="6" t="s">
        <v>81</v>
      </c>
      <c r="L621" s="7" t="s">
        <v>2877</v>
      </c>
      <c r="M621" s="7" t="s">
        <v>2878</v>
      </c>
      <c r="N621" s="9">
        <v>34624.0</v>
      </c>
    </row>
    <row r="622" ht="19.5" customHeight="1">
      <c r="A622" s="6" t="s">
        <v>2879</v>
      </c>
      <c r="B622" s="7" t="s">
        <v>6</v>
      </c>
      <c r="C622" s="7" t="s">
        <v>2880</v>
      </c>
      <c r="D622" s="7" t="s">
        <v>6</v>
      </c>
      <c r="E622" s="7" t="s">
        <v>45</v>
      </c>
      <c r="F622" s="6" t="s">
        <v>46</v>
      </c>
      <c r="G622" s="7" t="s">
        <v>1311</v>
      </c>
      <c r="H622" s="7" t="s">
        <v>23</v>
      </c>
      <c r="I622" s="6" t="s">
        <v>184</v>
      </c>
      <c r="J622" s="7" t="s">
        <v>439</v>
      </c>
      <c r="K622" s="6" t="s">
        <v>26</v>
      </c>
      <c r="L622" s="7" t="s">
        <v>2881</v>
      </c>
      <c r="M622" s="7" t="s">
        <v>2882</v>
      </c>
      <c r="N622" s="9">
        <v>34542.0</v>
      </c>
    </row>
    <row r="623" ht="19.5" customHeight="1">
      <c r="A623" s="6" t="s">
        <v>2883</v>
      </c>
      <c r="B623" s="7" t="s">
        <v>6</v>
      </c>
      <c r="C623" s="7" t="s">
        <v>2884</v>
      </c>
      <c r="D623" s="7" t="s">
        <v>6</v>
      </c>
      <c r="E623" s="7" t="s">
        <v>45</v>
      </c>
      <c r="F623" s="6" t="s">
        <v>46</v>
      </c>
      <c r="G623" s="7" t="s">
        <v>452</v>
      </c>
      <c r="H623" s="7" t="s">
        <v>23</v>
      </c>
      <c r="I623" s="6" t="s">
        <v>189</v>
      </c>
      <c r="J623" s="7" t="s">
        <v>210</v>
      </c>
      <c r="K623" s="6" t="s">
        <v>26</v>
      </c>
      <c r="L623" s="7" t="s">
        <v>2885</v>
      </c>
      <c r="M623" s="7" t="s">
        <v>2886</v>
      </c>
      <c r="N623" s="9">
        <v>34790.0</v>
      </c>
    </row>
    <row r="624" ht="19.5" customHeight="1">
      <c r="A624" s="6" t="s">
        <v>2887</v>
      </c>
      <c r="B624" s="7" t="s">
        <v>6</v>
      </c>
      <c r="C624" s="7" t="s">
        <v>2888</v>
      </c>
      <c r="D624" s="7" t="s">
        <v>6</v>
      </c>
      <c r="E624" s="7" t="s">
        <v>45</v>
      </c>
      <c r="F624" s="6" t="s">
        <v>46</v>
      </c>
      <c r="G624" s="7" t="s">
        <v>2889</v>
      </c>
      <c r="H624" s="7" t="s">
        <v>23</v>
      </c>
      <c r="I624" s="6" t="s">
        <v>24</v>
      </c>
      <c r="J624" s="7" t="s">
        <v>25</v>
      </c>
      <c r="K624" s="6" t="s">
        <v>26</v>
      </c>
      <c r="L624" s="7" t="s">
        <v>2890</v>
      </c>
      <c r="M624" s="7" t="s">
        <v>2891</v>
      </c>
      <c r="N624" s="9">
        <v>34213.0</v>
      </c>
    </row>
    <row r="625" ht="19.5" customHeight="1">
      <c r="A625" s="6" t="s">
        <v>2892</v>
      </c>
      <c r="B625" s="7" t="s">
        <v>6</v>
      </c>
      <c r="C625" s="7" t="s">
        <v>2893</v>
      </c>
      <c r="D625" s="7" t="s">
        <v>6</v>
      </c>
      <c r="E625" s="7" t="s">
        <v>45</v>
      </c>
      <c r="F625" s="6" t="s">
        <v>46</v>
      </c>
      <c r="G625" s="7" t="s">
        <v>2687</v>
      </c>
      <c r="H625" s="7" t="s">
        <v>23</v>
      </c>
      <c r="I625" s="6" t="s">
        <v>189</v>
      </c>
      <c r="J625" s="7" t="s">
        <v>210</v>
      </c>
      <c r="K625" s="6" t="s">
        <v>81</v>
      </c>
      <c r="L625" s="7" t="s">
        <v>2894</v>
      </c>
      <c r="M625" s="7" t="s">
        <v>2895</v>
      </c>
      <c r="N625" s="9">
        <v>34665.0</v>
      </c>
    </row>
    <row r="626" ht="19.5" customHeight="1">
      <c r="A626" s="6" t="s">
        <v>2896</v>
      </c>
      <c r="B626" s="7" t="s">
        <v>6</v>
      </c>
      <c r="C626" s="7" t="s">
        <v>2897</v>
      </c>
      <c r="D626" s="7" t="s">
        <v>6</v>
      </c>
      <c r="E626" s="7" t="s">
        <v>45</v>
      </c>
      <c r="F626" s="6" t="s">
        <v>46</v>
      </c>
      <c r="G626" s="7" t="s">
        <v>2898</v>
      </c>
      <c r="H626" s="7" t="s">
        <v>23</v>
      </c>
      <c r="I626" s="6" t="s">
        <v>189</v>
      </c>
      <c r="J626" s="7" t="s">
        <v>210</v>
      </c>
      <c r="K626" s="6" t="s">
        <v>26</v>
      </c>
      <c r="L626" s="7" t="s">
        <v>2899</v>
      </c>
      <c r="M626" s="7" t="s">
        <v>2900</v>
      </c>
      <c r="N626" s="9">
        <v>34934.0</v>
      </c>
    </row>
    <row r="627" ht="19.5" customHeight="1">
      <c r="A627" s="6" t="s">
        <v>2901</v>
      </c>
      <c r="B627" s="7" t="s">
        <v>6</v>
      </c>
      <c r="C627" s="7" t="s">
        <v>2902</v>
      </c>
      <c r="D627" s="7" t="s">
        <v>6</v>
      </c>
      <c r="E627" s="7" t="s">
        <v>45</v>
      </c>
      <c r="F627" s="6" t="s">
        <v>46</v>
      </c>
      <c r="G627" s="7" t="s">
        <v>2903</v>
      </c>
      <c r="H627" s="7" t="s">
        <v>48</v>
      </c>
      <c r="I627" s="6" t="s">
        <v>184</v>
      </c>
      <c r="J627" s="7" t="s">
        <v>439</v>
      </c>
      <c r="K627" s="6" t="s">
        <v>26</v>
      </c>
      <c r="L627" s="7" t="s">
        <v>2904</v>
      </c>
      <c r="M627" s="7" t="s">
        <v>2905</v>
      </c>
      <c r="N627" s="9">
        <v>34603.0</v>
      </c>
    </row>
    <row r="628" ht="19.5" customHeight="1">
      <c r="A628" s="6" t="s">
        <v>2906</v>
      </c>
      <c r="B628" s="7" t="s">
        <v>6</v>
      </c>
      <c r="C628" s="7" t="s">
        <v>2907</v>
      </c>
      <c r="D628" s="7" t="s">
        <v>6</v>
      </c>
      <c r="E628" s="7" t="s">
        <v>45</v>
      </c>
      <c r="F628" s="6" t="s">
        <v>46</v>
      </c>
      <c r="G628" s="7" t="s">
        <v>2908</v>
      </c>
      <c r="H628" s="7" t="s">
        <v>48</v>
      </c>
      <c r="I628" s="6" t="s">
        <v>184</v>
      </c>
      <c r="J628" s="7" t="s">
        <v>439</v>
      </c>
      <c r="K628" s="6" t="s">
        <v>26</v>
      </c>
      <c r="L628" s="7" t="s">
        <v>2909</v>
      </c>
      <c r="M628" s="7" t="s">
        <v>2910</v>
      </c>
      <c r="N628" s="9">
        <v>34603.0</v>
      </c>
    </row>
    <row r="629" ht="19.5" customHeight="1">
      <c r="A629" s="6" t="s">
        <v>2911</v>
      </c>
      <c r="B629" s="7" t="s">
        <v>6</v>
      </c>
      <c r="C629" s="7" t="s">
        <v>2912</v>
      </c>
      <c r="D629" s="7" t="s">
        <v>6</v>
      </c>
      <c r="E629" s="7" t="s">
        <v>45</v>
      </c>
      <c r="F629" s="6" t="s">
        <v>46</v>
      </c>
      <c r="G629" s="7" t="s">
        <v>217</v>
      </c>
      <c r="H629" s="7" t="s">
        <v>23</v>
      </c>
      <c r="I629" s="6" t="s">
        <v>112</v>
      </c>
      <c r="J629" s="7" t="s">
        <v>113</v>
      </c>
      <c r="K629" s="6" t="s">
        <v>81</v>
      </c>
      <c r="L629" s="7" t="s">
        <v>2913</v>
      </c>
      <c r="M629" s="7" t="s">
        <v>2914</v>
      </c>
      <c r="N629" s="9">
        <v>32475.0</v>
      </c>
    </row>
    <row r="630" ht="19.5" customHeight="1">
      <c r="A630" s="6" t="s">
        <v>2915</v>
      </c>
      <c r="B630" s="7" t="s">
        <v>6</v>
      </c>
      <c r="C630" s="7" t="s">
        <v>2916</v>
      </c>
      <c r="D630" s="7" t="s">
        <v>6</v>
      </c>
      <c r="E630" s="7" t="s">
        <v>45</v>
      </c>
      <c r="F630" s="6" t="s">
        <v>46</v>
      </c>
      <c r="G630" s="7" t="s">
        <v>2917</v>
      </c>
      <c r="H630" s="7" t="s">
        <v>48</v>
      </c>
      <c r="I630" s="6" t="s">
        <v>184</v>
      </c>
      <c r="J630" s="7" t="s">
        <v>439</v>
      </c>
      <c r="K630" s="6" t="s">
        <v>81</v>
      </c>
      <c r="L630" s="7" t="s">
        <v>2918</v>
      </c>
      <c r="M630" s="7" t="s">
        <v>2919</v>
      </c>
      <c r="N630" s="9">
        <v>34275.0</v>
      </c>
    </row>
    <row r="631" ht="19.5" customHeight="1">
      <c r="A631" s="6" t="s">
        <v>2920</v>
      </c>
      <c r="B631" s="7" t="s">
        <v>6</v>
      </c>
      <c r="C631" s="7" t="s">
        <v>2921</v>
      </c>
      <c r="D631" s="7" t="s">
        <v>6</v>
      </c>
      <c r="E631" s="7" t="s">
        <v>45</v>
      </c>
      <c r="F631" s="6" t="s">
        <v>46</v>
      </c>
      <c r="G631" s="7" t="s">
        <v>2922</v>
      </c>
      <c r="H631" s="7" t="s">
        <v>23</v>
      </c>
      <c r="I631" s="6" t="s">
        <v>170</v>
      </c>
      <c r="J631" s="7" t="s">
        <v>409</v>
      </c>
      <c r="K631" s="6" t="s">
        <v>26</v>
      </c>
      <c r="L631" s="7" t="s">
        <v>2923</v>
      </c>
      <c r="M631" s="7" t="s">
        <v>2924</v>
      </c>
      <c r="N631" s="9">
        <v>33286.0</v>
      </c>
    </row>
    <row r="632" ht="19.5" customHeight="1">
      <c r="A632" s="6" t="s">
        <v>2925</v>
      </c>
      <c r="B632" s="7" t="s">
        <v>6</v>
      </c>
      <c r="C632" s="7" t="s">
        <v>2926</v>
      </c>
      <c r="D632" s="7" t="s">
        <v>6</v>
      </c>
      <c r="E632" s="7" t="s">
        <v>45</v>
      </c>
      <c r="F632" s="6" t="s">
        <v>46</v>
      </c>
      <c r="G632" s="7" t="s">
        <v>299</v>
      </c>
      <c r="H632" s="7" t="s">
        <v>48</v>
      </c>
      <c r="I632" s="6" t="s">
        <v>184</v>
      </c>
      <c r="J632" s="7" t="s">
        <v>439</v>
      </c>
      <c r="K632" s="6" t="s">
        <v>81</v>
      </c>
      <c r="L632" s="7" t="s">
        <v>2927</v>
      </c>
      <c r="M632" s="7" t="s">
        <v>2928</v>
      </c>
      <c r="N632" s="9">
        <v>34321.0</v>
      </c>
    </row>
    <row r="633" ht="19.5" customHeight="1">
      <c r="A633" s="6" t="s">
        <v>2929</v>
      </c>
      <c r="B633" s="7" t="s">
        <v>6</v>
      </c>
      <c r="C633" s="7" t="s">
        <v>2930</v>
      </c>
      <c r="D633" s="7" t="s">
        <v>6</v>
      </c>
      <c r="E633" s="7" t="s">
        <v>45</v>
      </c>
      <c r="F633" s="6" t="s">
        <v>46</v>
      </c>
      <c r="G633" s="7" t="s">
        <v>264</v>
      </c>
      <c r="H633" s="7" t="s">
        <v>48</v>
      </c>
      <c r="I633" s="6" t="s">
        <v>24</v>
      </c>
      <c r="J633" s="7" t="s">
        <v>25</v>
      </c>
      <c r="K633" s="6" t="s">
        <v>81</v>
      </c>
      <c r="L633" s="7" t="s">
        <v>2931</v>
      </c>
      <c r="M633" s="7" t="s">
        <v>2932</v>
      </c>
      <c r="N633" s="9">
        <v>33880.0</v>
      </c>
    </row>
    <row r="634" ht="19.5" customHeight="1">
      <c r="A634" s="6" t="s">
        <v>2933</v>
      </c>
      <c r="B634" s="7" t="s">
        <v>6</v>
      </c>
      <c r="C634" s="7" t="s">
        <v>2934</v>
      </c>
      <c r="D634" s="7" t="s">
        <v>6</v>
      </c>
      <c r="E634" s="7" t="s">
        <v>45</v>
      </c>
      <c r="F634" s="6" t="s">
        <v>46</v>
      </c>
      <c r="G634" s="7" t="s">
        <v>2935</v>
      </c>
      <c r="H634" s="7" t="s">
        <v>48</v>
      </c>
      <c r="I634" s="6" t="s">
        <v>76</v>
      </c>
      <c r="J634" s="7" t="s">
        <v>2936</v>
      </c>
      <c r="K634" s="6" t="s">
        <v>26</v>
      </c>
      <c r="L634" s="7" t="s">
        <v>2937</v>
      </c>
      <c r="M634" s="7" t="s">
        <v>6</v>
      </c>
      <c r="N634" s="9">
        <v>26314.0</v>
      </c>
    </row>
    <row r="635" ht="19.5" customHeight="1">
      <c r="A635" s="6" t="s">
        <v>2938</v>
      </c>
      <c r="B635" s="7" t="s">
        <v>6</v>
      </c>
      <c r="C635" s="7" t="s">
        <v>2939</v>
      </c>
      <c r="D635" s="7" t="s">
        <v>6</v>
      </c>
      <c r="E635" s="7" t="s">
        <v>45</v>
      </c>
      <c r="F635" s="6" t="s">
        <v>46</v>
      </c>
      <c r="G635" s="7" t="s">
        <v>2940</v>
      </c>
      <c r="H635" s="7" t="s">
        <v>23</v>
      </c>
      <c r="I635" s="6" t="s">
        <v>170</v>
      </c>
      <c r="J635" s="7" t="s">
        <v>409</v>
      </c>
      <c r="K635" s="6" t="s">
        <v>26</v>
      </c>
      <c r="L635" s="7" t="s">
        <v>2941</v>
      </c>
      <c r="M635" s="7" t="s">
        <v>2942</v>
      </c>
      <c r="N635" s="9">
        <v>33398.0</v>
      </c>
    </row>
    <row r="636" ht="19.5" customHeight="1">
      <c r="A636" s="6" t="s">
        <v>2943</v>
      </c>
      <c r="B636" s="7" t="s">
        <v>6</v>
      </c>
      <c r="C636" s="7" t="s">
        <v>2944</v>
      </c>
      <c r="D636" s="7" t="s">
        <v>6</v>
      </c>
      <c r="E636" s="7" t="s">
        <v>45</v>
      </c>
      <c r="F636" s="6" t="s">
        <v>46</v>
      </c>
      <c r="G636" s="7" t="s">
        <v>2945</v>
      </c>
      <c r="H636" s="7" t="s">
        <v>23</v>
      </c>
      <c r="I636" s="6" t="s">
        <v>24</v>
      </c>
      <c r="J636" s="7" t="s">
        <v>25</v>
      </c>
      <c r="K636" s="6" t="s">
        <v>26</v>
      </c>
      <c r="L636" s="7" t="s">
        <v>2946</v>
      </c>
      <c r="M636" s="7" t="s">
        <v>2947</v>
      </c>
      <c r="N636" s="9">
        <v>34205.0</v>
      </c>
    </row>
    <row r="637" ht="19.5" customHeight="1">
      <c r="A637" s="6" t="s">
        <v>2948</v>
      </c>
      <c r="B637" s="7" t="s">
        <v>6</v>
      </c>
      <c r="C637" s="7" t="s">
        <v>2949</v>
      </c>
      <c r="D637" s="7" t="s">
        <v>6</v>
      </c>
      <c r="E637" s="7" t="s">
        <v>45</v>
      </c>
      <c r="F637" s="6" t="s">
        <v>46</v>
      </c>
      <c r="G637" s="7" t="s">
        <v>2950</v>
      </c>
      <c r="H637" s="7" t="s">
        <v>48</v>
      </c>
      <c r="I637" s="6" t="s">
        <v>124</v>
      </c>
      <c r="J637" s="7" t="s">
        <v>125</v>
      </c>
      <c r="K637" s="6" t="s">
        <v>26</v>
      </c>
      <c r="L637" s="7" t="s">
        <v>2951</v>
      </c>
      <c r="M637" s="7" t="s">
        <v>2952</v>
      </c>
      <c r="N637" s="9">
        <v>33038.0</v>
      </c>
    </row>
    <row r="638" ht="19.5" customHeight="1">
      <c r="A638" s="6" t="s">
        <v>2953</v>
      </c>
      <c r="B638" s="7" t="s">
        <v>6</v>
      </c>
      <c r="C638" s="7" t="s">
        <v>2954</v>
      </c>
      <c r="D638" s="7" t="s">
        <v>6</v>
      </c>
      <c r="E638" s="7" t="s">
        <v>45</v>
      </c>
      <c r="F638" s="6" t="s">
        <v>46</v>
      </c>
      <c r="G638" s="7" t="s">
        <v>2955</v>
      </c>
      <c r="H638" s="7" t="s">
        <v>48</v>
      </c>
      <c r="I638" s="6" t="s">
        <v>189</v>
      </c>
      <c r="J638" s="7" t="s">
        <v>210</v>
      </c>
      <c r="K638" s="6" t="s">
        <v>26</v>
      </c>
      <c r="L638" s="7" t="s">
        <v>2956</v>
      </c>
      <c r="M638" s="7" t="s">
        <v>2957</v>
      </c>
      <c r="N638" s="9">
        <v>34831.0</v>
      </c>
    </row>
    <row r="639" ht="19.5" customHeight="1">
      <c r="A639" s="6" t="s">
        <v>2958</v>
      </c>
      <c r="B639" s="7" t="s">
        <v>6</v>
      </c>
      <c r="C639" s="7" t="s">
        <v>2959</v>
      </c>
      <c r="D639" s="7" t="s">
        <v>6</v>
      </c>
      <c r="E639" s="7" t="s">
        <v>45</v>
      </c>
      <c r="F639" s="6" t="s">
        <v>46</v>
      </c>
      <c r="G639" s="7" t="s">
        <v>2669</v>
      </c>
      <c r="H639" s="7" t="s">
        <v>48</v>
      </c>
      <c r="I639" s="6" t="s">
        <v>184</v>
      </c>
      <c r="J639" s="7" t="s">
        <v>439</v>
      </c>
      <c r="K639" s="6" t="s">
        <v>26</v>
      </c>
      <c r="L639" s="7" t="s">
        <v>2960</v>
      </c>
      <c r="M639" s="7" t="s">
        <v>2961</v>
      </c>
      <c r="N639" s="9">
        <v>34371.0</v>
      </c>
    </row>
    <row r="640" ht="19.5" customHeight="1">
      <c r="A640" s="6" t="s">
        <v>2962</v>
      </c>
      <c r="B640" s="7" t="s">
        <v>6</v>
      </c>
      <c r="C640" s="7" t="s">
        <v>2963</v>
      </c>
      <c r="D640" s="7" t="s">
        <v>6</v>
      </c>
      <c r="E640" s="7" t="s">
        <v>45</v>
      </c>
      <c r="F640" s="6" t="s">
        <v>46</v>
      </c>
      <c r="G640" s="7" t="s">
        <v>2964</v>
      </c>
      <c r="H640" s="7" t="s">
        <v>23</v>
      </c>
      <c r="I640" s="6" t="s">
        <v>24</v>
      </c>
      <c r="J640" s="7" t="s">
        <v>25</v>
      </c>
      <c r="K640" s="6" t="s">
        <v>26</v>
      </c>
      <c r="L640" s="7" t="s">
        <v>2965</v>
      </c>
      <c r="M640" s="7" t="s">
        <v>2966</v>
      </c>
      <c r="N640" s="9">
        <v>34232.0</v>
      </c>
    </row>
    <row r="641" ht="19.5" customHeight="1">
      <c r="A641" s="6" t="s">
        <v>2968</v>
      </c>
      <c r="B641" s="7" t="s">
        <v>6</v>
      </c>
      <c r="C641" s="7" t="s">
        <v>2969</v>
      </c>
      <c r="D641" s="7" t="s">
        <v>6</v>
      </c>
      <c r="E641" s="7" t="s">
        <v>45</v>
      </c>
      <c r="F641" s="6" t="s">
        <v>46</v>
      </c>
      <c r="G641" s="7" t="s">
        <v>1910</v>
      </c>
      <c r="H641" s="7" t="s">
        <v>23</v>
      </c>
      <c r="I641" s="6" t="s">
        <v>176</v>
      </c>
      <c r="J641" s="7" t="s">
        <v>428</v>
      </c>
      <c r="K641" s="6" t="s">
        <v>81</v>
      </c>
      <c r="L641" s="7" t="s">
        <v>2970</v>
      </c>
      <c r="M641" s="7" t="s">
        <v>1433</v>
      </c>
      <c r="N641" s="9">
        <v>33572.0</v>
      </c>
    </row>
    <row r="642" ht="19.5" customHeight="1">
      <c r="A642" s="6" t="s">
        <v>2971</v>
      </c>
      <c r="B642" s="7" t="s">
        <v>6</v>
      </c>
      <c r="C642" s="7" t="s">
        <v>2972</v>
      </c>
      <c r="D642" s="7" t="s">
        <v>6</v>
      </c>
      <c r="E642" s="7" t="s">
        <v>45</v>
      </c>
      <c r="F642" s="6" t="s">
        <v>46</v>
      </c>
      <c r="G642" s="7" t="s">
        <v>2973</v>
      </c>
      <c r="H642" s="7" t="s">
        <v>48</v>
      </c>
      <c r="I642" s="6" t="s">
        <v>124</v>
      </c>
      <c r="J642" s="7" t="s">
        <v>125</v>
      </c>
      <c r="K642" s="6" t="s">
        <v>26</v>
      </c>
      <c r="L642" s="7" t="s">
        <v>2974</v>
      </c>
      <c r="M642" s="7" t="s">
        <v>2975</v>
      </c>
      <c r="N642" s="9">
        <v>32901.0</v>
      </c>
    </row>
    <row r="643" ht="19.5" customHeight="1">
      <c r="A643" s="6" t="s">
        <v>2976</v>
      </c>
      <c r="B643" s="7" t="s">
        <v>6</v>
      </c>
      <c r="C643" s="7" t="s">
        <v>2977</v>
      </c>
      <c r="D643" s="7" t="s">
        <v>6</v>
      </c>
      <c r="E643" s="7" t="s">
        <v>45</v>
      </c>
      <c r="F643" s="6" t="s">
        <v>46</v>
      </c>
      <c r="G643" s="7" t="s">
        <v>1841</v>
      </c>
      <c r="H643" s="7" t="s">
        <v>23</v>
      </c>
      <c r="I643" s="6" t="s">
        <v>24</v>
      </c>
      <c r="J643" s="7" t="s">
        <v>25</v>
      </c>
      <c r="K643" s="6" t="s">
        <v>26</v>
      </c>
      <c r="L643" s="7" t="s">
        <v>2978</v>
      </c>
      <c r="M643" s="7" t="s">
        <v>2979</v>
      </c>
      <c r="N643" s="9">
        <v>34167.0</v>
      </c>
    </row>
    <row r="644" ht="19.5" customHeight="1">
      <c r="A644" s="6" t="s">
        <v>2980</v>
      </c>
      <c r="B644" s="7" t="s">
        <v>6</v>
      </c>
      <c r="C644" s="7" t="s">
        <v>2981</v>
      </c>
      <c r="D644" s="7" t="s">
        <v>6</v>
      </c>
      <c r="E644" s="7" t="s">
        <v>45</v>
      </c>
      <c r="F644" s="6" t="s">
        <v>46</v>
      </c>
      <c r="G644" s="7" t="s">
        <v>2982</v>
      </c>
      <c r="H644" s="7" t="s">
        <v>48</v>
      </c>
      <c r="I644" s="6" t="s">
        <v>24</v>
      </c>
      <c r="J644" s="7" t="s">
        <v>25</v>
      </c>
      <c r="K644" s="6" t="s">
        <v>26</v>
      </c>
      <c r="L644" s="7" t="s">
        <v>2983</v>
      </c>
      <c r="M644" s="7" t="s">
        <v>2984</v>
      </c>
      <c r="N644" s="9">
        <v>34196.0</v>
      </c>
    </row>
    <row r="645" ht="19.5" customHeight="1">
      <c r="A645" s="6" t="s">
        <v>2985</v>
      </c>
      <c r="B645" s="7" t="s">
        <v>6</v>
      </c>
      <c r="C645" s="7" t="s">
        <v>2986</v>
      </c>
      <c r="D645" s="7" t="s">
        <v>6</v>
      </c>
      <c r="E645" s="7" t="s">
        <v>45</v>
      </c>
      <c r="F645" s="6" t="s">
        <v>46</v>
      </c>
      <c r="G645" s="7" t="s">
        <v>2987</v>
      </c>
      <c r="H645" s="7" t="s">
        <v>23</v>
      </c>
      <c r="I645" s="6" t="s">
        <v>24</v>
      </c>
      <c r="J645" s="7" t="s">
        <v>25</v>
      </c>
      <c r="K645" s="6" t="s">
        <v>81</v>
      </c>
      <c r="L645" s="7" t="s">
        <v>2988</v>
      </c>
      <c r="M645" s="7" t="s">
        <v>2989</v>
      </c>
      <c r="N645" s="9">
        <v>33942.0</v>
      </c>
    </row>
    <row r="646" ht="19.5" customHeight="1">
      <c r="A646" s="6" t="s">
        <v>2990</v>
      </c>
      <c r="B646" s="7" t="s">
        <v>6</v>
      </c>
      <c r="C646" s="7" t="s">
        <v>2991</v>
      </c>
      <c r="D646" s="7" t="s">
        <v>6</v>
      </c>
      <c r="E646" s="7" t="s">
        <v>45</v>
      </c>
      <c r="F646" s="6" t="s">
        <v>46</v>
      </c>
      <c r="G646" s="7" t="s">
        <v>1185</v>
      </c>
      <c r="H646" s="7" t="s">
        <v>23</v>
      </c>
      <c r="I646" s="6" t="s">
        <v>193</v>
      </c>
      <c r="J646" s="7" t="s">
        <v>200</v>
      </c>
      <c r="K646" s="6" t="s">
        <v>26</v>
      </c>
      <c r="L646" s="7" t="s">
        <v>2992</v>
      </c>
      <c r="M646" s="7" t="s">
        <v>2993</v>
      </c>
      <c r="N646" s="9">
        <v>35108.0</v>
      </c>
    </row>
    <row r="647" ht="19.5" customHeight="1">
      <c r="A647" s="6" t="s">
        <v>2994</v>
      </c>
      <c r="B647" s="7" t="s">
        <v>6</v>
      </c>
      <c r="C647" s="7" t="s">
        <v>2995</v>
      </c>
      <c r="D647" s="7" t="s">
        <v>6</v>
      </c>
      <c r="E647" s="7" t="s">
        <v>45</v>
      </c>
      <c r="F647" s="6" t="s">
        <v>46</v>
      </c>
      <c r="G647" s="7" t="s">
        <v>2996</v>
      </c>
      <c r="H647" s="7" t="s">
        <v>23</v>
      </c>
      <c r="I647" s="6" t="s">
        <v>184</v>
      </c>
      <c r="J647" s="7" t="s">
        <v>439</v>
      </c>
      <c r="K647" s="6" t="s">
        <v>81</v>
      </c>
      <c r="L647" s="7" t="s">
        <v>2997</v>
      </c>
      <c r="M647" s="7" t="s">
        <v>2998</v>
      </c>
      <c r="N647" s="9">
        <v>34292.0</v>
      </c>
    </row>
    <row r="648" ht="19.5" customHeight="1">
      <c r="A648" s="6" t="s">
        <v>2999</v>
      </c>
      <c r="B648" s="7" t="s">
        <v>6</v>
      </c>
      <c r="C648" s="7" t="s">
        <v>3000</v>
      </c>
      <c r="D648" s="7" t="s">
        <v>6</v>
      </c>
      <c r="E648" s="7" t="s">
        <v>45</v>
      </c>
      <c r="F648" s="6" t="s">
        <v>46</v>
      </c>
      <c r="G648" s="7" t="s">
        <v>3001</v>
      </c>
      <c r="H648" s="7" t="s">
        <v>23</v>
      </c>
      <c r="I648" s="6" t="s">
        <v>128</v>
      </c>
      <c r="J648" s="7" t="s">
        <v>1978</v>
      </c>
      <c r="K648" s="6" t="s">
        <v>26</v>
      </c>
      <c r="L648" s="7" t="s">
        <v>3002</v>
      </c>
      <c r="M648" s="7" t="s">
        <v>3003</v>
      </c>
      <c r="N648" s="9">
        <v>29412.0</v>
      </c>
    </row>
    <row r="649" ht="19.5" customHeight="1">
      <c r="A649" s="6" t="s">
        <v>3004</v>
      </c>
      <c r="B649" s="7" t="s">
        <v>6</v>
      </c>
      <c r="C649" s="7" t="s">
        <v>3005</v>
      </c>
      <c r="D649" s="7" t="s">
        <v>6</v>
      </c>
      <c r="E649" s="7" t="s">
        <v>45</v>
      </c>
      <c r="F649" s="6" t="s">
        <v>46</v>
      </c>
      <c r="G649" s="7" t="s">
        <v>3006</v>
      </c>
      <c r="H649" s="7" t="s">
        <v>48</v>
      </c>
      <c r="I649" s="6" t="s">
        <v>184</v>
      </c>
      <c r="J649" s="7" t="s">
        <v>439</v>
      </c>
      <c r="K649" s="6" t="s">
        <v>26</v>
      </c>
      <c r="L649" s="7" t="s">
        <v>3007</v>
      </c>
      <c r="M649" s="7" t="s">
        <v>3008</v>
      </c>
      <c r="N649" s="9">
        <v>34434.0</v>
      </c>
    </row>
    <row r="650" ht="19.5" customHeight="1">
      <c r="A650" s="6" t="s">
        <v>3009</v>
      </c>
      <c r="B650" s="7" t="s">
        <v>6</v>
      </c>
      <c r="C650" s="7" t="s">
        <v>3010</v>
      </c>
      <c r="D650" s="7" t="s">
        <v>6</v>
      </c>
      <c r="E650" s="7" t="s">
        <v>45</v>
      </c>
      <c r="F650" s="6" t="s">
        <v>46</v>
      </c>
      <c r="G650" s="7" t="s">
        <v>3011</v>
      </c>
      <c r="H650" s="7" t="s">
        <v>48</v>
      </c>
      <c r="I650" s="6" t="s">
        <v>24</v>
      </c>
      <c r="J650" s="7" t="s">
        <v>25</v>
      </c>
      <c r="K650" s="6" t="s">
        <v>26</v>
      </c>
      <c r="L650" s="7" t="s">
        <v>3012</v>
      </c>
      <c r="M650" s="7" t="s">
        <v>3013</v>
      </c>
      <c r="N650" s="9">
        <v>34042.0</v>
      </c>
    </row>
    <row r="651" ht="19.5" customHeight="1">
      <c r="A651" s="6" t="s">
        <v>3014</v>
      </c>
      <c r="B651" s="7" t="s">
        <v>6</v>
      </c>
      <c r="C651" s="7" t="s">
        <v>3015</v>
      </c>
      <c r="D651" s="7" t="s">
        <v>6</v>
      </c>
      <c r="E651" s="7" t="s">
        <v>45</v>
      </c>
      <c r="F651" s="6" t="s">
        <v>46</v>
      </c>
      <c r="G651" s="7" t="s">
        <v>3016</v>
      </c>
      <c r="H651" s="7" t="s">
        <v>23</v>
      </c>
      <c r="I651" s="6" t="s">
        <v>24</v>
      </c>
      <c r="J651" s="7" t="s">
        <v>25</v>
      </c>
      <c r="K651" s="6" t="s">
        <v>81</v>
      </c>
      <c r="L651" s="7" t="s">
        <v>3017</v>
      </c>
      <c r="M651" s="7" t="s">
        <v>3018</v>
      </c>
      <c r="N651" s="9">
        <v>33931.0</v>
      </c>
    </row>
    <row r="652" ht="19.5" customHeight="1">
      <c r="A652" s="6" t="s">
        <v>3019</v>
      </c>
      <c r="B652" s="7" t="s">
        <v>6</v>
      </c>
      <c r="C652" s="7" t="s">
        <v>3020</v>
      </c>
      <c r="D652" s="7" t="s">
        <v>6</v>
      </c>
      <c r="E652" s="7" t="s">
        <v>45</v>
      </c>
      <c r="F652" s="6" t="s">
        <v>46</v>
      </c>
      <c r="G652" s="7" t="s">
        <v>3021</v>
      </c>
      <c r="H652" s="7" t="s">
        <v>23</v>
      </c>
      <c r="I652" s="6" t="s">
        <v>184</v>
      </c>
      <c r="J652" s="7" t="s">
        <v>439</v>
      </c>
      <c r="K652" s="6" t="s">
        <v>26</v>
      </c>
      <c r="L652" s="7" t="s">
        <v>3022</v>
      </c>
      <c r="M652" s="7" t="s">
        <v>3023</v>
      </c>
      <c r="N652" s="9">
        <v>34413.0</v>
      </c>
    </row>
    <row r="653" ht="19.5" customHeight="1">
      <c r="A653" s="6" t="s">
        <v>3024</v>
      </c>
      <c r="B653" s="7" t="s">
        <v>6</v>
      </c>
      <c r="C653" s="7" t="s">
        <v>3025</v>
      </c>
      <c r="D653" s="7" t="s">
        <v>6</v>
      </c>
      <c r="E653" s="7" t="s">
        <v>45</v>
      </c>
      <c r="F653" s="6" t="s">
        <v>46</v>
      </c>
      <c r="G653" s="7" t="s">
        <v>2940</v>
      </c>
      <c r="H653" s="7" t="s">
        <v>23</v>
      </c>
      <c r="I653" s="6" t="s">
        <v>184</v>
      </c>
      <c r="J653" s="7" t="s">
        <v>439</v>
      </c>
      <c r="K653" s="6" t="s">
        <v>26</v>
      </c>
      <c r="L653" s="7" t="s">
        <v>3026</v>
      </c>
      <c r="M653" s="7" t="s">
        <v>3027</v>
      </c>
      <c r="N653" s="9">
        <v>34354.0</v>
      </c>
    </row>
    <row r="654" ht="19.5" customHeight="1">
      <c r="A654" s="6" t="s">
        <v>3028</v>
      </c>
      <c r="B654" s="7" t="s">
        <v>6</v>
      </c>
      <c r="C654" s="7" t="s">
        <v>3029</v>
      </c>
      <c r="D654" s="7" t="s">
        <v>6</v>
      </c>
      <c r="E654" s="7" t="s">
        <v>45</v>
      </c>
      <c r="F654" s="6" t="s">
        <v>46</v>
      </c>
      <c r="G654" s="7" t="s">
        <v>3030</v>
      </c>
      <c r="H654" s="7" t="s">
        <v>23</v>
      </c>
      <c r="I654" s="6" t="s">
        <v>159</v>
      </c>
      <c r="J654" s="7" t="s">
        <v>1027</v>
      </c>
      <c r="K654" s="6" t="s">
        <v>81</v>
      </c>
      <c r="L654" s="7" t="s">
        <v>3031</v>
      </c>
      <c r="M654" s="7" t="s">
        <v>3032</v>
      </c>
      <c r="N654" s="9">
        <v>31744.0</v>
      </c>
    </row>
    <row r="655" ht="19.5" customHeight="1">
      <c r="A655" s="6" t="s">
        <v>3033</v>
      </c>
      <c r="B655" s="7" t="s">
        <v>6</v>
      </c>
      <c r="C655" s="7" t="s">
        <v>3034</v>
      </c>
      <c r="D655" s="7" t="s">
        <v>6</v>
      </c>
      <c r="E655" s="7" t="s">
        <v>45</v>
      </c>
      <c r="F655" s="6" t="s">
        <v>46</v>
      </c>
      <c r="G655" s="7" t="s">
        <v>3035</v>
      </c>
      <c r="H655" s="7" t="s">
        <v>23</v>
      </c>
      <c r="I655" s="6" t="s">
        <v>176</v>
      </c>
      <c r="J655" s="7" t="s">
        <v>428</v>
      </c>
      <c r="K655" s="6" t="s">
        <v>26</v>
      </c>
      <c r="L655" s="7" t="s">
        <v>3036</v>
      </c>
      <c r="M655" s="7" t="s">
        <v>3037</v>
      </c>
      <c r="N655" s="9">
        <v>33733.0</v>
      </c>
    </row>
    <row r="656" ht="19.5" customHeight="1">
      <c r="A656" s="6" t="s">
        <v>3038</v>
      </c>
      <c r="B656" s="7" t="s">
        <v>6</v>
      </c>
      <c r="C656" s="7" t="s">
        <v>3039</v>
      </c>
      <c r="D656" s="7" t="s">
        <v>6</v>
      </c>
      <c r="E656" s="7" t="s">
        <v>45</v>
      </c>
      <c r="F656" s="6" t="s">
        <v>46</v>
      </c>
      <c r="G656" s="7" t="s">
        <v>653</v>
      </c>
      <c r="H656" s="7" t="s">
        <v>23</v>
      </c>
      <c r="I656" s="6" t="s">
        <v>184</v>
      </c>
      <c r="J656" s="7" t="s">
        <v>439</v>
      </c>
      <c r="K656" s="6" t="s">
        <v>26</v>
      </c>
      <c r="L656" s="7" t="s">
        <v>3040</v>
      </c>
      <c r="M656" s="7" t="s">
        <v>3041</v>
      </c>
      <c r="N656" s="9">
        <v>34419.0</v>
      </c>
    </row>
    <row r="657" ht="19.5" customHeight="1">
      <c r="A657" s="6" t="s">
        <v>3042</v>
      </c>
      <c r="B657" s="7" t="s">
        <v>6</v>
      </c>
      <c r="C657" s="7" t="s">
        <v>3043</v>
      </c>
      <c r="D657" s="7" t="s">
        <v>6</v>
      </c>
      <c r="E657" s="7" t="s">
        <v>45</v>
      </c>
      <c r="F657" s="6" t="s">
        <v>46</v>
      </c>
      <c r="G657" s="7" t="s">
        <v>3044</v>
      </c>
      <c r="H657" s="7" t="s">
        <v>48</v>
      </c>
      <c r="I657" s="6" t="s">
        <v>112</v>
      </c>
      <c r="J657" s="7" t="s">
        <v>113</v>
      </c>
      <c r="K657" s="6" t="s">
        <v>26</v>
      </c>
      <c r="L657" s="7" t="s">
        <v>3045</v>
      </c>
      <c r="M657" s="7" t="s">
        <v>3046</v>
      </c>
      <c r="N657" s="9">
        <v>32605.0</v>
      </c>
    </row>
    <row r="658" ht="19.5" customHeight="1">
      <c r="A658" s="6" t="s">
        <v>3047</v>
      </c>
      <c r="B658" s="7" t="s">
        <v>6</v>
      </c>
      <c r="C658" s="7" t="s">
        <v>3048</v>
      </c>
      <c r="D658" s="7" t="s">
        <v>6</v>
      </c>
      <c r="E658" s="7" t="s">
        <v>45</v>
      </c>
      <c r="F658" s="6" t="s">
        <v>46</v>
      </c>
      <c r="G658" s="7" t="s">
        <v>172</v>
      </c>
      <c r="H658" s="7" t="s">
        <v>23</v>
      </c>
      <c r="I658" s="6" t="s">
        <v>170</v>
      </c>
      <c r="J658" s="7" t="s">
        <v>409</v>
      </c>
      <c r="K658" s="6" t="s">
        <v>26</v>
      </c>
      <c r="L658" s="7" t="s">
        <v>3049</v>
      </c>
      <c r="M658" s="7" t="s">
        <v>3050</v>
      </c>
      <c r="N658" s="9">
        <v>33254.0</v>
      </c>
    </row>
    <row r="659" ht="19.5" customHeight="1">
      <c r="A659" s="6" t="s">
        <v>3051</v>
      </c>
      <c r="B659" s="7" t="s">
        <v>6</v>
      </c>
      <c r="C659" s="7" t="s">
        <v>3052</v>
      </c>
      <c r="D659" s="7" t="s">
        <v>6</v>
      </c>
      <c r="E659" s="7" t="s">
        <v>45</v>
      </c>
      <c r="F659" s="6" t="s">
        <v>46</v>
      </c>
      <c r="G659" s="7" t="s">
        <v>3053</v>
      </c>
      <c r="H659" s="7" t="s">
        <v>48</v>
      </c>
      <c r="I659" s="6" t="s">
        <v>24</v>
      </c>
      <c r="J659" s="7" t="s">
        <v>25</v>
      </c>
      <c r="K659" s="6" t="s">
        <v>26</v>
      </c>
      <c r="L659" s="7" t="s">
        <v>3054</v>
      </c>
      <c r="M659" s="7" t="s">
        <v>3055</v>
      </c>
      <c r="N659" s="9">
        <v>34035.0</v>
      </c>
    </row>
    <row r="660" ht="19.5" customHeight="1">
      <c r="A660" s="6" t="s">
        <v>3056</v>
      </c>
      <c r="B660" s="7" t="s">
        <v>6</v>
      </c>
      <c r="C660" s="7" t="s">
        <v>3057</v>
      </c>
      <c r="D660" s="7" t="s">
        <v>6</v>
      </c>
      <c r="E660" s="7" t="s">
        <v>45</v>
      </c>
      <c r="F660" s="6" t="s">
        <v>46</v>
      </c>
      <c r="G660" s="7" t="s">
        <v>3058</v>
      </c>
      <c r="H660" s="7" t="s">
        <v>23</v>
      </c>
      <c r="I660" s="6" t="s">
        <v>124</v>
      </c>
      <c r="J660" s="7" t="s">
        <v>125</v>
      </c>
      <c r="K660" s="6" t="s">
        <v>26</v>
      </c>
      <c r="L660" s="7" t="s">
        <v>3059</v>
      </c>
      <c r="M660" s="7" t="s">
        <v>3060</v>
      </c>
      <c r="N660" s="9">
        <v>32967.0</v>
      </c>
    </row>
    <row r="661" ht="19.5" customHeight="1">
      <c r="A661" s="6" t="s">
        <v>3061</v>
      </c>
      <c r="B661" s="7" t="s">
        <v>6</v>
      </c>
      <c r="C661" s="7" t="s">
        <v>3062</v>
      </c>
      <c r="D661" s="7" t="s">
        <v>6</v>
      </c>
      <c r="E661" s="7" t="s">
        <v>45</v>
      </c>
      <c r="F661" s="6" t="s">
        <v>46</v>
      </c>
      <c r="G661" s="7" t="s">
        <v>3063</v>
      </c>
      <c r="H661" s="7" t="s">
        <v>23</v>
      </c>
      <c r="I661" s="6" t="s">
        <v>1255</v>
      </c>
      <c r="J661" s="7" t="s">
        <v>1256</v>
      </c>
      <c r="K661" s="6" t="s">
        <v>81</v>
      </c>
      <c r="L661" s="7" t="s">
        <v>3064</v>
      </c>
      <c r="M661" s="7" t="s">
        <v>3065</v>
      </c>
      <c r="N661" s="9">
        <v>32118.0</v>
      </c>
    </row>
    <row r="662" ht="19.5" customHeight="1">
      <c r="A662" s="6" t="s">
        <v>3066</v>
      </c>
      <c r="B662" s="7" t="s">
        <v>6</v>
      </c>
      <c r="C662" s="7" t="s">
        <v>3067</v>
      </c>
      <c r="D662" s="7" t="s">
        <v>6</v>
      </c>
      <c r="E662" s="7" t="s">
        <v>45</v>
      </c>
      <c r="F662" s="6" t="s">
        <v>46</v>
      </c>
      <c r="G662" s="7" t="s">
        <v>130</v>
      </c>
      <c r="H662" s="7" t="s">
        <v>48</v>
      </c>
      <c r="I662" s="6" t="s">
        <v>193</v>
      </c>
      <c r="J662" s="7" t="s">
        <v>200</v>
      </c>
      <c r="K662" s="6" t="s">
        <v>26</v>
      </c>
      <c r="L662" s="7" t="s">
        <v>3068</v>
      </c>
      <c r="M662" s="7" t="s">
        <v>3069</v>
      </c>
      <c r="N662" s="9">
        <v>35261.0</v>
      </c>
    </row>
    <row r="663" ht="19.5" customHeight="1">
      <c r="A663" s="6" t="s">
        <v>3070</v>
      </c>
      <c r="B663" s="7" t="s">
        <v>6</v>
      </c>
      <c r="C663" s="7" t="s">
        <v>3071</v>
      </c>
      <c r="D663" s="7" t="s">
        <v>6</v>
      </c>
      <c r="E663" s="7" t="s">
        <v>45</v>
      </c>
      <c r="F663" s="6" t="s">
        <v>46</v>
      </c>
      <c r="G663" s="7" t="s">
        <v>2908</v>
      </c>
      <c r="H663" s="7" t="s">
        <v>23</v>
      </c>
      <c r="I663" s="6" t="s">
        <v>1255</v>
      </c>
      <c r="J663" s="7" t="s">
        <v>1256</v>
      </c>
      <c r="K663" s="6" t="s">
        <v>81</v>
      </c>
      <c r="L663" s="7" t="s">
        <v>3072</v>
      </c>
      <c r="M663" s="7" t="s">
        <v>3073</v>
      </c>
      <c r="N663" s="9">
        <v>32104.0</v>
      </c>
    </row>
    <row r="664" ht="19.5" customHeight="1">
      <c r="A664" s="6" t="s">
        <v>3074</v>
      </c>
      <c r="B664" s="7" t="s">
        <v>6</v>
      </c>
      <c r="C664" s="7" t="s">
        <v>3075</v>
      </c>
      <c r="D664" s="7" t="s">
        <v>6</v>
      </c>
      <c r="E664" s="7" t="s">
        <v>45</v>
      </c>
      <c r="F664" s="6" t="s">
        <v>46</v>
      </c>
      <c r="G664" s="7" t="s">
        <v>1032</v>
      </c>
      <c r="H664" s="7" t="s">
        <v>48</v>
      </c>
      <c r="I664" s="6" t="s">
        <v>24</v>
      </c>
      <c r="J664" s="7" t="s">
        <v>25</v>
      </c>
      <c r="K664" s="6" t="s">
        <v>26</v>
      </c>
      <c r="L664" s="7" t="s">
        <v>3076</v>
      </c>
      <c r="M664" s="7" t="s">
        <v>3077</v>
      </c>
      <c r="N664" s="9">
        <v>34042.0</v>
      </c>
    </row>
    <row r="665" ht="19.5" customHeight="1">
      <c r="A665" s="6" t="s">
        <v>3078</v>
      </c>
      <c r="B665" s="7" t="s">
        <v>6</v>
      </c>
      <c r="C665" s="7" t="s">
        <v>3079</v>
      </c>
      <c r="D665" s="7" t="s">
        <v>6</v>
      </c>
      <c r="E665" s="7" t="s">
        <v>45</v>
      </c>
      <c r="F665" s="6" t="s">
        <v>46</v>
      </c>
      <c r="G665" s="7" t="s">
        <v>2040</v>
      </c>
      <c r="H665" s="7" t="s">
        <v>48</v>
      </c>
      <c r="I665" s="6" t="s">
        <v>176</v>
      </c>
      <c r="J665" s="7" t="s">
        <v>428</v>
      </c>
      <c r="K665" s="6" t="s">
        <v>26</v>
      </c>
      <c r="L665" s="7" t="s">
        <v>3080</v>
      </c>
      <c r="M665" s="7" t="s">
        <v>3081</v>
      </c>
      <c r="N665" s="9">
        <v>33668.0</v>
      </c>
    </row>
    <row r="666" ht="19.5" customHeight="1">
      <c r="A666" s="6" t="s">
        <v>3082</v>
      </c>
      <c r="B666" s="7" t="s">
        <v>6</v>
      </c>
      <c r="C666" s="7" t="s">
        <v>3083</v>
      </c>
      <c r="D666" s="7" t="s">
        <v>6</v>
      </c>
      <c r="E666" s="7" t="s">
        <v>45</v>
      </c>
      <c r="F666" s="6" t="s">
        <v>46</v>
      </c>
      <c r="G666" s="7" t="s">
        <v>3016</v>
      </c>
      <c r="H666" s="7" t="s">
        <v>48</v>
      </c>
      <c r="I666" s="6" t="s">
        <v>159</v>
      </c>
      <c r="J666" s="7" t="s">
        <v>1027</v>
      </c>
      <c r="K666" s="6" t="s">
        <v>81</v>
      </c>
      <c r="L666" s="7" t="s">
        <v>3084</v>
      </c>
      <c r="M666" s="7" t="s">
        <v>3085</v>
      </c>
      <c r="N666" s="9">
        <v>31712.0</v>
      </c>
    </row>
    <row r="667" ht="19.5" customHeight="1">
      <c r="A667" s="6" t="s">
        <v>3086</v>
      </c>
      <c r="B667" s="7" t="s">
        <v>6</v>
      </c>
      <c r="C667" s="7" t="s">
        <v>3087</v>
      </c>
      <c r="D667" s="7" t="s">
        <v>6</v>
      </c>
      <c r="E667" s="7" t="s">
        <v>45</v>
      </c>
      <c r="F667" s="6" t="s">
        <v>46</v>
      </c>
      <c r="G667" s="7" t="s">
        <v>2329</v>
      </c>
      <c r="H667" s="7" t="s">
        <v>23</v>
      </c>
      <c r="I667" s="6" t="s">
        <v>176</v>
      </c>
      <c r="J667" s="7" t="s">
        <v>428</v>
      </c>
      <c r="K667" s="6" t="s">
        <v>26</v>
      </c>
      <c r="L667" s="7" t="s">
        <v>3088</v>
      </c>
      <c r="M667" s="7" t="s">
        <v>3089</v>
      </c>
      <c r="N667" s="9">
        <v>33701.0</v>
      </c>
    </row>
    <row r="668" ht="19.5" customHeight="1">
      <c r="A668" s="6" t="s">
        <v>3090</v>
      </c>
      <c r="B668" s="7" t="s">
        <v>6</v>
      </c>
      <c r="C668" s="7" t="s">
        <v>3091</v>
      </c>
      <c r="D668" s="7" t="s">
        <v>6</v>
      </c>
      <c r="E668" s="7" t="s">
        <v>45</v>
      </c>
      <c r="F668" s="6" t="s">
        <v>46</v>
      </c>
      <c r="G668" s="7" t="s">
        <v>3092</v>
      </c>
      <c r="H668" s="7" t="s">
        <v>48</v>
      </c>
      <c r="I668" s="6" t="s">
        <v>112</v>
      </c>
      <c r="J668" s="7" t="s">
        <v>113</v>
      </c>
      <c r="K668" s="6" t="s">
        <v>81</v>
      </c>
      <c r="L668" s="7" t="s">
        <v>3093</v>
      </c>
      <c r="M668" s="7" t="s">
        <v>3094</v>
      </c>
      <c r="N668" s="9">
        <v>32482.0</v>
      </c>
    </row>
    <row r="669" ht="19.5" customHeight="1">
      <c r="A669" s="6" t="s">
        <v>3095</v>
      </c>
      <c r="B669" s="7" t="s">
        <v>6</v>
      </c>
      <c r="C669" s="7" t="s">
        <v>3097</v>
      </c>
      <c r="D669" s="7" t="s">
        <v>6</v>
      </c>
      <c r="E669" s="7" t="s">
        <v>45</v>
      </c>
      <c r="F669" s="6" t="s">
        <v>46</v>
      </c>
      <c r="G669" s="7" t="s">
        <v>3098</v>
      </c>
      <c r="H669" s="7" t="s">
        <v>23</v>
      </c>
      <c r="I669" s="6" t="s">
        <v>159</v>
      </c>
      <c r="J669" s="7" t="s">
        <v>1027</v>
      </c>
      <c r="K669" s="6" t="s">
        <v>81</v>
      </c>
      <c r="L669" s="7" t="s">
        <v>3099</v>
      </c>
      <c r="M669" s="7" t="s">
        <v>3100</v>
      </c>
      <c r="N669" s="9">
        <v>31705.0</v>
      </c>
    </row>
    <row r="670" ht="19.5" customHeight="1">
      <c r="A670" s="6" t="s">
        <v>3101</v>
      </c>
      <c r="B670" s="7" t="s">
        <v>6</v>
      </c>
      <c r="C670" s="7" t="s">
        <v>3102</v>
      </c>
      <c r="D670" s="7" t="s">
        <v>6</v>
      </c>
      <c r="E670" s="7" t="s">
        <v>45</v>
      </c>
      <c r="F670" s="6" t="s">
        <v>46</v>
      </c>
      <c r="G670" s="7" t="s">
        <v>3103</v>
      </c>
      <c r="H670" s="7" t="s">
        <v>23</v>
      </c>
      <c r="I670" s="6" t="s">
        <v>24</v>
      </c>
      <c r="J670" s="7" t="s">
        <v>25</v>
      </c>
      <c r="K670" s="6" t="s">
        <v>81</v>
      </c>
      <c r="L670" s="7" t="s">
        <v>3104</v>
      </c>
      <c r="M670" s="7" t="s">
        <v>3105</v>
      </c>
      <c r="N670" s="9">
        <v>33926.0</v>
      </c>
    </row>
    <row r="671" ht="19.5" customHeight="1">
      <c r="A671" s="6" t="s">
        <v>3106</v>
      </c>
      <c r="B671" s="7" t="s">
        <v>6</v>
      </c>
      <c r="C671" s="7" t="s">
        <v>3107</v>
      </c>
      <c r="D671" s="7" t="s">
        <v>6</v>
      </c>
      <c r="E671" s="7" t="s">
        <v>45</v>
      </c>
      <c r="F671" s="6" t="s">
        <v>46</v>
      </c>
      <c r="G671" s="7" t="s">
        <v>264</v>
      </c>
      <c r="H671" s="7" t="s">
        <v>23</v>
      </c>
      <c r="I671" s="6" t="s">
        <v>1255</v>
      </c>
      <c r="J671" s="7" t="s">
        <v>1256</v>
      </c>
      <c r="K671" s="6" t="s">
        <v>26</v>
      </c>
      <c r="L671" s="7" t="s">
        <v>3108</v>
      </c>
      <c r="M671" s="7" t="s">
        <v>3109</v>
      </c>
      <c r="N671" s="9">
        <v>32220.0</v>
      </c>
    </row>
    <row r="672" ht="19.5" customHeight="1">
      <c r="A672" s="6" t="s">
        <v>3110</v>
      </c>
      <c r="B672" s="7" t="s">
        <v>6</v>
      </c>
      <c r="C672" s="7" t="s">
        <v>3111</v>
      </c>
      <c r="D672" s="7" t="s">
        <v>6</v>
      </c>
      <c r="E672" s="7" t="s">
        <v>45</v>
      </c>
      <c r="F672" s="6" t="s">
        <v>46</v>
      </c>
      <c r="G672" s="7" t="s">
        <v>3112</v>
      </c>
      <c r="H672" s="7" t="s">
        <v>23</v>
      </c>
      <c r="I672" s="6" t="s">
        <v>189</v>
      </c>
      <c r="J672" s="7" t="s">
        <v>210</v>
      </c>
      <c r="K672" s="6" t="s">
        <v>81</v>
      </c>
      <c r="L672" s="7" t="s">
        <v>3113</v>
      </c>
      <c r="M672" s="7" t="s">
        <v>3114</v>
      </c>
      <c r="N672" s="9">
        <v>34645.0</v>
      </c>
    </row>
    <row r="673" ht="19.5" customHeight="1">
      <c r="A673" s="6" t="s">
        <v>3115</v>
      </c>
      <c r="B673" s="7" t="s">
        <v>6</v>
      </c>
      <c r="C673" s="7" t="s">
        <v>3116</v>
      </c>
      <c r="D673" s="7" t="s">
        <v>6</v>
      </c>
      <c r="E673" s="7" t="s">
        <v>45</v>
      </c>
      <c r="F673" s="6" t="s">
        <v>46</v>
      </c>
      <c r="G673" s="7" t="s">
        <v>1215</v>
      </c>
      <c r="H673" s="7" t="s">
        <v>23</v>
      </c>
      <c r="I673" s="6" t="s">
        <v>176</v>
      </c>
      <c r="J673" s="7" t="s">
        <v>428</v>
      </c>
      <c r="K673" s="6" t="s">
        <v>26</v>
      </c>
      <c r="L673" s="7" t="s">
        <v>3117</v>
      </c>
      <c r="M673" s="7" t="s">
        <v>3118</v>
      </c>
      <c r="N673" s="9">
        <v>33604.0</v>
      </c>
    </row>
    <row r="674" ht="19.5" customHeight="1">
      <c r="A674" s="6" t="s">
        <v>3119</v>
      </c>
      <c r="B674" s="7" t="s">
        <v>6</v>
      </c>
      <c r="C674" s="7" t="s">
        <v>3120</v>
      </c>
      <c r="D674" s="7" t="s">
        <v>6</v>
      </c>
      <c r="E674" s="7" t="s">
        <v>45</v>
      </c>
      <c r="F674" s="6" t="s">
        <v>46</v>
      </c>
      <c r="G674" s="7" t="s">
        <v>2480</v>
      </c>
      <c r="H674" s="7" t="s">
        <v>48</v>
      </c>
      <c r="I674" s="6" t="s">
        <v>170</v>
      </c>
      <c r="J674" s="7" t="s">
        <v>409</v>
      </c>
      <c r="K674" s="6" t="s">
        <v>26</v>
      </c>
      <c r="L674" s="7" t="s">
        <v>3121</v>
      </c>
      <c r="M674" s="7" t="s">
        <v>3122</v>
      </c>
      <c r="N674" s="9">
        <v>33415.0</v>
      </c>
    </row>
    <row r="675" ht="19.5" customHeight="1">
      <c r="A675" s="6" t="s">
        <v>3123</v>
      </c>
      <c r="B675" s="7" t="s">
        <v>6</v>
      </c>
      <c r="C675" s="7" t="s">
        <v>3124</v>
      </c>
      <c r="D675" s="7" t="s">
        <v>6</v>
      </c>
      <c r="E675" s="7" t="s">
        <v>45</v>
      </c>
      <c r="F675" s="6" t="s">
        <v>46</v>
      </c>
      <c r="G675" s="7" t="s">
        <v>3126</v>
      </c>
      <c r="H675" s="7" t="s">
        <v>23</v>
      </c>
      <c r="I675" s="6" t="s">
        <v>112</v>
      </c>
      <c r="J675" s="7" t="s">
        <v>113</v>
      </c>
      <c r="K675" s="6" t="s">
        <v>26</v>
      </c>
      <c r="L675" s="7" t="s">
        <v>3127</v>
      </c>
      <c r="M675" s="7" t="s">
        <v>3128</v>
      </c>
      <c r="N675" s="9">
        <v>32515.0</v>
      </c>
    </row>
    <row r="676" ht="19.5" customHeight="1">
      <c r="A676" s="6" t="s">
        <v>3129</v>
      </c>
      <c r="B676" s="7" t="s">
        <v>6</v>
      </c>
      <c r="C676" s="7" t="s">
        <v>3130</v>
      </c>
      <c r="D676" s="7" t="s">
        <v>6</v>
      </c>
      <c r="E676" s="7" t="s">
        <v>45</v>
      </c>
      <c r="F676" s="6" t="s">
        <v>46</v>
      </c>
      <c r="G676" s="7" t="s">
        <v>3132</v>
      </c>
      <c r="H676" s="7" t="s">
        <v>23</v>
      </c>
      <c r="I676" s="6" t="s">
        <v>128</v>
      </c>
      <c r="J676" s="7" t="s">
        <v>1978</v>
      </c>
      <c r="K676" s="6" t="s">
        <v>81</v>
      </c>
      <c r="L676" s="7" t="s">
        <v>3133</v>
      </c>
      <c r="M676" s="7" t="s">
        <v>3134</v>
      </c>
      <c r="N676" s="9">
        <v>29171.0</v>
      </c>
    </row>
    <row r="677" ht="19.5" customHeight="1">
      <c r="A677" s="6" t="s">
        <v>3135</v>
      </c>
      <c r="B677" s="7" t="s">
        <v>6</v>
      </c>
      <c r="C677" s="7" t="s">
        <v>3136</v>
      </c>
      <c r="D677" s="7" t="s">
        <v>6</v>
      </c>
      <c r="E677" s="7" t="s">
        <v>45</v>
      </c>
      <c r="F677" s="6" t="s">
        <v>46</v>
      </c>
      <c r="G677" s="7" t="s">
        <v>408</v>
      </c>
      <c r="H677" s="7" t="s">
        <v>23</v>
      </c>
      <c r="I677" s="6" t="s">
        <v>184</v>
      </c>
      <c r="J677" s="7" t="s">
        <v>439</v>
      </c>
      <c r="K677" s="6" t="s">
        <v>26</v>
      </c>
      <c r="L677" s="7" t="s">
        <v>3137</v>
      </c>
      <c r="M677" s="7" t="s">
        <v>3138</v>
      </c>
      <c r="N677" s="9">
        <v>34393.0</v>
      </c>
    </row>
    <row r="678" ht="19.5" customHeight="1">
      <c r="A678" s="6" t="s">
        <v>3139</v>
      </c>
      <c r="B678" s="7" t="s">
        <v>6</v>
      </c>
      <c r="C678" s="7" t="s">
        <v>3140</v>
      </c>
      <c r="D678" s="7" t="s">
        <v>6</v>
      </c>
      <c r="E678" s="7" t="s">
        <v>45</v>
      </c>
      <c r="F678" s="6" t="s">
        <v>46</v>
      </c>
      <c r="G678" s="7" t="s">
        <v>954</v>
      </c>
      <c r="H678" s="7" t="s">
        <v>23</v>
      </c>
      <c r="I678" s="6" t="s">
        <v>24</v>
      </c>
      <c r="J678" s="7" t="s">
        <v>25</v>
      </c>
      <c r="K678" s="6" t="s">
        <v>26</v>
      </c>
      <c r="L678" s="7" t="s">
        <v>3141</v>
      </c>
      <c r="M678" s="7" t="s">
        <v>3142</v>
      </c>
      <c r="N678" s="9">
        <v>34037.0</v>
      </c>
    </row>
    <row r="679" ht="19.5" customHeight="1">
      <c r="A679" s="6" t="s">
        <v>3143</v>
      </c>
      <c r="B679" s="7" t="s">
        <v>6</v>
      </c>
      <c r="C679" s="7" t="s">
        <v>3144</v>
      </c>
      <c r="D679" s="7" t="s">
        <v>6</v>
      </c>
      <c r="E679" s="7" t="s">
        <v>45</v>
      </c>
      <c r="F679" s="6" t="s">
        <v>46</v>
      </c>
      <c r="G679" s="7" t="s">
        <v>3145</v>
      </c>
      <c r="H679" s="7" t="s">
        <v>23</v>
      </c>
      <c r="I679" s="6" t="s">
        <v>184</v>
      </c>
      <c r="J679" s="7" t="s">
        <v>439</v>
      </c>
      <c r="K679" s="6" t="s">
        <v>26</v>
      </c>
      <c r="L679" s="7" t="s">
        <v>3146</v>
      </c>
      <c r="M679" s="7" t="s">
        <v>3147</v>
      </c>
      <c r="N679" s="9">
        <v>34365.0</v>
      </c>
    </row>
    <row r="680" ht="19.5" customHeight="1">
      <c r="A680" s="6" t="s">
        <v>3148</v>
      </c>
      <c r="B680" s="7" t="s">
        <v>6</v>
      </c>
      <c r="C680" s="7" t="s">
        <v>3149</v>
      </c>
      <c r="D680" s="7" t="s">
        <v>6</v>
      </c>
      <c r="E680" s="7" t="s">
        <v>45</v>
      </c>
      <c r="F680" s="6" t="s">
        <v>46</v>
      </c>
      <c r="G680" s="7" t="s">
        <v>3150</v>
      </c>
      <c r="H680" s="7" t="s">
        <v>23</v>
      </c>
      <c r="I680" s="6" t="s">
        <v>124</v>
      </c>
      <c r="J680" s="7" t="s">
        <v>125</v>
      </c>
      <c r="K680" s="6" t="s">
        <v>81</v>
      </c>
      <c r="L680" s="7" t="s">
        <v>3151</v>
      </c>
      <c r="M680" s="7" t="s">
        <v>3152</v>
      </c>
      <c r="N680" s="9">
        <v>32824.0</v>
      </c>
    </row>
    <row r="681" ht="19.5" customHeight="1">
      <c r="A681" s="6" t="s">
        <v>3153</v>
      </c>
      <c r="B681" s="7" t="s">
        <v>6</v>
      </c>
      <c r="C681" s="7" t="s">
        <v>3154</v>
      </c>
      <c r="D681" s="7" t="s">
        <v>6</v>
      </c>
      <c r="E681" s="7" t="s">
        <v>45</v>
      </c>
      <c r="F681" s="6" t="s">
        <v>46</v>
      </c>
      <c r="G681" s="7" t="s">
        <v>3155</v>
      </c>
      <c r="H681" s="7" t="s">
        <v>23</v>
      </c>
      <c r="I681" s="6" t="s">
        <v>184</v>
      </c>
      <c r="J681" s="7" t="s">
        <v>439</v>
      </c>
      <c r="K681" s="6" t="s">
        <v>81</v>
      </c>
      <c r="L681" s="7" t="s">
        <v>3156</v>
      </c>
      <c r="M681" s="7" t="s">
        <v>3157</v>
      </c>
      <c r="N681" s="9">
        <v>34313.0</v>
      </c>
    </row>
    <row r="682" ht="19.5" customHeight="1">
      <c r="A682" s="6" t="s">
        <v>3158</v>
      </c>
      <c r="B682" s="7" t="s">
        <v>6</v>
      </c>
      <c r="C682" s="7" t="s">
        <v>3159</v>
      </c>
      <c r="D682" s="7" t="s">
        <v>6</v>
      </c>
      <c r="E682" s="7" t="s">
        <v>45</v>
      </c>
      <c r="F682" s="6" t="s">
        <v>46</v>
      </c>
      <c r="G682" s="7" t="s">
        <v>3160</v>
      </c>
      <c r="H682" s="7" t="s">
        <v>48</v>
      </c>
      <c r="I682" s="6" t="s">
        <v>159</v>
      </c>
      <c r="J682" s="7" t="s">
        <v>1027</v>
      </c>
      <c r="K682" s="6" t="s">
        <v>26</v>
      </c>
      <c r="L682" s="7" t="s">
        <v>3161</v>
      </c>
      <c r="M682" s="7" t="s">
        <v>3162</v>
      </c>
      <c r="N682" s="9">
        <v>32050.0</v>
      </c>
    </row>
    <row r="683" ht="19.5" customHeight="1">
      <c r="A683" s="6" t="s">
        <v>3163</v>
      </c>
      <c r="B683" s="7" t="s">
        <v>6</v>
      </c>
      <c r="C683" s="7" t="s">
        <v>3164</v>
      </c>
      <c r="D683" s="7" t="s">
        <v>6</v>
      </c>
      <c r="E683" s="7" t="s">
        <v>45</v>
      </c>
      <c r="F683" s="6" t="s">
        <v>46</v>
      </c>
      <c r="G683" s="7" t="s">
        <v>2752</v>
      </c>
      <c r="H683" s="7" t="s">
        <v>48</v>
      </c>
      <c r="I683" s="6" t="s">
        <v>170</v>
      </c>
      <c r="J683" s="7" t="s">
        <v>409</v>
      </c>
      <c r="K683" s="6" t="s">
        <v>26</v>
      </c>
      <c r="L683" s="7" t="s">
        <v>3165</v>
      </c>
      <c r="M683" s="7" t="s">
        <v>6</v>
      </c>
      <c r="N683" s="9">
        <v>33376.0</v>
      </c>
    </row>
    <row r="684" ht="19.5" customHeight="1">
      <c r="A684" s="6" t="s">
        <v>3166</v>
      </c>
      <c r="B684" s="7" t="s">
        <v>6</v>
      </c>
      <c r="C684" s="7" t="s">
        <v>3167</v>
      </c>
      <c r="D684" s="7" t="s">
        <v>6</v>
      </c>
      <c r="E684" s="7" t="s">
        <v>45</v>
      </c>
      <c r="F684" s="6" t="s">
        <v>46</v>
      </c>
      <c r="G684" s="7" t="s">
        <v>3168</v>
      </c>
      <c r="H684" s="7" t="s">
        <v>48</v>
      </c>
      <c r="I684" s="6" t="s">
        <v>154</v>
      </c>
      <c r="J684" s="7" t="s">
        <v>434</v>
      </c>
      <c r="K684" s="6" t="s">
        <v>26</v>
      </c>
      <c r="L684" s="7" t="s">
        <v>3169</v>
      </c>
      <c r="M684" s="7" t="s">
        <v>3170</v>
      </c>
      <c r="N684" s="9">
        <v>31524.0</v>
      </c>
    </row>
    <row r="685" ht="19.5" customHeight="1">
      <c r="A685" s="6" t="s">
        <v>3171</v>
      </c>
      <c r="B685" s="7" t="s">
        <v>6</v>
      </c>
      <c r="C685" s="7" t="s">
        <v>3172</v>
      </c>
      <c r="D685" s="7" t="s">
        <v>6</v>
      </c>
      <c r="E685" s="7" t="s">
        <v>45</v>
      </c>
      <c r="F685" s="6" t="s">
        <v>46</v>
      </c>
      <c r="G685" s="7" t="s">
        <v>3173</v>
      </c>
      <c r="H685" s="7" t="s">
        <v>48</v>
      </c>
      <c r="I685" s="6" t="s">
        <v>135</v>
      </c>
      <c r="J685" s="7" t="s">
        <v>489</v>
      </c>
      <c r="K685" s="6" t="s">
        <v>26</v>
      </c>
      <c r="L685" s="7" t="s">
        <v>3174</v>
      </c>
      <c r="M685" s="7" t="s">
        <v>3175</v>
      </c>
      <c r="N685" s="9">
        <v>29645.0</v>
      </c>
    </row>
    <row r="686" ht="19.5" customHeight="1">
      <c r="A686" s="6" t="s">
        <v>3176</v>
      </c>
      <c r="B686" s="7" t="s">
        <v>6</v>
      </c>
      <c r="C686" s="7" t="s">
        <v>3177</v>
      </c>
      <c r="D686" s="7" t="s">
        <v>6</v>
      </c>
      <c r="E686" s="7" t="s">
        <v>45</v>
      </c>
      <c r="F686" s="6" t="s">
        <v>46</v>
      </c>
      <c r="G686" s="7" t="s">
        <v>3178</v>
      </c>
      <c r="H686" s="7" t="s">
        <v>48</v>
      </c>
      <c r="I686" s="6" t="s">
        <v>121</v>
      </c>
      <c r="J686" s="7" t="s">
        <v>471</v>
      </c>
      <c r="K686" s="6" t="s">
        <v>81</v>
      </c>
      <c r="L686" s="7" t="s">
        <v>3179</v>
      </c>
      <c r="M686" s="7" t="s">
        <v>3180</v>
      </c>
      <c r="N686" s="9">
        <v>28849.0</v>
      </c>
    </row>
    <row r="687" ht="19.5" customHeight="1">
      <c r="A687" s="6" t="s">
        <v>3181</v>
      </c>
      <c r="B687" s="7" t="s">
        <v>6</v>
      </c>
      <c r="C687" s="7" t="s">
        <v>3182</v>
      </c>
      <c r="D687" s="7" t="s">
        <v>6</v>
      </c>
      <c r="E687" s="7" t="s">
        <v>45</v>
      </c>
      <c r="F687" s="6" t="s">
        <v>46</v>
      </c>
      <c r="G687" s="7" t="s">
        <v>3183</v>
      </c>
      <c r="H687" s="7" t="s">
        <v>48</v>
      </c>
      <c r="I687" s="6" t="s">
        <v>32</v>
      </c>
      <c r="J687" s="7" t="s">
        <v>33</v>
      </c>
      <c r="K687" s="6" t="s">
        <v>26</v>
      </c>
      <c r="L687" s="7" t="s">
        <v>3184</v>
      </c>
      <c r="M687" s="7" t="s">
        <v>3185</v>
      </c>
      <c r="N687" s="9">
        <v>27974.0</v>
      </c>
    </row>
    <row r="688" ht="19.5" customHeight="1">
      <c r="A688" s="6" t="s">
        <v>3186</v>
      </c>
      <c r="B688" s="7" t="s">
        <v>6</v>
      </c>
      <c r="C688" s="7" t="s">
        <v>3187</v>
      </c>
      <c r="D688" s="7" t="s">
        <v>6</v>
      </c>
      <c r="E688" s="7" t="s">
        <v>45</v>
      </c>
      <c r="F688" s="6" t="s">
        <v>46</v>
      </c>
      <c r="G688" s="7" t="s">
        <v>3188</v>
      </c>
      <c r="H688" s="7" t="s">
        <v>48</v>
      </c>
      <c r="I688" s="6" t="s">
        <v>148</v>
      </c>
      <c r="J688" s="7" t="s">
        <v>182</v>
      </c>
      <c r="K688" s="6" t="s">
        <v>26</v>
      </c>
      <c r="L688" s="7" t="s">
        <v>3189</v>
      </c>
      <c r="M688" s="7" t="s">
        <v>3190</v>
      </c>
      <c r="N688" s="9">
        <v>31239.0</v>
      </c>
    </row>
    <row r="689" ht="19.5" customHeight="1">
      <c r="A689" s="6" t="s">
        <v>3191</v>
      </c>
      <c r="B689" s="7" t="s">
        <v>6</v>
      </c>
      <c r="C689" s="7" t="s">
        <v>3192</v>
      </c>
      <c r="D689" s="7" t="s">
        <v>6</v>
      </c>
      <c r="E689" s="7" t="s">
        <v>45</v>
      </c>
      <c r="F689" s="6" t="s">
        <v>46</v>
      </c>
      <c r="G689" s="7" t="s">
        <v>1910</v>
      </c>
      <c r="H689" s="7" t="s">
        <v>23</v>
      </c>
      <c r="I689" s="6" t="s">
        <v>154</v>
      </c>
      <c r="J689" s="7" t="s">
        <v>434</v>
      </c>
      <c r="K689" s="6" t="s">
        <v>26</v>
      </c>
      <c r="L689" s="7" t="s">
        <v>3193</v>
      </c>
      <c r="M689" s="7" t="s">
        <v>3194</v>
      </c>
      <c r="N689" s="9">
        <v>31612.0</v>
      </c>
    </row>
    <row r="690" ht="19.5" customHeight="1">
      <c r="A690" s="6" t="s">
        <v>3195</v>
      </c>
      <c r="B690" s="7" t="s">
        <v>6</v>
      </c>
      <c r="C690" s="7" t="s">
        <v>3196</v>
      </c>
      <c r="D690" s="7" t="s">
        <v>6</v>
      </c>
      <c r="E690" s="7" t="s">
        <v>45</v>
      </c>
      <c r="F690" s="6" t="s">
        <v>46</v>
      </c>
      <c r="G690" s="7" t="s">
        <v>3197</v>
      </c>
      <c r="H690" s="7" t="s">
        <v>48</v>
      </c>
      <c r="I690" s="6" t="s">
        <v>109</v>
      </c>
      <c r="J690" s="7" t="s">
        <v>1680</v>
      </c>
      <c r="K690" s="6" t="s">
        <v>26</v>
      </c>
      <c r="L690" s="7" t="s">
        <v>3198</v>
      </c>
      <c r="M690" s="7" t="s">
        <v>3199</v>
      </c>
      <c r="N690" s="9">
        <v>28374.0</v>
      </c>
    </row>
    <row r="691" ht="19.5" customHeight="1">
      <c r="A691" s="6" t="s">
        <v>3200</v>
      </c>
      <c r="B691" s="7" t="s">
        <v>6</v>
      </c>
      <c r="C691" s="7" t="s">
        <v>3201</v>
      </c>
      <c r="D691" s="7" t="s">
        <v>6</v>
      </c>
      <c r="E691" s="7" t="s">
        <v>45</v>
      </c>
      <c r="F691" s="6" t="s">
        <v>46</v>
      </c>
      <c r="G691" s="7" t="s">
        <v>3202</v>
      </c>
      <c r="H691" s="7" t="s">
        <v>23</v>
      </c>
      <c r="I691" s="6" t="s">
        <v>128</v>
      </c>
      <c r="J691" s="7" t="s">
        <v>1978</v>
      </c>
      <c r="K691" s="6" t="s">
        <v>26</v>
      </c>
      <c r="L691" s="7" t="s">
        <v>3203</v>
      </c>
      <c r="M691" s="7" t="s">
        <v>3204</v>
      </c>
      <c r="N691" s="9">
        <v>29283.0</v>
      </c>
    </row>
    <row r="692" ht="19.5" customHeight="1">
      <c r="A692" s="6" t="s">
        <v>3205</v>
      </c>
      <c r="B692" s="7" t="s">
        <v>6</v>
      </c>
      <c r="C692" s="7" t="s">
        <v>3206</v>
      </c>
      <c r="D692" s="7" t="s">
        <v>6</v>
      </c>
      <c r="E692" s="7" t="s">
        <v>45</v>
      </c>
      <c r="F692" s="6" t="s">
        <v>46</v>
      </c>
      <c r="G692" s="7" t="s">
        <v>3145</v>
      </c>
      <c r="H692" s="7" t="s">
        <v>48</v>
      </c>
      <c r="I692" s="6" t="s">
        <v>140</v>
      </c>
      <c r="J692" s="7" t="s">
        <v>173</v>
      </c>
      <c r="K692" s="6" t="s">
        <v>26</v>
      </c>
      <c r="L692" s="7" t="s">
        <v>3207</v>
      </c>
      <c r="M692" s="7" t="s">
        <v>1706</v>
      </c>
      <c r="N692" s="9">
        <v>30483.0</v>
      </c>
    </row>
    <row r="693" ht="19.5" customHeight="1">
      <c r="A693" s="6" t="s">
        <v>3208</v>
      </c>
      <c r="B693" s="7" t="s">
        <v>6</v>
      </c>
      <c r="C693" s="7" t="s">
        <v>3209</v>
      </c>
      <c r="D693" s="7" t="s">
        <v>6</v>
      </c>
      <c r="E693" s="7" t="s">
        <v>45</v>
      </c>
      <c r="F693" s="6" t="s">
        <v>46</v>
      </c>
      <c r="G693" s="7" t="s">
        <v>1488</v>
      </c>
      <c r="H693" s="7" t="s">
        <v>48</v>
      </c>
      <c r="I693" s="6" t="s">
        <v>170</v>
      </c>
      <c r="J693" s="7" t="s">
        <v>409</v>
      </c>
      <c r="K693" s="6" t="s">
        <v>81</v>
      </c>
      <c r="L693" s="7" t="s">
        <v>3210</v>
      </c>
      <c r="M693" s="7" t="s">
        <v>3211</v>
      </c>
      <c r="N693" s="9">
        <v>33225.0</v>
      </c>
    </row>
    <row r="694" ht="19.5" customHeight="1">
      <c r="A694" s="6" t="s">
        <v>3212</v>
      </c>
      <c r="B694" s="7" t="s">
        <v>6</v>
      </c>
      <c r="C694" s="7" t="s">
        <v>3213</v>
      </c>
      <c r="D694" s="7" t="s">
        <v>6</v>
      </c>
      <c r="E694" s="7" t="s">
        <v>45</v>
      </c>
      <c r="F694" s="6" t="s">
        <v>46</v>
      </c>
      <c r="G694" s="7" t="s">
        <v>3214</v>
      </c>
      <c r="H694" s="7" t="s">
        <v>23</v>
      </c>
      <c r="I694" s="6" t="s">
        <v>109</v>
      </c>
      <c r="J694" s="7" t="s">
        <v>1680</v>
      </c>
      <c r="K694" s="6" t="s">
        <v>26</v>
      </c>
      <c r="L694" s="7" t="s">
        <v>3215</v>
      </c>
      <c r="M694" s="7" t="s">
        <v>3216</v>
      </c>
      <c r="N694" s="9">
        <v>28268.0</v>
      </c>
    </row>
    <row r="695" ht="19.5" customHeight="1">
      <c r="A695" s="6" t="s">
        <v>3217</v>
      </c>
      <c r="B695" s="7" t="s">
        <v>6</v>
      </c>
      <c r="C695" s="7" t="s">
        <v>3218</v>
      </c>
      <c r="D695" s="7" t="s">
        <v>6</v>
      </c>
      <c r="E695" s="7" t="s">
        <v>45</v>
      </c>
      <c r="F695" s="6" t="s">
        <v>46</v>
      </c>
      <c r="G695" s="7" t="s">
        <v>2031</v>
      </c>
      <c r="H695" s="7" t="s">
        <v>23</v>
      </c>
      <c r="I695" s="6" t="s">
        <v>112</v>
      </c>
      <c r="J695" s="7" t="s">
        <v>113</v>
      </c>
      <c r="K695" s="6" t="s">
        <v>26</v>
      </c>
      <c r="L695" s="7" t="s">
        <v>3219</v>
      </c>
      <c r="M695" s="7" t="s">
        <v>3220</v>
      </c>
      <c r="N695" s="9">
        <v>32673.0</v>
      </c>
    </row>
    <row r="696" ht="19.5" customHeight="1">
      <c r="A696" s="6" t="s">
        <v>3221</v>
      </c>
      <c r="B696" s="7" t="s">
        <v>6</v>
      </c>
      <c r="C696" s="7" t="s">
        <v>3222</v>
      </c>
      <c r="D696" s="7" t="s">
        <v>6</v>
      </c>
      <c r="E696" s="7" t="s">
        <v>45</v>
      </c>
      <c r="F696" s="6" t="s">
        <v>46</v>
      </c>
      <c r="G696" s="7" t="s">
        <v>217</v>
      </c>
      <c r="H696" s="7" t="s">
        <v>23</v>
      </c>
      <c r="I696" s="6" t="s">
        <v>170</v>
      </c>
      <c r="J696" s="7" t="s">
        <v>409</v>
      </c>
      <c r="K696" s="6" t="s">
        <v>26</v>
      </c>
      <c r="L696" s="7" t="s">
        <v>3223</v>
      </c>
      <c r="M696" s="7" t="s">
        <v>3224</v>
      </c>
      <c r="N696" s="9">
        <v>33502.0</v>
      </c>
    </row>
    <row r="697" ht="19.5" customHeight="1">
      <c r="A697" s="6" t="s">
        <v>3225</v>
      </c>
      <c r="B697" s="7" t="s">
        <v>6</v>
      </c>
      <c r="C697" s="7" t="s">
        <v>3226</v>
      </c>
      <c r="D697" s="7" t="s">
        <v>6</v>
      </c>
      <c r="E697" s="7" t="s">
        <v>45</v>
      </c>
      <c r="F697" s="6" t="s">
        <v>46</v>
      </c>
      <c r="G697" s="7" t="s">
        <v>466</v>
      </c>
      <c r="H697" s="7" t="s">
        <v>23</v>
      </c>
      <c r="I697" s="6" t="s">
        <v>112</v>
      </c>
      <c r="J697" s="7" t="s">
        <v>113</v>
      </c>
      <c r="K697" s="6" t="s">
        <v>26</v>
      </c>
      <c r="L697" s="7" t="s">
        <v>3227</v>
      </c>
      <c r="M697" s="7" t="s">
        <v>3228</v>
      </c>
      <c r="N697" s="9">
        <v>32685.0</v>
      </c>
    </row>
    <row r="698" ht="19.5" customHeight="1">
      <c r="A698" s="6" t="s">
        <v>3229</v>
      </c>
      <c r="B698" s="7" t="s">
        <v>6</v>
      </c>
      <c r="C698" s="7" t="s">
        <v>3230</v>
      </c>
      <c r="D698" s="7" t="s">
        <v>6</v>
      </c>
      <c r="E698" s="7" t="s">
        <v>45</v>
      </c>
      <c r="F698" s="6" t="s">
        <v>46</v>
      </c>
      <c r="G698" s="7" t="s">
        <v>3231</v>
      </c>
      <c r="H698" s="7" t="s">
        <v>48</v>
      </c>
      <c r="I698" s="6" t="s">
        <v>109</v>
      </c>
      <c r="J698" s="7" t="s">
        <v>1680</v>
      </c>
      <c r="K698" s="6" t="s">
        <v>81</v>
      </c>
      <c r="L698" s="7" t="s">
        <v>3232</v>
      </c>
      <c r="M698" s="7" t="s">
        <v>3233</v>
      </c>
      <c r="N698" s="9">
        <v>28099.0</v>
      </c>
    </row>
    <row r="699" ht="19.5" customHeight="1">
      <c r="A699" s="6" t="s">
        <v>3234</v>
      </c>
      <c r="B699" s="7" t="s">
        <v>6</v>
      </c>
      <c r="C699" s="7" t="s">
        <v>3235</v>
      </c>
      <c r="D699" s="7" t="s">
        <v>6</v>
      </c>
      <c r="E699" s="7" t="s">
        <v>45</v>
      </c>
      <c r="F699" s="6" t="s">
        <v>46</v>
      </c>
      <c r="G699" s="7" t="s">
        <v>3236</v>
      </c>
      <c r="H699" s="7" t="s">
        <v>48</v>
      </c>
      <c r="I699" s="6" t="s">
        <v>1255</v>
      </c>
      <c r="J699" s="7" t="s">
        <v>1256</v>
      </c>
      <c r="K699" s="6" t="s">
        <v>26</v>
      </c>
      <c r="L699" s="7" t="s">
        <v>3237</v>
      </c>
      <c r="M699" s="7" t="s">
        <v>3238</v>
      </c>
      <c r="N699" s="9">
        <v>32160.0</v>
      </c>
    </row>
    <row r="700" ht="19.5" customHeight="1">
      <c r="A700" s="6" t="s">
        <v>3239</v>
      </c>
      <c r="B700" s="7" t="s">
        <v>6</v>
      </c>
      <c r="C700" s="7" t="s">
        <v>3240</v>
      </c>
      <c r="D700" s="7" t="s">
        <v>6</v>
      </c>
      <c r="E700" s="7" t="s">
        <v>45</v>
      </c>
      <c r="F700" s="6" t="s">
        <v>46</v>
      </c>
      <c r="G700" s="7" t="s">
        <v>470</v>
      </c>
      <c r="H700" s="7" t="s">
        <v>48</v>
      </c>
      <c r="I700" s="6" t="s">
        <v>39</v>
      </c>
      <c r="J700" s="7" t="s">
        <v>40</v>
      </c>
      <c r="K700" s="6" t="s">
        <v>26</v>
      </c>
      <c r="L700" s="7" t="s">
        <v>3241</v>
      </c>
      <c r="M700" s="7" t="s">
        <v>3243</v>
      </c>
      <c r="N700" s="9">
        <v>29957.0</v>
      </c>
    </row>
    <row r="701" ht="19.5" customHeight="1">
      <c r="A701" s="6" t="s">
        <v>3244</v>
      </c>
      <c r="B701" s="7" t="s">
        <v>6</v>
      </c>
      <c r="C701" s="7" t="s">
        <v>3245</v>
      </c>
      <c r="D701" s="7" t="s">
        <v>6</v>
      </c>
      <c r="E701" s="7" t="s">
        <v>45</v>
      </c>
      <c r="F701" s="6" t="s">
        <v>46</v>
      </c>
      <c r="G701" s="7" t="s">
        <v>3246</v>
      </c>
      <c r="H701" s="7" t="s">
        <v>23</v>
      </c>
      <c r="I701" s="6" t="s">
        <v>116</v>
      </c>
      <c r="J701" s="7" t="s">
        <v>757</v>
      </c>
      <c r="K701" s="6" t="s">
        <v>26</v>
      </c>
      <c r="L701" s="7" t="s">
        <v>3247</v>
      </c>
      <c r="M701" s="7" t="s">
        <v>3248</v>
      </c>
      <c r="N701" s="9">
        <v>28513.0</v>
      </c>
    </row>
    <row r="702" ht="19.5" customHeight="1">
      <c r="A702" s="6" t="s">
        <v>3249</v>
      </c>
      <c r="B702" s="7" t="s">
        <v>6</v>
      </c>
      <c r="C702" s="7" t="s">
        <v>3250</v>
      </c>
      <c r="D702" s="7" t="s">
        <v>6</v>
      </c>
      <c r="E702" s="7" t="s">
        <v>45</v>
      </c>
      <c r="F702" s="6" t="s">
        <v>46</v>
      </c>
      <c r="G702" s="7" t="s">
        <v>3251</v>
      </c>
      <c r="H702" s="7" t="s">
        <v>23</v>
      </c>
      <c r="I702" s="6" t="s">
        <v>96</v>
      </c>
      <c r="J702" s="7" t="s">
        <v>3252</v>
      </c>
      <c r="K702" s="6" t="s">
        <v>26</v>
      </c>
      <c r="L702" s="7" t="s">
        <v>3253</v>
      </c>
      <c r="M702" s="7" t="s">
        <v>3254</v>
      </c>
      <c r="N702" s="9">
        <v>27398.0</v>
      </c>
    </row>
    <row r="703" ht="19.5" customHeight="1">
      <c r="A703" s="6" t="s">
        <v>3255</v>
      </c>
      <c r="B703" s="7" t="s">
        <v>6</v>
      </c>
      <c r="C703" s="7" t="s">
        <v>3256</v>
      </c>
      <c r="D703" s="7" t="s">
        <v>6</v>
      </c>
      <c r="E703" s="7" t="s">
        <v>45</v>
      </c>
      <c r="F703" s="6" t="s">
        <v>46</v>
      </c>
      <c r="G703" s="7" t="s">
        <v>1531</v>
      </c>
      <c r="H703" s="7" t="s">
        <v>23</v>
      </c>
      <c r="I703" s="6" t="s">
        <v>1255</v>
      </c>
      <c r="J703" s="7" t="s">
        <v>1256</v>
      </c>
      <c r="K703" s="6" t="s">
        <v>26</v>
      </c>
      <c r="L703" s="7" t="s">
        <v>3257</v>
      </c>
      <c r="M703" s="7" t="s">
        <v>3258</v>
      </c>
      <c r="N703" s="9">
        <v>32356.0</v>
      </c>
    </row>
    <row r="704" ht="19.5" customHeight="1">
      <c r="A704" s="6" t="s">
        <v>3259</v>
      </c>
      <c r="B704" s="7" t="s">
        <v>6</v>
      </c>
      <c r="C704" s="7" t="s">
        <v>3260</v>
      </c>
      <c r="D704" s="7" t="s">
        <v>6</v>
      </c>
      <c r="E704" s="7" t="s">
        <v>45</v>
      </c>
      <c r="F704" s="6" t="s">
        <v>46</v>
      </c>
      <c r="G704" s="7" t="s">
        <v>3261</v>
      </c>
      <c r="H704" s="7" t="s">
        <v>23</v>
      </c>
      <c r="I704" s="6" t="s">
        <v>65</v>
      </c>
      <c r="J704" s="7" t="s">
        <v>2132</v>
      </c>
      <c r="K704" s="6" t="s">
        <v>26</v>
      </c>
      <c r="L704" s="7" t="s">
        <v>3262</v>
      </c>
      <c r="M704" s="7" t="s">
        <v>3263</v>
      </c>
      <c r="N704" s="9">
        <v>25647.0</v>
      </c>
    </row>
    <row r="705" ht="19.5" customHeight="1">
      <c r="A705" s="6" t="s">
        <v>3264</v>
      </c>
      <c r="B705" s="7" t="s">
        <v>6</v>
      </c>
      <c r="C705" s="7" t="s">
        <v>3265</v>
      </c>
      <c r="D705" s="7" t="s">
        <v>6</v>
      </c>
      <c r="E705" s="7" t="s">
        <v>45</v>
      </c>
      <c r="F705" s="6" t="s">
        <v>46</v>
      </c>
      <c r="G705" s="7" t="s">
        <v>3266</v>
      </c>
      <c r="H705" s="7" t="s">
        <v>23</v>
      </c>
      <c r="I705" s="6" t="s">
        <v>140</v>
      </c>
      <c r="J705" s="7" t="s">
        <v>173</v>
      </c>
      <c r="K705" s="6" t="s">
        <v>26</v>
      </c>
      <c r="L705" s="7" t="s">
        <v>3267</v>
      </c>
      <c r="M705" s="7" t="s">
        <v>2341</v>
      </c>
      <c r="N705" s="9">
        <v>30474.0</v>
      </c>
    </row>
    <row r="706" ht="19.5" customHeight="1">
      <c r="A706" s="6" t="s">
        <v>3268</v>
      </c>
      <c r="B706" s="7" t="s">
        <v>6</v>
      </c>
      <c r="C706" s="7" t="s">
        <v>3269</v>
      </c>
      <c r="D706" s="7" t="s">
        <v>6</v>
      </c>
      <c r="E706" s="7" t="s">
        <v>45</v>
      </c>
      <c r="F706" s="6" t="s">
        <v>46</v>
      </c>
      <c r="G706" s="7" t="s">
        <v>2100</v>
      </c>
      <c r="H706" s="7" t="s">
        <v>23</v>
      </c>
      <c r="I706" s="6" t="s">
        <v>39</v>
      </c>
      <c r="J706" s="7" t="s">
        <v>40</v>
      </c>
      <c r="K706" s="6" t="s">
        <v>26</v>
      </c>
      <c r="L706" s="7" t="s">
        <v>3270</v>
      </c>
      <c r="M706" s="7" t="s">
        <v>3271</v>
      </c>
      <c r="N706" s="9">
        <v>30176.0</v>
      </c>
    </row>
    <row r="707" ht="19.5" customHeight="1">
      <c r="A707" s="6" t="s">
        <v>3272</v>
      </c>
      <c r="B707" s="7" t="s">
        <v>6</v>
      </c>
      <c r="C707" s="7" t="s">
        <v>3273</v>
      </c>
      <c r="D707" s="7" t="s">
        <v>6</v>
      </c>
      <c r="E707" s="7" t="s">
        <v>45</v>
      </c>
      <c r="F707" s="6" t="s">
        <v>46</v>
      </c>
      <c r="G707" s="7" t="s">
        <v>3274</v>
      </c>
      <c r="H707" s="7" t="s">
        <v>23</v>
      </c>
      <c r="I707" s="6" t="s">
        <v>121</v>
      </c>
      <c r="J707" s="7" t="s">
        <v>471</v>
      </c>
      <c r="K707" s="6" t="s">
        <v>81</v>
      </c>
      <c r="L707" s="7" t="s">
        <v>3275</v>
      </c>
      <c r="M707" s="7" t="s">
        <v>3276</v>
      </c>
      <c r="N707" s="9">
        <v>28844.0</v>
      </c>
    </row>
    <row r="708" ht="19.5" customHeight="1">
      <c r="A708" s="6" t="s">
        <v>3277</v>
      </c>
      <c r="B708" s="7" t="s">
        <v>6</v>
      </c>
      <c r="C708" s="7" t="s">
        <v>3278</v>
      </c>
      <c r="D708" s="7" t="s">
        <v>6</v>
      </c>
      <c r="E708" s="7" t="s">
        <v>45</v>
      </c>
      <c r="F708" s="6" t="s">
        <v>46</v>
      </c>
      <c r="G708" s="7" t="s">
        <v>3279</v>
      </c>
      <c r="H708" s="7" t="s">
        <v>23</v>
      </c>
      <c r="I708" s="6" t="s">
        <v>140</v>
      </c>
      <c r="J708" s="7" t="s">
        <v>173</v>
      </c>
      <c r="K708" s="6" t="s">
        <v>26</v>
      </c>
      <c r="L708" s="7" t="s">
        <v>3280</v>
      </c>
      <c r="M708" s="7" t="s">
        <v>3281</v>
      </c>
      <c r="N708" s="9">
        <v>30500.0</v>
      </c>
    </row>
    <row r="709" ht="19.5" customHeight="1">
      <c r="A709" s="6" t="s">
        <v>3282</v>
      </c>
      <c r="B709" s="7" t="s">
        <v>6</v>
      </c>
      <c r="C709" s="7" t="s">
        <v>3283</v>
      </c>
      <c r="D709" s="7" t="s">
        <v>6</v>
      </c>
      <c r="E709" s="7" t="s">
        <v>45</v>
      </c>
      <c r="F709" s="6" t="s">
        <v>46</v>
      </c>
      <c r="G709" s="7" t="s">
        <v>1841</v>
      </c>
      <c r="H709" s="7" t="s">
        <v>23</v>
      </c>
      <c r="I709" s="6" t="s">
        <v>128</v>
      </c>
      <c r="J709" s="7" t="s">
        <v>1978</v>
      </c>
      <c r="K709" s="6" t="s">
        <v>26</v>
      </c>
      <c r="L709" s="7" t="s">
        <v>3284</v>
      </c>
      <c r="M709" s="7" t="s">
        <v>3285</v>
      </c>
      <c r="N709" s="9">
        <v>29332.0</v>
      </c>
    </row>
    <row r="710" ht="19.5" customHeight="1">
      <c r="A710" s="6" t="s">
        <v>3286</v>
      </c>
      <c r="B710" s="7" t="s">
        <v>6</v>
      </c>
      <c r="C710" s="7" t="s">
        <v>3287</v>
      </c>
      <c r="D710" s="7" t="s">
        <v>6</v>
      </c>
      <c r="E710" s="7" t="s">
        <v>45</v>
      </c>
      <c r="F710" s="6" t="s">
        <v>46</v>
      </c>
      <c r="G710" s="7" t="s">
        <v>3288</v>
      </c>
      <c r="H710" s="7" t="s">
        <v>48</v>
      </c>
      <c r="I710" s="6" t="s">
        <v>76</v>
      </c>
      <c r="J710" s="7" t="s">
        <v>2936</v>
      </c>
      <c r="K710" s="6" t="s">
        <v>81</v>
      </c>
      <c r="L710" s="7" t="s">
        <v>3289</v>
      </c>
      <c r="M710" s="7" t="s">
        <v>3290</v>
      </c>
      <c r="N710" s="9">
        <v>26256.0</v>
      </c>
    </row>
    <row r="711" ht="19.5" customHeight="1">
      <c r="A711" s="6" t="s">
        <v>3291</v>
      </c>
      <c r="B711" s="7" t="s">
        <v>6</v>
      </c>
      <c r="C711" s="7" t="s">
        <v>3292</v>
      </c>
      <c r="D711" s="7" t="s">
        <v>6</v>
      </c>
      <c r="E711" s="7" t="s">
        <v>45</v>
      </c>
      <c r="F711" s="6" t="s">
        <v>46</v>
      </c>
      <c r="G711" s="7" t="s">
        <v>2349</v>
      </c>
      <c r="H711" s="7" t="s">
        <v>48</v>
      </c>
      <c r="I711" s="6" t="s">
        <v>140</v>
      </c>
      <c r="J711" s="7" t="s">
        <v>173</v>
      </c>
      <c r="K711" s="6" t="s">
        <v>26</v>
      </c>
      <c r="L711" s="7" t="s">
        <v>3293</v>
      </c>
      <c r="M711" s="7" t="s">
        <v>3294</v>
      </c>
      <c r="N711" s="9">
        <v>30585.0</v>
      </c>
    </row>
    <row r="712" ht="19.5" customHeight="1">
      <c r="A712" s="6" t="s">
        <v>3295</v>
      </c>
      <c r="B712" s="7" t="s">
        <v>6</v>
      </c>
      <c r="C712" s="7" t="s">
        <v>3296</v>
      </c>
      <c r="D712" s="7" t="s">
        <v>6</v>
      </c>
      <c r="E712" s="7" t="s">
        <v>45</v>
      </c>
      <c r="F712" s="6" t="s">
        <v>46</v>
      </c>
      <c r="G712" s="7" t="s">
        <v>3297</v>
      </c>
      <c r="H712" s="7" t="s">
        <v>23</v>
      </c>
      <c r="I712" s="6" t="s">
        <v>32</v>
      </c>
      <c r="J712" s="7" t="s">
        <v>33</v>
      </c>
      <c r="K712" s="6" t="s">
        <v>81</v>
      </c>
      <c r="L712" s="7" t="s">
        <v>3298</v>
      </c>
      <c r="M712" s="7" t="s">
        <v>3299</v>
      </c>
      <c r="N712" s="9">
        <v>27709.0</v>
      </c>
    </row>
    <row r="713" ht="19.5" customHeight="1">
      <c r="A713" s="6" t="s">
        <v>3300</v>
      </c>
      <c r="B713" s="7" t="s">
        <v>6</v>
      </c>
      <c r="C713" s="7" t="s">
        <v>3301</v>
      </c>
      <c r="D713" s="7" t="s">
        <v>6</v>
      </c>
      <c r="E713" s="7" t="s">
        <v>45</v>
      </c>
      <c r="F713" s="6" t="s">
        <v>46</v>
      </c>
      <c r="G713" s="7" t="s">
        <v>3302</v>
      </c>
      <c r="H713" s="7" t="s">
        <v>23</v>
      </c>
      <c r="I713" s="6" t="s">
        <v>65</v>
      </c>
      <c r="J713" s="7" t="s">
        <v>2132</v>
      </c>
      <c r="K713" s="6" t="s">
        <v>26</v>
      </c>
      <c r="L713" s="7" t="s">
        <v>3303</v>
      </c>
      <c r="M713" s="7" t="s">
        <v>3304</v>
      </c>
      <c r="N713" s="9">
        <v>25746.0</v>
      </c>
    </row>
    <row r="714" ht="19.5" customHeight="1">
      <c r="A714" s="6" t="s">
        <v>3305</v>
      </c>
      <c r="B714" s="7" t="s">
        <v>6</v>
      </c>
      <c r="C714" s="7" t="s">
        <v>3306</v>
      </c>
      <c r="D714" s="7" t="s">
        <v>6</v>
      </c>
      <c r="E714" s="7" t="s">
        <v>45</v>
      </c>
      <c r="F714" s="6" t="s">
        <v>46</v>
      </c>
      <c r="G714" s="7" t="s">
        <v>2908</v>
      </c>
      <c r="H714" s="7" t="s">
        <v>23</v>
      </c>
      <c r="I714" s="6" t="s">
        <v>135</v>
      </c>
      <c r="J714" s="7" t="s">
        <v>489</v>
      </c>
      <c r="K714" s="6" t="s">
        <v>81</v>
      </c>
      <c r="L714" s="7" t="s">
        <v>3307</v>
      </c>
      <c r="M714" s="7" t="s">
        <v>3308</v>
      </c>
      <c r="N714" s="9">
        <v>29530.0</v>
      </c>
    </row>
    <row r="715" ht="19.5" customHeight="1">
      <c r="A715" s="6" t="s">
        <v>3309</v>
      </c>
      <c r="B715" s="7" t="s">
        <v>6</v>
      </c>
      <c r="C715" s="7" t="s">
        <v>3310</v>
      </c>
      <c r="D715" s="7" t="s">
        <v>6</v>
      </c>
      <c r="E715" s="7" t="s">
        <v>45</v>
      </c>
      <c r="F715" s="6" t="s">
        <v>46</v>
      </c>
      <c r="G715" s="7" t="s">
        <v>2061</v>
      </c>
      <c r="H715" s="7" t="s">
        <v>23</v>
      </c>
      <c r="I715" s="6" t="s">
        <v>116</v>
      </c>
      <c r="J715" s="7" t="s">
        <v>757</v>
      </c>
      <c r="K715" s="6" t="s">
        <v>26</v>
      </c>
      <c r="L715" s="7" t="s">
        <v>3311</v>
      </c>
      <c r="M715" s="7" t="s">
        <v>3312</v>
      </c>
      <c r="N715" s="9">
        <v>28537.0</v>
      </c>
    </row>
    <row r="716" ht="19.5" customHeight="1">
      <c r="A716" s="6" t="s">
        <v>3313</v>
      </c>
      <c r="B716" s="7" t="s">
        <v>6</v>
      </c>
      <c r="C716" s="7" t="s">
        <v>3314</v>
      </c>
      <c r="D716" s="7" t="s">
        <v>6</v>
      </c>
      <c r="E716" s="7" t="s">
        <v>45</v>
      </c>
      <c r="F716" s="6" t="s">
        <v>46</v>
      </c>
      <c r="G716" s="7" t="s">
        <v>3315</v>
      </c>
      <c r="H716" s="7" t="s">
        <v>48</v>
      </c>
      <c r="I716" s="6" t="s">
        <v>59</v>
      </c>
      <c r="J716" s="7" t="s">
        <v>3316</v>
      </c>
      <c r="K716" s="6" t="s">
        <v>26</v>
      </c>
      <c r="L716" s="7" t="s">
        <v>3317</v>
      </c>
      <c r="M716" s="7" t="s">
        <v>3318</v>
      </c>
      <c r="N716" s="9">
        <v>25264.0</v>
      </c>
    </row>
    <row r="717" ht="19.5" customHeight="1">
      <c r="A717" s="6" t="s">
        <v>3319</v>
      </c>
      <c r="B717" s="7" t="s">
        <v>6</v>
      </c>
      <c r="C717" s="7" t="s">
        <v>3320</v>
      </c>
      <c r="D717" s="7" t="s">
        <v>6</v>
      </c>
      <c r="E717" s="7" t="s">
        <v>45</v>
      </c>
      <c r="F717" s="6" t="s">
        <v>46</v>
      </c>
      <c r="G717" s="7" t="s">
        <v>3321</v>
      </c>
      <c r="H717" s="7" t="s">
        <v>23</v>
      </c>
      <c r="I717" s="6" t="s">
        <v>32</v>
      </c>
      <c r="J717" s="7" t="s">
        <v>33</v>
      </c>
      <c r="K717" s="6" t="s">
        <v>26</v>
      </c>
      <c r="L717" s="7" t="s">
        <v>3322</v>
      </c>
      <c r="M717" s="7" t="s">
        <v>3323</v>
      </c>
      <c r="N717" s="9">
        <v>27802.0</v>
      </c>
    </row>
    <row r="718" ht="19.5" customHeight="1">
      <c r="A718" s="6" t="s">
        <v>3324</v>
      </c>
      <c r="B718" s="7" t="s">
        <v>6</v>
      </c>
      <c r="C718" s="7" t="s">
        <v>3325</v>
      </c>
      <c r="D718" s="7" t="s">
        <v>6</v>
      </c>
      <c r="E718" s="7" t="s">
        <v>45</v>
      </c>
      <c r="F718" s="6" t="s">
        <v>46</v>
      </c>
      <c r="G718" s="7" t="s">
        <v>31</v>
      </c>
      <c r="H718" s="7" t="s">
        <v>48</v>
      </c>
      <c r="I718" s="6" t="s">
        <v>53</v>
      </c>
      <c r="J718" s="7" t="s">
        <v>3326</v>
      </c>
      <c r="K718" s="6" t="s">
        <v>26</v>
      </c>
      <c r="L718" s="7" t="s">
        <v>3327</v>
      </c>
      <c r="M718" s="7" t="s">
        <v>3328</v>
      </c>
      <c r="N718" s="9">
        <v>24935.0</v>
      </c>
    </row>
    <row r="719" ht="19.5" customHeight="1">
      <c r="A719" s="6" t="s">
        <v>3329</v>
      </c>
      <c r="B719" s="7" t="s">
        <v>6</v>
      </c>
      <c r="C719" s="7" t="s">
        <v>3330</v>
      </c>
      <c r="D719" s="7" t="s">
        <v>6</v>
      </c>
      <c r="E719" s="7" t="s">
        <v>45</v>
      </c>
      <c r="F719" s="6" t="s">
        <v>46</v>
      </c>
      <c r="G719" s="7" t="s">
        <v>31</v>
      </c>
      <c r="H719" s="7" t="s">
        <v>23</v>
      </c>
      <c r="I719" s="6" t="s">
        <v>53</v>
      </c>
      <c r="J719" s="7" t="s">
        <v>3326</v>
      </c>
      <c r="K719" s="6" t="s">
        <v>26</v>
      </c>
      <c r="L719" s="7" t="s">
        <v>3331</v>
      </c>
      <c r="M719" s="7" t="s">
        <v>3332</v>
      </c>
      <c r="N719" s="9">
        <v>25059.0</v>
      </c>
    </row>
    <row r="720" ht="19.5" customHeight="1">
      <c r="A720" s="6" t="s">
        <v>3333</v>
      </c>
      <c r="B720" s="7" t="s">
        <v>6</v>
      </c>
      <c r="C720" s="7" t="s">
        <v>3334</v>
      </c>
      <c r="D720" s="7" t="s">
        <v>6</v>
      </c>
      <c r="E720" s="7" t="s">
        <v>45</v>
      </c>
      <c r="F720" s="6" t="s">
        <v>46</v>
      </c>
      <c r="G720" s="7" t="s">
        <v>3335</v>
      </c>
      <c r="H720" s="7" t="s">
        <v>48</v>
      </c>
      <c r="I720" s="6" t="s">
        <v>43</v>
      </c>
      <c r="J720" s="7" t="s">
        <v>3336</v>
      </c>
      <c r="K720" s="6" t="s">
        <v>26</v>
      </c>
      <c r="L720" s="7" t="s">
        <v>3337</v>
      </c>
      <c r="M720" s="7" t="s">
        <v>3338</v>
      </c>
      <c r="N720" s="9">
        <v>24674.0</v>
      </c>
    </row>
    <row r="721" ht="19.5" customHeight="1">
      <c r="A721" s="6" t="s">
        <v>3339</v>
      </c>
      <c r="B721" s="7" t="s">
        <v>6</v>
      </c>
      <c r="C721" s="7" t="s">
        <v>3340</v>
      </c>
      <c r="D721" s="7" t="s">
        <v>6</v>
      </c>
      <c r="E721" s="7" t="s">
        <v>45</v>
      </c>
      <c r="F721" s="6" t="s">
        <v>46</v>
      </c>
      <c r="G721" s="7" t="s">
        <v>3145</v>
      </c>
      <c r="H721" s="7" t="s">
        <v>48</v>
      </c>
      <c r="I721" s="6" t="s">
        <v>84</v>
      </c>
      <c r="J721" s="7" t="s">
        <v>151</v>
      </c>
      <c r="K721" s="6" t="s">
        <v>26</v>
      </c>
      <c r="L721" s="7" t="s">
        <v>3341</v>
      </c>
      <c r="M721" s="7" t="s">
        <v>3342</v>
      </c>
      <c r="N721" s="9">
        <v>26927.0</v>
      </c>
    </row>
    <row r="722" ht="19.5" customHeight="1">
      <c r="A722" s="6" t="s">
        <v>3343</v>
      </c>
      <c r="B722" s="7" t="s">
        <v>6</v>
      </c>
      <c r="C722" s="7" t="s">
        <v>3344</v>
      </c>
      <c r="D722" s="7" t="s">
        <v>6</v>
      </c>
      <c r="E722" s="7" t="s">
        <v>45</v>
      </c>
      <c r="F722" s="6" t="s">
        <v>46</v>
      </c>
      <c r="G722" s="7" t="s">
        <v>3345</v>
      </c>
      <c r="H722" s="7" t="s">
        <v>23</v>
      </c>
      <c r="I722" s="6" t="s">
        <v>53</v>
      </c>
      <c r="J722" s="7" t="s">
        <v>3326</v>
      </c>
      <c r="K722" s="6" t="s">
        <v>26</v>
      </c>
      <c r="L722" s="7" t="s">
        <v>3346</v>
      </c>
      <c r="M722" s="7" t="s">
        <v>3347</v>
      </c>
      <c r="N722" s="9">
        <v>24960.0</v>
      </c>
    </row>
    <row r="723" ht="19.5" customHeight="1">
      <c r="A723" s="6" t="s">
        <v>3348</v>
      </c>
      <c r="B723" s="7" t="s">
        <v>6</v>
      </c>
      <c r="C723" s="7" t="s">
        <v>3349</v>
      </c>
      <c r="D723" s="7" t="s">
        <v>6</v>
      </c>
      <c r="E723" s="7" t="s">
        <v>45</v>
      </c>
      <c r="F723" s="6" t="s">
        <v>46</v>
      </c>
      <c r="G723" s="7" t="s">
        <v>3350</v>
      </c>
      <c r="H723" s="7" t="s">
        <v>23</v>
      </c>
      <c r="I723" s="6" t="s">
        <v>116</v>
      </c>
      <c r="J723" s="7" t="s">
        <v>757</v>
      </c>
      <c r="K723" s="6" t="s">
        <v>81</v>
      </c>
      <c r="L723" s="7" t="s">
        <v>3351</v>
      </c>
      <c r="M723" s="7" t="s">
        <v>3352</v>
      </c>
      <c r="N723" s="9">
        <v>28432.0</v>
      </c>
    </row>
    <row r="724" ht="19.5" customHeight="1">
      <c r="A724" s="6" t="s">
        <v>3353</v>
      </c>
      <c r="B724" s="7" t="s">
        <v>6</v>
      </c>
      <c r="C724" s="7" t="s">
        <v>3354</v>
      </c>
      <c r="D724" s="7" t="s">
        <v>6</v>
      </c>
      <c r="E724" s="7" t="s">
        <v>45</v>
      </c>
      <c r="F724" s="6" t="s">
        <v>46</v>
      </c>
      <c r="G724" s="7" t="s">
        <v>3274</v>
      </c>
      <c r="H724" s="7" t="s">
        <v>23</v>
      </c>
      <c r="I724" s="6" t="s">
        <v>140</v>
      </c>
      <c r="J724" s="7" t="s">
        <v>173</v>
      </c>
      <c r="K724" s="6" t="s">
        <v>26</v>
      </c>
      <c r="L724" s="7" t="s">
        <v>3355</v>
      </c>
      <c r="M724" s="7" t="s">
        <v>3356</v>
      </c>
      <c r="N724" s="9">
        <v>30415.0</v>
      </c>
    </row>
    <row r="725" ht="19.5" customHeight="1">
      <c r="A725" s="6" t="s">
        <v>3357</v>
      </c>
      <c r="B725" s="7" t="s">
        <v>6</v>
      </c>
      <c r="C725" s="7" t="s">
        <v>3358</v>
      </c>
      <c r="D725" s="7" t="s">
        <v>6</v>
      </c>
      <c r="E725" s="7" t="s">
        <v>45</v>
      </c>
      <c r="F725" s="6" t="s">
        <v>46</v>
      </c>
      <c r="G725" s="7" t="s">
        <v>3359</v>
      </c>
      <c r="H725" s="7" t="s">
        <v>48</v>
      </c>
      <c r="I725" s="6" t="s">
        <v>3360</v>
      </c>
      <c r="J725" s="7" t="s">
        <v>3361</v>
      </c>
      <c r="K725" s="6" t="s">
        <v>26</v>
      </c>
      <c r="L725" s="7" t="s">
        <v>3362</v>
      </c>
      <c r="M725" s="7" t="s">
        <v>3363</v>
      </c>
      <c r="N725" s="9">
        <v>24108.0</v>
      </c>
    </row>
    <row r="726" ht="19.5" customHeight="1">
      <c r="A726" s="6" t="s">
        <v>3364</v>
      </c>
      <c r="B726" s="7" t="s">
        <v>6</v>
      </c>
      <c r="C726" s="7" t="s">
        <v>3365</v>
      </c>
      <c r="D726" s="7" t="s">
        <v>6</v>
      </c>
      <c r="E726" s="7" t="s">
        <v>45</v>
      </c>
      <c r="F726" s="6" t="s">
        <v>46</v>
      </c>
      <c r="G726" s="7" t="s">
        <v>3366</v>
      </c>
      <c r="H726" s="7" t="s">
        <v>23</v>
      </c>
      <c r="I726" s="6" t="s">
        <v>59</v>
      </c>
      <c r="J726" s="7" t="s">
        <v>3316</v>
      </c>
      <c r="K726" s="6" t="s">
        <v>81</v>
      </c>
      <c r="L726" s="7" t="s">
        <v>3367</v>
      </c>
      <c r="M726" s="7" t="s">
        <v>3368</v>
      </c>
      <c r="N726" s="9">
        <v>25117.0</v>
      </c>
    </row>
    <row r="727" ht="19.5" customHeight="1">
      <c r="A727" s="6" t="s">
        <v>3369</v>
      </c>
      <c r="B727" s="7" t="s">
        <v>6</v>
      </c>
      <c r="C727" s="7" t="s">
        <v>3370</v>
      </c>
      <c r="D727" s="7" t="s">
        <v>6</v>
      </c>
      <c r="E727" s="7" t="s">
        <v>45</v>
      </c>
      <c r="F727" s="6" t="s">
        <v>46</v>
      </c>
      <c r="G727" s="7" t="s">
        <v>3371</v>
      </c>
      <c r="H727" s="7" t="s">
        <v>23</v>
      </c>
      <c r="I727" s="6" t="s">
        <v>84</v>
      </c>
      <c r="J727" s="7" t="s">
        <v>151</v>
      </c>
      <c r="K727" s="6" t="s">
        <v>26</v>
      </c>
      <c r="L727" s="7" t="s">
        <v>3372</v>
      </c>
      <c r="M727" s="7" t="s">
        <v>3373</v>
      </c>
      <c r="N727" s="9">
        <v>26902.0</v>
      </c>
    </row>
    <row r="728" ht="19.5" customHeight="1">
      <c r="A728" s="6" t="s">
        <v>3374</v>
      </c>
      <c r="B728" s="7" t="s">
        <v>6</v>
      </c>
      <c r="C728" s="7" t="s">
        <v>3375</v>
      </c>
      <c r="D728" s="7" t="s">
        <v>6</v>
      </c>
      <c r="E728" s="7" t="s">
        <v>45</v>
      </c>
      <c r="F728" s="6" t="s">
        <v>46</v>
      </c>
      <c r="G728" s="7" t="s">
        <v>3376</v>
      </c>
      <c r="H728" s="7" t="s">
        <v>23</v>
      </c>
      <c r="I728" s="6" t="s">
        <v>43</v>
      </c>
      <c r="J728" s="7" t="s">
        <v>3336</v>
      </c>
      <c r="K728" s="6" t="s">
        <v>26</v>
      </c>
      <c r="L728" s="7" t="s">
        <v>3377</v>
      </c>
      <c r="M728" s="7" t="s">
        <v>3378</v>
      </c>
      <c r="N728" s="9">
        <v>24503.0</v>
      </c>
    </row>
    <row r="729" ht="19.5" customHeight="1">
      <c r="A729" s="6" t="s">
        <v>3379</v>
      </c>
      <c r="B729" s="7" t="s">
        <v>6</v>
      </c>
      <c r="C729" s="7" t="s">
        <v>3380</v>
      </c>
      <c r="D729" s="7" t="s">
        <v>6</v>
      </c>
      <c r="E729" s="7" t="s">
        <v>45</v>
      </c>
      <c r="F729" s="6" t="s">
        <v>46</v>
      </c>
      <c r="G729" s="7" t="s">
        <v>2922</v>
      </c>
      <c r="H729" s="7" t="s">
        <v>23</v>
      </c>
      <c r="I729" s="6" t="s">
        <v>87</v>
      </c>
      <c r="J729" s="7" t="s">
        <v>88</v>
      </c>
      <c r="K729" s="6" t="s">
        <v>26</v>
      </c>
      <c r="L729" s="7" t="s">
        <v>3381</v>
      </c>
      <c r="M729" s="7" t="s">
        <v>3382</v>
      </c>
      <c r="N729" s="9">
        <v>27199.0</v>
      </c>
    </row>
    <row r="730" ht="19.5" customHeight="1">
      <c r="A730" s="6" t="s">
        <v>3383</v>
      </c>
      <c r="B730" s="7" t="s">
        <v>6</v>
      </c>
      <c r="C730" s="7" t="s">
        <v>3384</v>
      </c>
      <c r="D730" s="7" t="s">
        <v>6</v>
      </c>
      <c r="E730" s="7" t="s">
        <v>45</v>
      </c>
      <c r="F730" s="6" t="s">
        <v>46</v>
      </c>
      <c r="G730" s="7" t="s">
        <v>3385</v>
      </c>
      <c r="H730" s="7" t="s">
        <v>23</v>
      </c>
      <c r="I730" s="6" t="s">
        <v>65</v>
      </c>
      <c r="J730" s="7" t="s">
        <v>2132</v>
      </c>
      <c r="K730" s="6" t="s">
        <v>26</v>
      </c>
      <c r="L730" s="7" t="s">
        <v>3386</v>
      </c>
      <c r="M730" s="7" t="s">
        <v>3387</v>
      </c>
      <c r="N730" s="9">
        <v>25627.0</v>
      </c>
    </row>
    <row r="731" ht="19.5" customHeight="1">
      <c r="A731" s="6" t="s">
        <v>3388</v>
      </c>
      <c r="B731" s="7" t="s">
        <v>6</v>
      </c>
      <c r="C731" s="7" t="s">
        <v>3389</v>
      </c>
      <c r="D731" s="7" t="s">
        <v>6</v>
      </c>
      <c r="E731" s="7" t="s">
        <v>45</v>
      </c>
      <c r="F731" s="6" t="s">
        <v>46</v>
      </c>
      <c r="G731" s="7" t="s">
        <v>726</v>
      </c>
      <c r="H731" s="7" t="s">
        <v>23</v>
      </c>
      <c r="I731" s="6" t="s">
        <v>59</v>
      </c>
      <c r="J731" s="7" t="s">
        <v>3316</v>
      </c>
      <c r="K731" s="6" t="s">
        <v>26</v>
      </c>
      <c r="L731" s="7" t="s">
        <v>3390</v>
      </c>
      <c r="M731" s="7" t="s">
        <v>3391</v>
      </c>
      <c r="N731" s="9">
        <v>25420.0</v>
      </c>
    </row>
    <row r="732" ht="19.5" customHeight="1">
      <c r="A732" s="6" t="s">
        <v>3392</v>
      </c>
      <c r="B732" s="7" t="s">
        <v>6</v>
      </c>
      <c r="C732" s="7" t="s">
        <v>3393</v>
      </c>
      <c r="D732" s="7" t="s">
        <v>6</v>
      </c>
      <c r="E732" s="7" t="s">
        <v>45</v>
      </c>
      <c r="F732" s="6" t="s">
        <v>46</v>
      </c>
      <c r="G732" s="7" t="s">
        <v>3385</v>
      </c>
      <c r="H732" s="7" t="s">
        <v>23</v>
      </c>
      <c r="I732" s="6" t="s">
        <v>109</v>
      </c>
      <c r="J732" s="7" t="s">
        <v>1680</v>
      </c>
      <c r="K732" s="6" t="s">
        <v>26</v>
      </c>
      <c r="L732" s="7" t="s">
        <v>3394</v>
      </c>
      <c r="M732" s="7" t="s">
        <v>3395</v>
      </c>
      <c r="N732" s="9">
        <v>28199.0</v>
      </c>
    </row>
    <row r="733" ht="19.5" customHeight="1">
      <c r="A733" s="6" t="s">
        <v>3396</v>
      </c>
      <c r="B733" s="7" t="s">
        <v>6</v>
      </c>
      <c r="C733" s="7" t="s">
        <v>3397</v>
      </c>
      <c r="D733" s="7" t="s">
        <v>6</v>
      </c>
      <c r="E733" s="7" t="s">
        <v>45</v>
      </c>
      <c r="F733" s="6" t="s">
        <v>46</v>
      </c>
      <c r="G733" s="7" t="s">
        <v>3398</v>
      </c>
      <c r="H733" s="7" t="s">
        <v>23</v>
      </c>
      <c r="I733" s="6" t="s">
        <v>43</v>
      </c>
      <c r="J733" s="7" t="s">
        <v>3336</v>
      </c>
      <c r="K733" s="6" t="s">
        <v>81</v>
      </c>
      <c r="L733" s="7" t="s">
        <v>3399</v>
      </c>
      <c r="M733" s="7" t="s">
        <v>3400</v>
      </c>
      <c r="N733" s="9">
        <v>24453.0</v>
      </c>
    </row>
    <row r="734" ht="19.5" customHeight="1">
      <c r="A734" s="6" t="s">
        <v>3401</v>
      </c>
      <c r="B734" s="7" t="s">
        <v>6</v>
      </c>
      <c r="C734" s="7" t="s">
        <v>3402</v>
      </c>
      <c r="D734" s="7" t="s">
        <v>6</v>
      </c>
      <c r="E734" s="7" t="s">
        <v>45</v>
      </c>
      <c r="F734" s="6" t="s">
        <v>46</v>
      </c>
      <c r="G734" s="7" t="s">
        <v>3132</v>
      </c>
      <c r="H734" s="7" t="s">
        <v>48</v>
      </c>
      <c r="I734" s="6" t="s">
        <v>39</v>
      </c>
      <c r="J734" s="7" t="s">
        <v>40</v>
      </c>
      <c r="K734" s="6" t="s">
        <v>26</v>
      </c>
      <c r="L734" s="7" t="s">
        <v>3403</v>
      </c>
      <c r="M734" s="7" t="s">
        <v>3404</v>
      </c>
      <c r="N734" s="9">
        <v>30043.0</v>
      </c>
    </row>
    <row r="735" ht="19.5" customHeight="1">
      <c r="A735" s="6" t="s">
        <v>3405</v>
      </c>
      <c r="B735" s="7" t="s">
        <v>6</v>
      </c>
      <c r="C735" s="7" t="s">
        <v>3406</v>
      </c>
      <c r="D735" s="7" t="s">
        <v>6</v>
      </c>
      <c r="E735" s="7" t="s">
        <v>45</v>
      </c>
      <c r="F735" s="6" t="s">
        <v>46</v>
      </c>
      <c r="G735" s="7" t="s">
        <v>3407</v>
      </c>
      <c r="H735" s="7" t="s">
        <v>48</v>
      </c>
      <c r="I735" s="6" t="s">
        <v>39</v>
      </c>
      <c r="J735" s="7" t="s">
        <v>40</v>
      </c>
      <c r="K735" s="6" t="s">
        <v>26</v>
      </c>
      <c r="L735" s="7" t="s">
        <v>3408</v>
      </c>
      <c r="M735" s="7" t="s">
        <v>3409</v>
      </c>
      <c r="N735" s="9">
        <v>29953.0</v>
      </c>
    </row>
    <row r="736" ht="19.5" customHeight="1">
      <c r="A736" s="6" t="s">
        <v>3410</v>
      </c>
      <c r="B736" s="7" t="s">
        <v>6</v>
      </c>
      <c r="C736" s="7" t="s">
        <v>3411</v>
      </c>
      <c r="D736" s="7" t="s">
        <v>6</v>
      </c>
      <c r="E736" s="7" t="s">
        <v>45</v>
      </c>
      <c r="F736" s="6" t="s">
        <v>46</v>
      </c>
      <c r="G736" s="7" t="s">
        <v>3145</v>
      </c>
      <c r="H736" s="7" t="s">
        <v>48</v>
      </c>
      <c r="I736" s="6" t="s">
        <v>109</v>
      </c>
      <c r="J736" s="7" t="s">
        <v>1680</v>
      </c>
      <c r="K736" s="6" t="s">
        <v>81</v>
      </c>
      <c r="L736" s="7" t="s">
        <v>3412</v>
      </c>
      <c r="M736" s="7" t="s">
        <v>3413</v>
      </c>
      <c r="N736" s="9">
        <v>28040.0</v>
      </c>
    </row>
    <row r="737" ht="19.5" customHeight="1">
      <c r="A737" s="6" t="s">
        <v>3414</v>
      </c>
      <c r="B737" s="7" t="s">
        <v>6</v>
      </c>
      <c r="C737" s="7" t="s">
        <v>3415</v>
      </c>
      <c r="D737" s="7" t="s">
        <v>6</v>
      </c>
      <c r="E737" s="7" t="s">
        <v>45</v>
      </c>
      <c r="F737" s="6" t="s">
        <v>46</v>
      </c>
      <c r="G737" s="7" t="s">
        <v>2908</v>
      </c>
      <c r="H737" s="7" t="s">
        <v>48</v>
      </c>
      <c r="I737" s="6" t="s">
        <v>121</v>
      </c>
      <c r="J737" s="7" t="s">
        <v>471</v>
      </c>
      <c r="K737" s="6" t="s">
        <v>26</v>
      </c>
      <c r="L737" s="7" t="s">
        <v>3416</v>
      </c>
      <c r="M737" s="7" t="s">
        <v>3417</v>
      </c>
      <c r="N737" s="9">
        <v>28895.0</v>
      </c>
    </row>
    <row r="738" ht="19.5" customHeight="1">
      <c r="A738" s="6" t="s">
        <v>3418</v>
      </c>
      <c r="B738" s="7" t="s">
        <v>6</v>
      </c>
      <c r="C738" s="7" t="s">
        <v>3419</v>
      </c>
      <c r="D738" s="7" t="s">
        <v>6</v>
      </c>
      <c r="E738" s="7" t="s">
        <v>45</v>
      </c>
      <c r="F738" s="6" t="s">
        <v>46</v>
      </c>
      <c r="G738" s="7" t="s">
        <v>488</v>
      </c>
      <c r="H738" s="7" t="s">
        <v>23</v>
      </c>
      <c r="I738" s="6" t="s">
        <v>87</v>
      </c>
      <c r="J738" s="7" t="s">
        <v>88</v>
      </c>
      <c r="K738" s="6" t="s">
        <v>26</v>
      </c>
      <c r="L738" s="7" t="s">
        <v>3420</v>
      </c>
      <c r="M738" s="7" t="s">
        <v>3421</v>
      </c>
      <c r="N738" s="9">
        <v>27170.0</v>
      </c>
    </row>
    <row r="739" ht="19.5" customHeight="1">
      <c r="A739" s="6" t="s">
        <v>3422</v>
      </c>
      <c r="B739" s="7" t="s">
        <v>6</v>
      </c>
      <c r="C739" s="7" t="s">
        <v>3423</v>
      </c>
      <c r="D739" s="7" t="s">
        <v>6</v>
      </c>
      <c r="E739" s="7" t="s">
        <v>45</v>
      </c>
      <c r="F739" s="6" t="s">
        <v>46</v>
      </c>
      <c r="G739" s="7" t="s">
        <v>3424</v>
      </c>
      <c r="H739" s="7" t="s">
        <v>23</v>
      </c>
      <c r="I739" s="6" t="s">
        <v>3360</v>
      </c>
      <c r="J739" s="7" t="s">
        <v>3361</v>
      </c>
      <c r="K739" s="6" t="s">
        <v>81</v>
      </c>
      <c r="L739" s="7" t="s">
        <v>3425</v>
      </c>
      <c r="M739" s="7" t="s">
        <v>3426</v>
      </c>
      <c r="N739" s="9">
        <v>24090.0</v>
      </c>
    </row>
    <row r="740" ht="19.5" customHeight="1">
      <c r="A740" s="6" t="s">
        <v>3427</v>
      </c>
      <c r="B740" s="7" t="s">
        <v>6</v>
      </c>
      <c r="C740" s="7" t="s">
        <v>3428</v>
      </c>
      <c r="D740" s="7" t="s">
        <v>6</v>
      </c>
      <c r="E740" s="7" t="s">
        <v>45</v>
      </c>
      <c r="F740" s="6" t="s">
        <v>46</v>
      </c>
      <c r="G740" s="7" t="s">
        <v>1814</v>
      </c>
      <c r="H740" s="7" t="s">
        <v>23</v>
      </c>
      <c r="I740" s="6" t="s">
        <v>1255</v>
      </c>
      <c r="J740" s="7" t="s">
        <v>1256</v>
      </c>
      <c r="K740" s="6" t="s">
        <v>81</v>
      </c>
      <c r="L740" s="7" t="s">
        <v>3429</v>
      </c>
      <c r="M740" s="7" t="s">
        <v>3430</v>
      </c>
      <c r="N740" s="9">
        <v>32126.0</v>
      </c>
    </row>
    <row r="741" ht="19.5" customHeight="1">
      <c r="A741" s="6" t="s">
        <v>3431</v>
      </c>
      <c r="B741" s="7" t="s">
        <v>6</v>
      </c>
      <c r="C741" s="7" t="s">
        <v>3432</v>
      </c>
      <c r="D741" s="7" t="s">
        <v>6</v>
      </c>
      <c r="E741" s="7" t="s">
        <v>45</v>
      </c>
      <c r="F741" s="6" t="s">
        <v>46</v>
      </c>
      <c r="G741" s="7" t="s">
        <v>2480</v>
      </c>
      <c r="H741" s="7" t="s">
        <v>23</v>
      </c>
      <c r="I741" s="6" t="s">
        <v>159</v>
      </c>
      <c r="J741" s="7" t="s">
        <v>1027</v>
      </c>
      <c r="K741" s="6" t="s">
        <v>81</v>
      </c>
      <c r="L741" s="7" t="s">
        <v>3433</v>
      </c>
      <c r="M741" s="7" t="s">
        <v>3434</v>
      </c>
      <c r="N741" s="9">
        <v>31687.0</v>
      </c>
    </row>
    <row r="742" ht="19.5" customHeight="1">
      <c r="A742" s="6" t="s">
        <v>3435</v>
      </c>
      <c r="B742" s="7" t="s">
        <v>6</v>
      </c>
      <c r="C742" s="7" t="s">
        <v>3436</v>
      </c>
      <c r="D742" s="7" t="s">
        <v>6</v>
      </c>
      <c r="E742" s="7" t="s">
        <v>45</v>
      </c>
      <c r="F742" s="6" t="s">
        <v>46</v>
      </c>
      <c r="G742" s="7" t="s">
        <v>3155</v>
      </c>
      <c r="H742" s="7" t="s">
        <v>23</v>
      </c>
      <c r="I742" s="6" t="s">
        <v>154</v>
      </c>
      <c r="J742" s="7" t="s">
        <v>434</v>
      </c>
      <c r="K742" s="6" t="s">
        <v>81</v>
      </c>
      <c r="L742" s="7" t="s">
        <v>3437</v>
      </c>
      <c r="M742" s="7" t="s">
        <v>3438</v>
      </c>
      <c r="N742" s="9">
        <v>31412.0</v>
      </c>
    </row>
    <row r="743" ht="19.5" customHeight="1">
      <c r="A743" s="6" t="s">
        <v>3439</v>
      </c>
      <c r="B743" s="7" t="s">
        <v>6</v>
      </c>
      <c r="C743" s="7" t="s">
        <v>3440</v>
      </c>
      <c r="D743" s="7" t="s">
        <v>6</v>
      </c>
      <c r="E743" s="7" t="s">
        <v>45</v>
      </c>
      <c r="F743" s="6" t="s">
        <v>46</v>
      </c>
      <c r="G743" s="7" t="s">
        <v>1311</v>
      </c>
      <c r="H743" s="7" t="s">
        <v>23</v>
      </c>
      <c r="I743" s="6" t="s">
        <v>154</v>
      </c>
      <c r="J743" s="7" t="s">
        <v>434</v>
      </c>
      <c r="K743" s="6" t="s">
        <v>26</v>
      </c>
      <c r="L743" s="7" t="s">
        <v>3441</v>
      </c>
      <c r="M743" s="7" t="s">
        <v>3442</v>
      </c>
      <c r="N743" s="9">
        <v>31597.0</v>
      </c>
    </row>
    <row r="744" ht="19.5" customHeight="1">
      <c r="A744" s="6" t="s">
        <v>3443</v>
      </c>
      <c r="B744" s="7" t="s">
        <v>6</v>
      </c>
      <c r="C744" s="7" t="s">
        <v>3444</v>
      </c>
      <c r="D744" s="7" t="s">
        <v>6</v>
      </c>
      <c r="E744" s="7" t="s">
        <v>45</v>
      </c>
      <c r="F744" s="6" t="s">
        <v>46</v>
      </c>
      <c r="G744" s="7" t="s">
        <v>3445</v>
      </c>
      <c r="H744" s="7" t="s">
        <v>23</v>
      </c>
      <c r="I744" s="6" t="s">
        <v>148</v>
      </c>
      <c r="J744" s="7" t="s">
        <v>182</v>
      </c>
      <c r="K744" s="6" t="s">
        <v>26</v>
      </c>
      <c r="L744" s="7" t="s">
        <v>3446</v>
      </c>
      <c r="M744" s="7" t="s">
        <v>3447</v>
      </c>
      <c r="N744" s="9">
        <v>31067.0</v>
      </c>
    </row>
    <row r="745" ht="19.5" customHeight="1">
      <c r="A745" s="6" t="s">
        <v>3448</v>
      </c>
      <c r="B745" s="7" t="s">
        <v>6</v>
      </c>
      <c r="C745" s="7" t="s">
        <v>3449</v>
      </c>
      <c r="D745" s="7" t="s">
        <v>6</v>
      </c>
      <c r="E745" s="7" t="s">
        <v>45</v>
      </c>
      <c r="F745" s="6" t="s">
        <v>46</v>
      </c>
      <c r="G745" s="7" t="s">
        <v>2955</v>
      </c>
      <c r="H745" s="7" t="s">
        <v>23</v>
      </c>
      <c r="I745" s="6" t="s">
        <v>140</v>
      </c>
      <c r="J745" s="7" t="s">
        <v>173</v>
      </c>
      <c r="K745" s="6" t="s">
        <v>26</v>
      </c>
      <c r="L745" s="7" t="s">
        <v>3450</v>
      </c>
      <c r="M745" s="7" t="s">
        <v>3451</v>
      </c>
      <c r="N745" s="9">
        <v>30473.0</v>
      </c>
    </row>
    <row r="746" ht="19.5" customHeight="1">
      <c r="A746" s="6" t="s">
        <v>3452</v>
      </c>
      <c r="B746" s="7" t="s">
        <v>6</v>
      </c>
      <c r="C746" s="7" t="s">
        <v>3453</v>
      </c>
      <c r="D746" s="7" t="s">
        <v>6</v>
      </c>
      <c r="E746" s="7" t="s">
        <v>45</v>
      </c>
      <c r="F746" s="6" t="s">
        <v>46</v>
      </c>
      <c r="G746" s="7" t="s">
        <v>3251</v>
      </c>
      <c r="H746" s="7" t="s">
        <v>23</v>
      </c>
      <c r="I746" s="6" t="s">
        <v>140</v>
      </c>
      <c r="J746" s="7" t="s">
        <v>173</v>
      </c>
      <c r="K746" s="6" t="s">
        <v>26</v>
      </c>
      <c r="L746" s="7" t="s">
        <v>3454</v>
      </c>
      <c r="M746" s="7" t="s">
        <v>3455</v>
      </c>
      <c r="N746" s="9">
        <v>30343.0</v>
      </c>
    </row>
    <row r="747" ht="19.5" customHeight="1">
      <c r="A747" s="6" t="s">
        <v>3456</v>
      </c>
      <c r="B747" s="7" t="s">
        <v>6</v>
      </c>
      <c r="C747" s="7" t="s">
        <v>3457</v>
      </c>
      <c r="D747" s="7" t="s">
        <v>6</v>
      </c>
      <c r="E747" s="7" t="s">
        <v>45</v>
      </c>
      <c r="F747" s="6" t="s">
        <v>46</v>
      </c>
      <c r="G747" s="7" t="s">
        <v>488</v>
      </c>
      <c r="H747" s="7" t="s">
        <v>23</v>
      </c>
      <c r="I747" s="6" t="s">
        <v>121</v>
      </c>
      <c r="J747" s="7" t="s">
        <v>471</v>
      </c>
      <c r="K747" s="6" t="s">
        <v>26</v>
      </c>
      <c r="L747" s="7" t="s">
        <v>3458</v>
      </c>
      <c r="M747" s="7" t="s">
        <v>3459</v>
      </c>
      <c r="N747" s="9">
        <v>29027.0</v>
      </c>
    </row>
    <row r="748" ht="19.5" customHeight="1">
      <c r="A748" s="6" t="s">
        <v>3460</v>
      </c>
      <c r="B748" s="7" t="s">
        <v>6</v>
      </c>
      <c r="C748" s="7" t="s">
        <v>3461</v>
      </c>
      <c r="D748" s="7" t="s">
        <v>6</v>
      </c>
      <c r="E748" s="7" t="s">
        <v>45</v>
      </c>
      <c r="F748" s="6" t="s">
        <v>46</v>
      </c>
      <c r="G748" s="7" t="s">
        <v>43</v>
      </c>
      <c r="H748" s="7" t="s">
        <v>48</v>
      </c>
      <c r="I748" s="6" t="s">
        <v>112</v>
      </c>
      <c r="J748" s="7" t="s">
        <v>113</v>
      </c>
      <c r="K748" s="6" t="s">
        <v>26</v>
      </c>
      <c r="L748" s="7" t="s">
        <v>3463</v>
      </c>
      <c r="M748" s="7" t="s">
        <v>3464</v>
      </c>
      <c r="N748" s="9">
        <v>32710.0</v>
      </c>
    </row>
    <row r="749" ht="19.5" customHeight="1">
      <c r="A749" s="6" t="s">
        <v>3465</v>
      </c>
      <c r="B749" s="7" t="s">
        <v>6</v>
      </c>
      <c r="C749" s="7" t="s">
        <v>3466</v>
      </c>
      <c r="D749" s="7" t="s">
        <v>6</v>
      </c>
      <c r="E749" s="7" t="s">
        <v>45</v>
      </c>
      <c r="F749" s="6" t="s">
        <v>46</v>
      </c>
      <c r="G749" s="7" t="s">
        <v>3467</v>
      </c>
      <c r="H749" s="7" t="s">
        <v>48</v>
      </c>
      <c r="I749" s="6" t="s">
        <v>32</v>
      </c>
      <c r="J749" s="7" t="s">
        <v>33</v>
      </c>
      <c r="K749" s="6" t="s">
        <v>26</v>
      </c>
      <c r="L749" s="7" t="s">
        <v>3468</v>
      </c>
      <c r="M749" s="7" t="s">
        <v>3469</v>
      </c>
      <c r="N749" s="9">
        <v>27972.0</v>
      </c>
    </row>
    <row r="750" ht="19.5" customHeight="1">
      <c r="A750" s="6" t="s">
        <v>3470</v>
      </c>
      <c r="B750" s="7" t="s">
        <v>6</v>
      </c>
      <c r="C750" s="7" t="s">
        <v>3471</v>
      </c>
      <c r="D750" s="7" t="s">
        <v>6</v>
      </c>
      <c r="E750" s="7" t="s">
        <v>45</v>
      </c>
      <c r="F750" s="6" t="s">
        <v>46</v>
      </c>
      <c r="G750" s="7" t="s">
        <v>336</v>
      </c>
      <c r="H750" s="7" t="s">
        <v>23</v>
      </c>
      <c r="I750" s="6" t="s">
        <v>154</v>
      </c>
      <c r="J750" s="7" t="s">
        <v>434</v>
      </c>
      <c r="K750" s="6" t="s">
        <v>26</v>
      </c>
      <c r="L750" s="7" t="s">
        <v>3472</v>
      </c>
      <c r="M750" s="7" t="s">
        <v>3473</v>
      </c>
      <c r="N750" s="9">
        <v>31558.0</v>
      </c>
    </row>
    <row r="751" ht="19.5" customHeight="1">
      <c r="A751" s="6" t="s">
        <v>3474</v>
      </c>
      <c r="B751" s="7" t="s">
        <v>6</v>
      </c>
      <c r="C751" s="7" t="s">
        <v>3475</v>
      </c>
      <c r="D751" s="7" t="s">
        <v>6</v>
      </c>
      <c r="E751" s="7" t="s">
        <v>45</v>
      </c>
      <c r="F751" s="6" t="s">
        <v>46</v>
      </c>
      <c r="G751" s="7" t="s">
        <v>243</v>
      </c>
      <c r="H751" s="7" t="s">
        <v>23</v>
      </c>
      <c r="I751" s="6" t="s">
        <v>112</v>
      </c>
      <c r="J751" s="7" t="s">
        <v>113</v>
      </c>
      <c r="K751" s="6" t="s">
        <v>81</v>
      </c>
      <c r="L751" s="7" t="s">
        <v>3476</v>
      </c>
      <c r="M751" s="7" t="s">
        <v>3477</v>
      </c>
      <c r="N751" s="9">
        <v>32421.0</v>
      </c>
    </row>
    <row r="752" ht="19.5" customHeight="1">
      <c r="A752" s="6" t="s">
        <v>3478</v>
      </c>
      <c r="B752" s="7" t="s">
        <v>6</v>
      </c>
      <c r="C752" s="7" t="s">
        <v>3479</v>
      </c>
      <c r="D752" s="7" t="s">
        <v>6</v>
      </c>
      <c r="E752" s="7" t="s">
        <v>45</v>
      </c>
      <c r="F752" s="6" t="s">
        <v>46</v>
      </c>
      <c r="G752" s="7" t="s">
        <v>3481</v>
      </c>
      <c r="H752" s="7" t="s">
        <v>23</v>
      </c>
      <c r="I752" s="6" t="s">
        <v>96</v>
      </c>
      <c r="J752" s="7" t="s">
        <v>3252</v>
      </c>
      <c r="K752" s="6" t="s">
        <v>26</v>
      </c>
      <c r="L752" s="7" t="s">
        <v>3482</v>
      </c>
      <c r="M752" s="7" t="s">
        <v>3483</v>
      </c>
      <c r="N752" s="9">
        <v>27436.0</v>
      </c>
    </row>
    <row r="753" ht="19.5" customHeight="1">
      <c r="A753" s="6" t="s">
        <v>3484</v>
      </c>
      <c r="B753" s="7" t="s">
        <v>6</v>
      </c>
      <c r="C753" s="7" t="s">
        <v>3485</v>
      </c>
      <c r="D753" s="7" t="s">
        <v>6</v>
      </c>
      <c r="E753" s="7" t="s">
        <v>45</v>
      </c>
      <c r="F753" s="6" t="s">
        <v>46</v>
      </c>
      <c r="G753" s="7" t="s">
        <v>658</v>
      </c>
      <c r="H753" s="7" t="s">
        <v>48</v>
      </c>
      <c r="I753" s="6" t="s">
        <v>1255</v>
      </c>
      <c r="J753" s="7" t="s">
        <v>1256</v>
      </c>
      <c r="K753" s="6" t="s">
        <v>81</v>
      </c>
      <c r="L753" s="7" t="s">
        <v>3486</v>
      </c>
      <c r="M753" s="7" t="s">
        <v>3487</v>
      </c>
      <c r="N753" s="9">
        <v>32137.0</v>
      </c>
    </row>
    <row r="754" ht="19.5" customHeight="1">
      <c r="A754" s="6" t="s">
        <v>3488</v>
      </c>
      <c r="B754" s="7" t="s">
        <v>6</v>
      </c>
      <c r="C754" s="7" t="s">
        <v>3489</v>
      </c>
      <c r="D754" s="7" t="s">
        <v>6</v>
      </c>
      <c r="E754" s="7" t="s">
        <v>45</v>
      </c>
      <c r="F754" s="6" t="s">
        <v>46</v>
      </c>
      <c r="G754" s="7" t="s">
        <v>3490</v>
      </c>
      <c r="H754" s="7" t="s">
        <v>23</v>
      </c>
      <c r="I754" s="6" t="s">
        <v>159</v>
      </c>
      <c r="J754" s="7" t="s">
        <v>1027</v>
      </c>
      <c r="K754" s="6" t="s">
        <v>26</v>
      </c>
      <c r="L754" s="7" t="s">
        <v>3491</v>
      </c>
      <c r="M754" s="7" t="s">
        <v>3492</v>
      </c>
      <c r="N754" s="9">
        <v>31888.0</v>
      </c>
    </row>
    <row r="755" ht="19.5" customHeight="1">
      <c r="A755" s="6" t="s">
        <v>3493</v>
      </c>
      <c r="B755" s="7" t="s">
        <v>6</v>
      </c>
      <c r="C755" s="7" t="s">
        <v>3494</v>
      </c>
      <c r="D755" s="7" t="s">
        <v>6</v>
      </c>
      <c r="E755" s="7" t="s">
        <v>45</v>
      </c>
      <c r="F755" s="6" t="s">
        <v>46</v>
      </c>
      <c r="G755" s="7" t="s">
        <v>1693</v>
      </c>
      <c r="H755" s="7" t="s">
        <v>23</v>
      </c>
      <c r="I755" s="6" t="s">
        <v>32</v>
      </c>
      <c r="J755" s="7" t="s">
        <v>33</v>
      </c>
      <c r="K755" s="6" t="s">
        <v>26</v>
      </c>
      <c r="L755" s="7" t="s">
        <v>3495</v>
      </c>
      <c r="M755" s="7" t="s">
        <v>3496</v>
      </c>
      <c r="N755" s="9">
        <v>27973.0</v>
      </c>
    </row>
    <row r="756" ht="19.5" customHeight="1">
      <c r="A756" s="6" t="s">
        <v>3497</v>
      </c>
      <c r="B756" s="7" t="s">
        <v>6</v>
      </c>
      <c r="C756" s="7" t="s">
        <v>3498</v>
      </c>
      <c r="D756" s="7" t="s">
        <v>6</v>
      </c>
      <c r="E756" s="7" t="s">
        <v>45</v>
      </c>
      <c r="F756" s="6" t="s">
        <v>46</v>
      </c>
      <c r="G756" s="7" t="s">
        <v>3499</v>
      </c>
      <c r="H756" s="7" t="s">
        <v>23</v>
      </c>
      <c r="I756" s="6" t="s">
        <v>124</v>
      </c>
      <c r="J756" s="7" t="s">
        <v>125</v>
      </c>
      <c r="K756" s="6" t="s">
        <v>26</v>
      </c>
      <c r="L756" s="7" t="s">
        <v>3500</v>
      </c>
      <c r="M756" s="7" t="s">
        <v>3501</v>
      </c>
      <c r="N756" s="9">
        <v>32979.0</v>
      </c>
    </row>
    <row r="757" ht="19.5" customHeight="1">
      <c r="A757" s="6" t="s">
        <v>3502</v>
      </c>
      <c r="B757" s="7" t="s">
        <v>6</v>
      </c>
      <c r="C757" s="7" t="s">
        <v>3503</v>
      </c>
      <c r="D757" s="7" t="s">
        <v>6</v>
      </c>
      <c r="E757" s="7" t="s">
        <v>45</v>
      </c>
      <c r="F757" s="6" t="s">
        <v>46</v>
      </c>
      <c r="G757" s="7" t="s">
        <v>3504</v>
      </c>
      <c r="H757" s="7" t="s">
        <v>48</v>
      </c>
      <c r="I757" s="6" t="s">
        <v>128</v>
      </c>
      <c r="J757" s="7" t="s">
        <v>1978</v>
      </c>
      <c r="K757" s="6" t="s">
        <v>26</v>
      </c>
      <c r="L757" s="7" t="s">
        <v>3505</v>
      </c>
      <c r="M757" s="7" t="s">
        <v>3506</v>
      </c>
      <c r="N757" s="9">
        <v>29259.0</v>
      </c>
    </row>
    <row r="758" ht="19.5" customHeight="1">
      <c r="A758" s="6" t="s">
        <v>3507</v>
      </c>
      <c r="B758" s="7" t="s">
        <v>6</v>
      </c>
      <c r="C758" s="7" t="s">
        <v>3508</v>
      </c>
      <c r="D758" s="7" t="s">
        <v>6</v>
      </c>
      <c r="E758" s="7" t="s">
        <v>45</v>
      </c>
      <c r="F758" s="6" t="s">
        <v>46</v>
      </c>
      <c r="G758" s="7" t="s">
        <v>2715</v>
      </c>
      <c r="H758" s="7" t="s">
        <v>48</v>
      </c>
      <c r="I758" s="6" t="s">
        <v>128</v>
      </c>
      <c r="J758" s="7" t="s">
        <v>1978</v>
      </c>
      <c r="K758" s="6" t="s">
        <v>26</v>
      </c>
      <c r="L758" s="7" t="s">
        <v>3509</v>
      </c>
      <c r="M758" s="7" t="s">
        <v>3510</v>
      </c>
      <c r="N758" s="9">
        <v>29225.0</v>
      </c>
    </row>
    <row r="759" ht="19.5" customHeight="1">
      <c r="A759" s="6" t="s">
        <v>3511</v>
      </c>
      <c r="B759" s="7" t="s">
        <v>6</v>
      </c>
      <c r="C759" s="7" t="s">
        <v>3512</v>
      </c>
      <c r="D759" s="7" t="s">
        <v>6</v>
      </c>
      <c r="E759" s="7" t="s">
        <v>45</v>
      </c>
      <c r="F759" s="6" t="s">
        <v>46</v>
      </c>
      <c r="G759" s="7" t="s">
        <v>3513</v>
      </c>
      <c r="H759" s="7" t="s">
        <v>23</v>
      </c>
      <c r="I759" s="6" t="s">
        <v>116</v>
      </c>
      <c r="J759" s="7" t="s">
        <v>757</v>
      </c>
      <c r="K759" s="6" t="s">
        <v>81</v>
      </c>
      <c r="L759" s="7" t="s">
        <v>3514</v>
      </c>
      <c r="M759" s="7" t="s">
        <v>3515</v>
      </c>
      <c r="N759" s="9">
        <v>28452.0</v>
      </c>
    </row>
    <row r="760" ht="19.5" customHeight="1">
      <c r="A760" s="6" t="s">
        <v>3516</v>
      </c>
      <c r="B760" s="7" t="s">
        <v>6</v>
      </c>
      <c r="C760" s="7" t="s">
        <v>3517</v>
      </c>
      <c r="D760" s="7" t="s">
        <v>6</v>
      </c>
      <c r="E760" s="7" t="s">
        <v>45</v>
      </c>
      <c r="F760" s="6" t="s">
        <v>46</v>
      </c>
      <c r="G760" s="7" t="s">
        <v>3518</v>
      </c>
      <c r="H760" s="7" t="s">
        <v>48</v>
      </c>
      <c r="I760" s="6" t="s">
        <v>116</v>
      </c>
      <c r="J760" s="7" t="s">
        <v>757</v>
      </c>
      <c r="K760" s="6" t="s">
        <v>26</v>
      </c>
      <c r="L760" s="7" t="s">
        <v>3519</v>
      </c>
      <c r="M760" s="7" t="s">
        <v>3520</v>
      </c>
      <c r="N760" s="9">
        <v>28542.0</v>
      </c>
    </row>
    <row r="761" ht="19.5" customHeight="1">
      <c r="A761" s="6" t="s">
        <v>3521</v>
      </c>
      <c r="B761" s="7" t="s">
        <v>6</v>
      </c>
      <c r="C761" s="7" t="s">
        <v>3522</v>
      </c>
      <c r="D761" s="7" t="s">
        <v>6</v>
      </c>
      <c r="E761" s="7" t="s">
        <v>45</v>
      </c>
      <c r="F761" s="6" t="s">
        <v>46</v>
      </c>
      <c r="G761" s="7" t="s">
        <v>2061</v>
      </c>
      <c r="H761" s="7" t="s">
        <v>48</v>
      </c>
      <c r="I761" s="6" t="s">
        <v>121</v>
      </c>
      <c r="J761" s="7" t="s">
        <v>471</v>
      </c>
      <c r="K761" s="6" t="s">
        <v>26</v>
      </c>
      <c r="L761" s="7" t="s">
        <v>3523</v>
      </c>
      <c r="M761" s="7" t="s">
        <v>3524</v>
      </c>
      <c r="N761" s="9">
        <v>29068.0</v>
      </c>
    </row>
    <row r="762" ht="19.5" customHeight="1">
      <c r="A762" s="6" t="s">
        <v>3525</v>
      </c>
      <c r="B762" s="7" t="s">
        <v>6</v>
      </c>
      <c r="C762" s="7" t="s">
        <v>3526</v>
      </c>
      <c r="D762" s="7" t="s">
        <v>6</v>
      </c>
      <c r="E762" s="7" t="s">
        <v>45</v>
      </c>
      <c r="F762" s="6" t="s">
        <v>46</v>
      </c>
      <c r="G762" s="7" t="s">
        <v>3202</v>
      </c>
      <c r="H762" s="7" t="s">
        <v>48</v>
      </c>
      <c r="I762" s="6" t="s">
        <v>96</v>
      </c>
      <c r="J762" s="7" t="s">
        <v>3252</v>
      </c>
      <c r="K762" s="6" t="s">
        <v>26</v>
      </c>
      <c r="L762" s="7" t="s">
        <v>3527</v>
      </c>
      <c r="M762" s="7" t="s">
        <v>3528</v>
      </c>
      <c r="N762" s="9">
        <v>27502.0</v>
      </c>
    </row>
    <row r="763" ht="19.5" customHeight="1">
      <c r="A763" s="6" t="s">
        <v>3529</v>
      </c>
      <c r="B763" s="7" t="s">
        <v>6</v>
      </c>
      <c r="C763" s="7" t="s">
        <v>3530</v>
      </c>
      <c r="D763" s="7" t="s">
        <v>6</v>
      </c>
      <c r="E763" s="7" t="s">
        <v>45</v>
      </c>
      <c r="F763" s="6" t="s">
        <v>46</v>
      </c>
      <c r="G763" s="7" t="s">
        <v>488</v>
      </c>
      <c r="H763" s="7" t="s">
        <v>48</v>
      </c>
      <c r="I763" s="6" t="s">
        <v>87</v>
      </c>
      <c r="J763" s="7" t="s">
        <v>88</v>
      </c>
      <c r="K763" s="6" t="s">
        <v>26</v>
      </c>
      <c r="L763" s="7" t="s">
        <v>3531</v>
      </c>
      <c r="M763" s="7" t="s">
        <v>3532</v>
      </c>
      <c r="N763" s="9">
        <v>27099.0</v>
      </c>
    </row>
    <row r="764" ht="19.5" customHeight="1">
      <c r="A764" s="6" t="s">
        <v>3533</v>
      </c>
      <c r="B764" s="7" t="s">
        <v>6</v>
      </c>
      <c r="C764" s="7" t="s">
        <v>3534</v>
      </c>
      <c r="D764" s="7" t="s">
        <v>6</v>
      </c>
      <c r="E764" s="7" t="s">
        <v>45</v>
      </c>
      <c r="F764" s="6" t="s">
        <v>46</v>
      </c>
      <c r="G764" s="7" t="s">
        <v>3535</v>
      </c>
      <c r="H764" s="7" t="s">
        <v>23</v>
      </c>
      <c r="I764" s="6" t="s">
        <v>32</v>
      </c>
      <c r="J764" s="7" t="s">
        <v>33</v>
      </c>
      <c r="K764" s="6" t="s">
        <v>81</v>
      </c>
      <c r="L764" s="7" t="s">
        <v>3536</v>
      </c>
      <c r="M764" s="7" t="s">
        <v>3537</v>
      </c>
      <c r="N764" s="9">
        <v>27698.0</v>
      </c>
    </row>
    <row r="765" ht="19.5" customHeight="1">
      <c r="A765" s="6" t="s">
        <v>3538</v>
      </c>
      <c r="B765" s="7" t="s">
        <v>6</v>
      </c>
      <c r="C765" s="7" t="s">
        <v>3539</v>
      </c>
      <c r="D765" s="7" t="s">
        <v>6</v>
      </c>
      <c r="E765" s="7" t="s">
        <v>45</v>
      </c>
      <c r="F765" s="6" t="s">
        <v>46</v>
      </c>
      <c r="G765" s="7" t="s">
        <v>3540</v>
      </c>
      <c r="H765" s="7" t="s">
        <v>23</v>
      </c>
      <c r="I765" s="6" t="s">
        <v>76</v>
      </c>
      <c r="J765" s="7" t="s">
        <v>2936</v>
      </c>
      <c r="K765" s="6" t="s">
        <v>81</v>
      </c>
      <c r="L765" s="7" t="s">
        <v>3541</v>
      </c>
      <c r="M765" s="7" t="s">
        <v>3542</v>
      </c>
      <c r="N765" s="9">
        <v>26278.0</v>
      </c>
    </row>
    <row r="766" ht="19.5" customHeight="1">
      <c r="A766" s="6" t="s">
        <v>3543</v>
      </c>
      <c r="B766" s="7" t="s">
        <v>6</v>
      </c>
      <c r="C766" s="7" t="s">
        <v>3544</v>
      </c>
      <c r="D766" s="7" t="s">
        <v>6</v>
      </c>
      <c r="E766" s="7" t="s">
        <v>45</v>
      </c>
      <c r="F766" s="6" t="s">
        <v>46</v>
      </c>
      <c r="G766" s="7" t="s">
        <v>806</v>
      </c>
      <c r="H766" s="7" t="s">
        <v>48</v>
      </c>
      <c r="I766" s="6" t="s">
        <v>76</v>
      </c>
      <c r="J766" s="7" t="s">
        <v>2936</v>
      </c>
      <c r="K766" s="6" t="s">
        <v>26</v>
      </c>
      <c r="L766" s="7" t="s">
        <v>3545</v>
      </c>
      <c r="M766" s="7" t="s">
        <v>3546</v>
      </c>
      <c r="N766" s="9">
        <v>26354.0</v>
      </c>
    </row>
    <row r="767" ht="19.5" customHeight="1">
      <c r="A767" s="6" t="s">
        <v>3547</v>
      </c>
      <c r="B767" s="7" t="s">
        <v>6</v>
      </c>
      <c r="C767" s="7" t="s">
        <v>3548</v>
      </c>
      <c r="D767" s="7" t="s">
        <v>6</v>
      </c>
      <c r="E767" s="7" t="s">
        <v>45</v>
      </c>
      <c r="F767" s="6" t="s">
        <v>46</v>
      </c>
      <c r="G767" s="7" t="s">
        <v>3549</v>
      </c>
      <c r="H767" s="7" t="s">
        <v>23</v>
      </c>
      <c r="I767" s="6" t="s">
        <v>124</v>
      </c>
      <c r="J767" s="7" t="s">
        <v>125</v>
      </c>
      <c r="K767" s="6" t="s">
        <v>26</v>
      </c>
      <c r="L767" s="7" t="s">
        <v>3550</v>
      </c>
      <c r="M767" s="7" t="s">
        <v>3551</v>
      </c>
      <c r="N767" s="9">
        <v>32904.0</v>
      </c>
    </row>
    <row r="768" ht="19.5" customHeight="1">
      <c r="A768" s="6" t="s">
        <v>3552</v>
      </c>
      <c r="B768" s="7" t="s">
        <v>6</v>
      </c>
      <c r="C768" s="7" t="s">
        <v>3553</v>
      </c>
      <c r="D768" s="7" t="s">
        <v>6</v>
      </c>
      <c r="E768" s="7" t="s">
        <v>45</v>
      </c>
      <c r="F768" s="6" t="s">
        <v>46</v>
      </c>
      <c r="G768" s="7" t="s">
        <v>299</v>
      </c>
      <c r="H768" s="7" t="s">
        <v>48</v>
      </c>
      <c r="I768" s="6" t="s">
        <v>3360</v>
      </c>
      <c r="J768" s="7" t="s">
        <v>3361</v>
      </c>
      <c r="K768" s="6" t="s">
        <v>26</v>
      </c>
      <c r="L768" s="7" t="s">
        <v>3554</v>
      </c>
      <c r="M768" s="7" t="s">
        <v>3555</v>
      </c>
      <c r="N768" s="9">
        <v>24201.0</v>
      </c>
    </row>
    <row r="769" ht="19.5" customHeight="1">
      <c r="A769" s="6" t="s">
        <v>3556</v>
      </c>
      <c r="B769" s="7" t="s">
        <v>6</v>
      </c>
      <c r="C769" s="7" t="s">
        <v>3557</v>
      </c>
      <c r="D769" s="7" t="s">
        <v>6</v>
      </c>
      <c r="E769" s="7" t="s">
        <v>45</v>
      </c>
      <c r="F769" s="6" t="s">
        <v>46</v>
      </c>
      <c r="G769" s="7" t="s">
        <v>3558</v>
      </c>
      <c r="H769" s="7" t="s">
        <v>23</v>
      </c>
      <c r="I769" s="6" t="s">
        <v>96</v>
      </c>
      <c r="J769" s="7" t="s">
        <v>3252</v>
      </c>
      <c r="K769" s="6" t="s">
        <v>81</v>
      </c>
      <c r="L769" s="7" t="s">
        <v>3559</v>
      </c>
      <c r="M769" s="7" t="s">
        <v>3560</v>
      </c>
      <c r="N769" s="9">
        <v>27323.0</v>
      </c>
    </row>
    <row r="770" ht="19.5" customHeight="1">
      <c r="A770" s="6" t="s">
        <v>3561</v>
      </c>
      <c r="B770" s="7" t="s">
        <v>6</v>
      </c>
      <c r="C770" s="7" t="s">
        <v>3562</v>
      </c>
      <c r="D770" s="7" t="s">
        <v>6</v>
      </c>
      <c r="E770" s="7" t="s">
        <v>45</v>
      </c>
      <c r="F770" s="6" t="s">
        <v>46</v>
      </c>
      <c r="G770" s="7" t="s">
        <v>3563</v>
      </c>
      <c r="H770" s="7" t="s">
        <v>48</v>
      </c>
      <c r="I770" s="6" t="s">
        <v>124</v>
      </c>
      <c r="J770" s="7" t="s">
        <v>125</v>
      </c>
      <c r="K770" s="6" t="s">
        <v>81</v>
      </c>
      <c r="L770" s="7" t="s">
        <v>3564</v>
      </c>
      <c r="M770" s="7" t="s">
        <v>3565</v>
      </c>
      <c r="N770" s="9">
        <v>32833.0</v>
      </c>
    </row>
    <row r="771" ht="19.5" customHeight="1">
      <c r="A771" s="6" t="s">
        <v>3566</v>
      </c>
      <c r="B771" s="7" t="s">
        <v>6</v>
      </c>
      <c r="C771" s="7" t="s">
        <v>3567</v>
      </c>
      <c r="D771" s="7" t="s">
        <v>6</v>
      </c>
      <c r="E771" s="7" t="s">
        <v>45</v>
      </c>
      <c r="F771" s="6" t="s">
        <v>46</v>
      </c>
      <c r="G771" s="7" t="s">
        <v>186</v>
      </c>
      <c r="H771" s="7" t="s">
        <v>48</v>
      </c>
      <c r="I771" s="6" t="s">
        <v>59</v>
      </c>
      <c r="J771" s="7" t="s">
        <v>3316</v>
      </c>
      <c r="K771" s="6" t="s">
        <v>26</v>
      </c>
      <c r="L771" s="7" t="s">
        <v>3568</v>
      </c>
      <c r="M771" s="7" t="s">
        <v>3569</v>
      </c>
      <c r="N771" s="9">
        <v>25408.0</v>
      </c>
    </row>
    <row r="772" ht="19.5" customHeight="1">
      <c r="A772" s="6" t="s">
        <v>3570</v>
      </c>
      <c r="B772" s="7" t="s">
        <v>6</v>
      </c>
      <c r="C772" s="7" t="s">
        <v>3571</v>
      </c>
      <c r="D772" s="7" t="s">
        <v>6</v>
      </c>
      <c r="E772" s="7" t="s">
        <v>45</v>
      </c>
      <c r="F772" s="6" t="s">
        <v>46</v>
      </c>
      <c r="G772" s="7" t="s">
        <v>3132</v>
      </c>
      <c r="H772" s="7" t="s">
        <v>23</v>
      </c>
      <c r="I772" s="6" t="s">
        <v>3360</v>
      </c>
      <c r="J772" s="7" t="s">
        <v>3361</v>
      </c>
      <c r="K772" s="6" t="s">
        <v>26</v>
      </c>
      <c r="L772" s="7" t="s">
        <v>3572</v>
      </c>
      <c r="M772" s="7" t="s">
        <v>3573</v>
      </c>
      <c r="N772" s="9">
        <v>24236.0</v>
      </c>
    </row>
    <row r="773" ht="19.5" customHeight="1">
      <c r="A773" s="6" t="s">
        <v>3574</v>
      </c>
      <c r="B773" s="7" t="s">
        <v>6</v>
      </c>
      <c r="C773" s="7" t="s">
        <v>3575</v>
      </c>
      <c r="D773" s="7" t="s">
        <v>6</v>
      </c>
      <c r="E773" s="7" t="s">
        <v>45</v>
      </c>
      <c r="F773" s="6" t="s">
        <v>46</v>
      </c>
      <c r="G773" s="7" t="s">
        <v>1531</v>
      </c>
      <c r="H773" s="7" t="s">
        <v>48</v>
      </c>
      <c r="I773" s="6" t="s">
        <v>121</v>
      </c>
      <c r="J773" s="7" t="s">
        <v>471</v>
      </c>
      <c r="K773" s="6" t="s">
        <v>26</v>
      </c>
      <c r="L773" s="7" t="s">
        <v>3576</v>
      </c>
      <c r="M773" s="7" t="s">
        <v>3577</v>
      </c>
      <c r="N773" s="9">
        <v>28973.0</v>
      </c>
    </row>
    <row r="774" ht="19.5" customHeight="1">
      <c r="A774" s="6" t="s">
        <v>3578</v>
      </c>
      <c r="B774" s="7" t="s">
        <v>6</v>
      </c>
      <c r="C774" s="7" t="s">
        <v>3579</v>
      </c>
      <c r="D774" s="7" t="s">
        <v>6</v>
      </c>
      <c r="E774" s="7" t="s">
        <v>45</v>
      </c>
      <c r="F774" s="6" t="s">
        <v>46</v>
      </c>
      <c r="G774" s="7" t="s">
        <v>2559</v>
      </c>
      <c r="H774" s="7" t="s">
        <v>23</v>
      </c>
      <c r="I774" s="6" t="s">
        <v>87</v>
      </c>
      <c r="J774" s="7" t="s">
        <v>88</v>
      </c>
      <c r="K774" s="6" t="s">
        <v>81</v>
      </c>
      <c r="L774" s="7" t="s">
        <v>3580</v>
      </c>
      <c r="M774" s="7" t="s">
        <v>3581</v>
      </c>
      <c r="N774" s="9">
        <v>27006.0</v>
      </c>
    </row>
    <row r="775" ht="19.5" customHeight="1">
      <c r="A775" s="6" t="s">
        <v>3582</v>
      </c>
      <c r="B775" s="7" t="s">
        <v>6</v>
      </c>
      <c r="C775" s="7" t="s">
        <v>3583</v>
      </c>
      <c r="D775" s="7" t="s">
        <v>6</v>
      </c>
      <c r="E775" s="7" t="s">
        <v>45</v>
      </c>
      <c r="F775" s="6" t="s">
        <v>46</v>
      </c>
      <c r="G775" s="7" t="s">
        <v>3058</v>
      </c>
      <c r="H775" s="7" t="s">
        <v>23</v>
      </c>
      <c r="I775" s="6" t="s">
        <v>124</v>
      </c>
      <c r="J775" s="7" t="s">
        <v>125</v>
      </c>
      <c r="K775" s="6" t="s">
        <v>26</v>
      </c>
      <c r="L775" s="7" t="s">
        <v>3584</v>
      </c>
      <c r="M775" s="7" t="s">
        <v>3585</v>
      </c>
      <c r="N775" s="9">
        <v>32982.0</v>
      </c>
    </row>
    <row r="776" ht="19.5" customHeight="1">
      <c r="A776" s="6" t="s">
        <v>3586</v>
      </c>
      <c r="B776" s="7" t="s">
        <v>6</v>
      </c>
      <c r="C776" s="7" t="s">
        <v>3587</v>
      </c>
      <c r="D776" s="7" t="s">
        <v>6</v>
      </c>
      <c r="E776" s="7" t="s">
        <v>45</v>
      </c>
      <c r="F776" s="6" t="s">
        <v>46</v>
      </c>
      <c r="G776" s="7" t="s">
        <v>466</v>
      </c>
      <c r="H776" s="7" t="s">
        <v>23</v>
      </c>
      <c r="I776" s="6" t="s">
        <v>124</v>
      </c>
      <c r="J776" s="7" t="s">
        <v>125</v>
      </c>
      <c r="K776" s="6" t="s">
        <v>26</v>
      </c>
      <c r="L776" s="7" t="s">
        <v>3588</v>
      </c>
      <c r="M776" s="7" t="s">
        <v>3589</v>
      </c>
      <c r="N776" s="9">
        <v>33135.0</v>
      </c>
    </row>
    <row r="777" ht="19.5" customHeight="1">
      <c r="A777" s="6" t="s">
        <v>3590</v>
      </c>
      <c r="B777" s="7" t="s">
        <v>6</v>
      </c>
      <c r="C777" s="7" t="s">
        <v>3591</v>
      </c>
      <c r="D777" s="7" t="s">
        <v>6</v>
      </c>
      <c r="E777" s="7" t="s">
        <v>45</v>
      </c>
      <c r="F777" s="6" t="s">
        <v>46</v>
      </c>
      <c r="G777" s="7" t="s">
        <v>3592</v>
      </c>
      <c r="H777" s="7" t="s">
        <v>23</v>
      </c>
      <c r="I777" s="6" t="s">
        <v>140</v>
      </c>
      <c r="J777" s="7" t="s">
        <v>173</v>
      </c>
      <c r="K777" s="6" t="s">
        <v>26</v>
      </c>
      <c r="L777" s="7" t="s">
        <v>3593</v>
      </c>
      <c r="M777" s="7" t="s">
        <v>3594</v>
      </c>
      <c r="N777" s="9">
        <v>30370.0</v>
      </c>
    </row>
    <row r="778" ht="19.5" customHeight="1">
      <c r="A778" s="6" t="s">
        <v>3595</v>
      </c>
      <c r="B778" s="7" t="s">
        <v>6</v>
      </c>
      <c r="C778" s="7" t="s">
        <v>3596</v>
      </c>
      <c r="D778" s="7" t="s">
        <v>6</v>
      </c>
      <c r="E778" s="7" t="s">
        <v>45</v>
      </c>
      <c r="F778" s="6" t="s">
        <v>46</v>
      </c>
      <c r="G778" s="7" t="s">
        <v>3597</v>
      </c>
      <c r="H778" s="7" t="s">
        <v>23</v>
      </c>
      <c r="I778" s="6" t="s">
        <v>124</v>
      </c>
      <c r="J778" s="7" t="s">
        <v>125</v>
      </c>
      <c r="K778" s="6" t="s">
        <v>26</v>
      </c>
      <c r="L778" s="7" t="s">
        <v>3598</v>
      </c>
      <c r="M778" s="7" t="s">
        <v>3599</v>
      </c>
      <c r="N778" s="9">
        <v>32973.0</v>
      </c>
    </row>
    <row r="779" ht="19.5" customHeight="1">
      <c r="A779" s="6" t="s">
        <v>3600</v>
      </c>
      <c r="B779" s="7" t="s">
        <v>6</v>
      </c>
      <c r="C779" s="7" t="s">
        <v>3601</v>
      </c>
      <c r="D779" s="7" t="s">
        <v>6</v>
      </c>
      <c r="E779" s="7" t="s">
        <v>45</v>
      </c>
      <c r="F779" s="6" t="s">
        <v>46</v>
      </c>
      <c r="G779" s="7" t="s">
        <v>3602</v>
      </c>
      <c r="H779" s="7" t="s">
        <v>23</v>
      </c>
      <c r="I779" s="6" t="s">
        <v>124</v>
      </c>
      <c r="J779" s="7" t="s">
        <v>125</v>
      </c>
      <c r="K779" s="6" t="s">
        <v>81</v>
      </c>
      <c r="L779" s="7" t="s">
        <v>3603</v>
      </c>
      <c r="M779" s="7" t="s">
        <v>3604</v>
      </c>
      <c r="N779" s="9">
        <v>32845.0</v>
      </c>
    </row>
    <row r="780" ht="19.5" customHeight="1">
      <c r="A780" s="6" t="s">
        <v>3605</v>
      </c>
      <c r="B780" s="7" t="s">
        <v>6</v>
      </c>
      <c r="C780" s="7" t="s">
        <v>3606</v>
      </c>
      <c r="D780" s="7" t="s">
        <v>6</v>
      </c>
      <c r="E780" s="7" t="s">
        <v>45</v>
      </c>
      <c r="F780" s="6" t="s">
        <v>46</v>
      </c>
      <c r="G780" s="7" t="s">
        <v>3607</v>
      </c>
      <c r="H780" s="7" t="s">
        <v>48</v>
      </c>
      <c r="I780" s="6" t="s">
        <v>112</v>
      </c>
      <c r="J780" s="7" t="s">
        <v>113</v>
      </c>
      <c r="K780" s="6" t="s">
        <v>26</v>
      </c>
      <c r="L780" s="7" t="s">
        <v>3608</v>
      </c>
      <c r="M780" s="7" t="s">
        <v>3609</v>
      </c>
      <c r="N780" s="9">
        <v>32725.0</v>
      </c>
    </row>
    <row r="781" ht="19.5" customHeight="1">
      <c r="A781" s="6" t="s">
        <v>3610</v>
      </c>
      <c r="B781" s="7" t="s">
        <v>6</v>
      </c>
      <c r="C781" s="7" t="s">
        <v>3611</v>
      </c>
      <c r="D781" s="7" t="s">
        <v>6</v>
      </c>
      <c r="E781" s="7" t="s">
        <v>45</v>
      </c>
      <c r="F781" s="6" t="s">
        <v>46</v>
      </c>
      <c r="G781" s="7" t="s">
        <v>3612</v>
      </c>
      <c r="H781" s="7" t="s">
        <v>23</v>
      </c>
      <c r="I781" s="6" t="s">
        <v>96</v>
      </c>
      <c r="J781" s="7" t="s">
        <v>3252</v>
      </c>
      <c r="K781" s="6" t="s">
        <v>26</v>
      </c>
      <c r="L781" s="7" t="s">
        <v>3613</v>
      </c>
      <c r="M781" s="7" t="s">
        <v>3614</v>
      </c>
      <c r="N781" s="9">
        <v>27512.0</v>
      </c>
    </row>
    <row r="782" ht="19.5" customHeight="1">
      <c r="A782" s="6" t="s">
        <v>3615</v>
      </c>
      <c r="B782" s="7" t="s">
        <v>6</v>
      </c>
      <c r="C782" s="7" t="s">
        <v>3616</v>
      </c>
      <c r="D782" s="7" t="s">
        <v>6</v>
      </c>
      <c r="E782" s="7" t="s">
        <v>45</v>
      </c>
      <c r="F782" s="6" t="s">
        <v>46</v>
      </c>
      <c r="G782" s="7" t="s">
        <v>3617</v>
      </c>
      <c r="H782" s="7" t="s">
        <v>23</v>
      </c>
      <c r="I782" s="6" t="s">
        <v>43</v>
      </c>
      <c r="J782" s="7" t="s">
        <v>3336</v>
      </c>
      <c r="K782" s="6" t="s">
        <v>81</v>
      </c>
      <c r="L782" s="7" t="s">
        <v>3618</v>
      </c>
      <c r="M782" s="7" t="s">
        <v>3619</v>
      </c>
      <c r="N782" s="9">
        <v>24404.0</v>
      </c>
    </row>
    <row r="783" ht="19.5" customHeight="1">
      <c r="A783" s="6" t="s">
        <v>3620</v>
      </c>
      <c r="B783" s="7" t="s">
        <v>6</v>
      </c>
      <c r="C783" s="7" t="s">
        <v>3621</v>
      </c>
      <c r="D783" s="7" t="s">
        <v>6</v>
      </c>
      <c r="E783" s="7" t="s">
        <v>45</v>
      </c>
      <c r="F783" s="6" t="s">
        <v>46</v>
      </c>
      <c r="G783" s="7" t="s">
        <v>3622</v>
      </c>
      <c r="H783" s="7" t="s">
        <v>48</v>
      </c>
      <c r="I783" s="6" t="s">
        <v>148</v>
      </c>
      <c r="J783" s="7" t="s">
        <v>182</v>
      </c>
      <c r="K783" s="6" t="s">
        <v>26</v>
      </c>
      <c r="L783" s="7" t="s">
        <v>3623</v>
      </c>
      <c r="M783" s="7" t="s">
        <v>3624</v>
      </c>
      <c r="N783" s="9">
        <v>31049.0</v>
      </c>
    </row>
    <row r="784" ht="19.5" customHeight="1">
      <c r="A784" s="6" t="s">
        <v>3625</v>
      </c>
      <c r="B784" s="7" t="s">
        <v>6</v>
      </c>
      <c r="C784" s="7" t="s">
        <v>3626</v>
      </c>
      <c r="D784" s="7" t="s">
        <v>6</v>
      </c>
      <c r="E784" s="7" t="s">
        <v>45</v>
      </c>
      <c r="F784" s="6" t="s">
        <v>46</v>
      </c>
      <c r="G784" s="7" t="s">
        <v>470</v>
      </c>
      <c r="H784" s="7" t="s">
        <v>23</v>
      </c>
      <c r="I784" s="6" t="s">
        <v>143</v>
      </c>
      <c r="J784" s="7" t="s">
        <v>1639</v>
      </c>
      <c r="K784" s="6" t="s">
        <v>26</v>
      </c>
      <c r="L784" s="7" t="s">
        <v>3627</v>
      </c>
      <c r="M784" s="7" t="s">
        <v>3628</v>
      </c>
      <c r="N784" s="9">
        <v>30896.0</v>
      </c>
    </row>
    <row r="785" ht="19.5" customHeight="1">
      <c r="A785" s="6" t="s">
        <v>3629</v>
      </c>
      <c r="B785" s="7" t="s">
        <v>6</v>
      </c>
      <c r="C785" s="7" t="s">
        <v>3630</v>
      </c>
      <c r="D785" s="7" t="s">
        <v>6</v>
      </c>
      <c r="E785" s="7" t="s">
        <v>45</v>
      </c>
      <c r="F785" s="6" t="s">
        <v>46</v>
      </c>
      <c r="G785" s="7" t="s">
        <v>3631</v>
      </c>
      <c r="H785" s="7" t="s">
        <v>23</v>
      </c>
      <c r="I785" s="6" t="s">
        <v>112</v>
      </c>
      <c r="J785" s="7" t="s">
        <v>113</v>
      </c>
      <c r="K785" s="6" t="s">
        <v>26</v>
      </c>
      <c r="L785" s="7" t="s">
        <v>3632</v>
      </c>
      <c r="M785" s="7" t="s">
        <v>3633</v>
      </c>
      <c r="N785" s="9">
        <v>32748.0</v>
      </c>
    </row>
    <row r="786" ht="19.5" customHeight="1">
      <c r="A786" s="6" t="s">
        <v>3634</v>
      </c>
      <c r="B786" s="7" t="s">
        <v>6</v>
      </c>
      <c r="C786" s="7" t="s">
        <v>3635</v>
      </c>
      <c r="D786" s="7" t="s">
        <v>6</v>
      </c>
      <c r="E786" s="7" t="s">
        <v>45</v>
      </c>
      <c r="F786" s="6" t="s">
        <v>46</v>
      </c>
      <c r="G786" s="7" t="s">
        <v>3467</v>
      </c>
      <c r="H786" s="7" t="s">
        <v>23</v>
      </c>
      <c r="I786" s="6" t="s">
        <v>112</v>
      </c>
      <c r="J786" s="7" t="s">
        <v>113</v>
      </c>
      <c r="K786" s="6" t="s">
        <v>26</v>
      </c>
      <c r="L786" s="7" t="s">
        <v>3636</v>
      </c>
      <c r="M786" s="7" t="s">
        <v>3637</v>
      </c>
      <c r="N786" s="9">
        <v>32541.0</v>
      </c>
    </row>
    <row r="787" ht="19.5" customHeight="1">
      <c r="A787" s="6" t="s">
        <v>3638</v>
      </c>
      <c r="B787" s="7" t="s">
        <v>6</v>
      </c>
      <c r="C787" s="7" t="s">
        <v>3639</v>
      </c>
      <c r="D787" s="7" t="s">
        <v>6</v>
      </c>
      <c r="E787" s="7" t="s">
        <v>45</v>
      </c>
      <c r="F787" s="6" t="s">
        <v>46</v>
      </c>
      <c r="G787" s="7" t="s">
        <v>3640</v>
      </c>
      <c r="H787" s="7" t="s">
        <v>48</v>
      </c>
      <c r="I787" s="6" t="s">
        <v>128</v>
      </c>
      <c r="J787" s="7" t="s">
        <v>1978</v>
      </c>
      <c r="K787" s="6" t="s">
        <v>26</v>
      </c>
      <c r="L787" s="7" t="s">
        <v>3641</v>
      </c>
      <c r="M787" s="7" t="s">
        <v>3642</v>
      </c>
      <c r="N787" s="9">
        <v>29269.0</v>
      </c>
    </row>
    <row r="788" ht="19.5" customHeight="1">
      <c r="A788" s="6" t="s">
        <v>3643</v>
      </c>
      <c r="B788" s="7" t="s">
        <v>6</v>
      </c>
      <c r="C788" s="7" t="s">
        <v>3644</v>
      </c>
      <c r="D788" s="7" t="s">
        <v>6</v>
      </c>
      <c r="E788" s="7" t="s">
        <v>45</v>
      </c>
      <c r="F788" s="6" t="s">
        <v>46</v>
      </c>
      <c r="G788" s="7" t="s">
        <v>3155</v>
      </c>
      <c r="H788" s="7" t="s">
        <v>23</v>
      </c>
      <c r="I788" s="6" t="s">
        <v>159</v>
      </c>
      <c r="J788" s="7" t="s">
        <v>1027</v>
      </c>
      <c r="K788" s="6" t="s">
        <v>81</v>
      </c>
      <c r="L788" s="7" t="s">
        <v>3645</v>
      </c>
      <c r="M788" s="7" t="s">
        <v>3646</v>
      </c>
      <c r="N788" s="9">
        <v>31740.0</v>
      </c>
    </row>
    <row r="789" ht="19.5" customHeight="1">
      <c r="A789" s="6" t="s">
        <v>3647</v>
      </c>
      <c r="B789" s="7" t="s">
        <v>6</v>
      </c>
      <c r="C789" s="7" t="s">
        <v>3648</v>
      </c>
      <c r="D789" s="7" t="s">
        <v>6</v>
      </c>
      <c r="E789" s="7" t="s">
        <v>45</v>
      </c>
      <c r="F789" s="6" t="s">
        <v>46</v>
      </c>
      <c r="G789" s="7" t="s">
        <v>3649</v>
      </c>
      <c r="H789" s="7" t="s">
        <v>23</v>
      </c>
      <c r="I789" s="6" t="s">
        <v>121</v>
      </c>
      <c r="J789" s="7" t="s">
        <v>471</v>
      </c>
      <c r="K789" s="6" t="s">
        <v>26</v>
      </c>
      <c r="L789" s="7" t="s">
        <v>3650</v>
      </c>
      <c r="M789" s="7" t="s">
        <v>3651</v>
      </c>
      <c r="N789" s="9">
        <v>28907.0</v>
      </c>
    </row>
    <row r="790" ht="19.5" customHeight="1">
      <c r="A790" s="6" t="s">
        <v>3652</v>
      </c>
      <c r="B790" s="7" t="s">
        <v>6</v>
      </c>
      <c r="C790" s="7" t="s">
        <v>3653</v>
      </c>
      <c r="D790" s="7" t="s">
        <v>6</v>
      </c>
      <c r="E790" s="7" t="s">
        <v>45</v>
      </c>
      <c r="F790" s="6" t="s">
        <v>46</v>
      </c>
      <c r="G790" s="7" t="s">
        <v>3654</v>
      </c>
      <c r="H790" s="7" t="s">
        <v>23</v>
      </c>
      <c r="I790" s="6" t="s">
        <v>143</v>
      </c>
      <c r="J790" s="7" t="s">
        <v>1639</v>
      </c>
      <c r="K790" s="6" t="s">
        <v>26</v>
      </c>
      <c r="L790" s="7" t="s">
        <v>3655</v>
      </c>
      <c r="M790" s="7" t="s">
        <v>3656</v>
      </c>
      <c r="N790" s="9">
        <v>30911.0</v>
      </c>
    </row>
    <row r="791" ht="19.5" customHeight="1">
      <c r="A791" s="6" t="s">
        <v>3657</v>
      </c>
      <c r="B791" s="7" t="s">
        <v>6</v>
      </c>
      <c r="C791" s="7" t="s">
        <v>3658</v>
      </c>
      <c r="D791" s="7" t="s">
        <v>6</v>
      </c>
      <c r="E791" s="7" t="s">
        <v>45</v>
      </c>
      <c r="F791" s="6" t="s">
        <v>46</v>
      </c>
      <c r="G791" s="7" t="s">
        <v>2622</v>
      </c>
      <c r="H791" s="7" t="s">
        <v>23</v>
      </c>
      <c r="I791" s="6" t="s">
        <v>84</v>
      </c>
      <c r="J791" s="7" t="s">
        <v>151</v>
      </c>
      <c r="K791" s="6" t="s">
        <v>81</v>
      </c>
      <c r="L791" s="7" t="s">
        <v>3659</v>
      </c>
      <c r="M791" s="7" t="s">
        <v>3660</v>
      </c>
      <c r="N791" s="9">
        <v>26634.0</v>
      </c>
    </row>
    <row r="792" ht="19.5" customHeight="1">
      <c r="A792" s="6" t="s">
        <v>3661</v>
      </c>
      <c r="B792" s="7" t="s">
        <v>6</v>
      </c>
      <c r="C792" s="7" t="s">
        <v>3662</v>
      </c>
      <c r="D792" s="7" t="s">
        <v>6</v>
      </c>
      <c r="E792" s="7" t="s">
        <v>45</v>
      </c>
      <c r="F792" s="6" t="s">
        <v>46</v>
      </c>
      <c r="G792" s="7" t="s">
        <v>3297</v>
      </c>
      <c r="H792" s="7" t="s">
        <v>23</v>
      </c>
      <c r="I792" s="6" t="s">
        <v>128</v>
      </c>
      <c r="J792" s="7" t="s">
        <v>1978</v>
      </c>
      <c r="K792" s="6" t="s">
        <v>81</v>
      </c>
      <c r="L792" s="7" t="s">
        <v>3663</v>
      </c>
      <c r="M792" s="7" t="s">
        <v>3664</v>
      </c>
      <c r="N792" s="9">
        <v>29156.0</v>
      </c>
    </row>
    <row r="793" ht="19.5" customHeight="1">
      <c r="A793" s="6" t="s">
        <v>3665</v>
      </c>
      <c r="B793" s="7" t="s">
        <v>6</v>
      </c>
      <c r="C793" s="7" t="s">
        <v>3666</v>
      </c>
      <c r="D793" s="7" t="s">
        <v>6</v>
      </c>
      <c r="E793" s="7" t="s">
        <v>45</v>
      </c>
      <c r="F793" s="6" t="s">
        <v>46</v>
      </c>
      <c r="G793" s="7" t="s">
        <v>1270</v>
      </c>
      <c r="H793" s="7" t="s">
        <v>23</v>
      </c>
      <c r="I793" s="6" t="s">
        <v>154</v>
      </c>
      <c r="J793" s="7" t="s">
        <v>434</v>
      </c>
      <c r="K793" s="6" t="s">
        <v>81</v>
      </c>
      <c r="L793" s="7" t="s">
        <v>3667</v>
      </c>
      <c r="M793" s="7" t="s">
        <v>3668</v>
      </c>
      <c r="N793" s="9">
        <v>31385.0</v>
      </c>
    </row>
    <row r="794" ht="19.5" customHeight="1">
      <c r="A794" s="6" t="s">
        <v>3669</v>
      </c>
      <c r="B794" s="7" t="s">
        <v>6</v>
      </c>
      <c r="C794" s="7" t="s">
        <v>3670</v>
      </c>
      <c r="D794" s="7" t="s">
        <v>6</v>
      </c>
      <c r="E794" s="7" t="s">
        <v>45</v>
      </c>
      <c r="F794" s="6" t="s">
        <v>46</v>
      </c>
      <c r="G794" s="7" t="s">
        <v>3671</v>
      </c>
      <c r="H794" s="7" t="s">
        <v>48</v>
      </c>
      <c r="I794" s="6" t="s">
        <v>124</v>
      </c>
      <c r="J794" s="7" t="s">
        <v>125</v>
      </c>
      <c r="K794" s="6" t="s">
        <v>81</v>
      </c>
      <c r="L794" s="7" t="s">
        <v>3672</v>
      </c>
      <c r="M794" s="7" t="s">
        <v>3673</v>
      </c>
      <c r="N794" s="9">
        <v>32806.0</v>
      </c>
    </row>
    <row r="795" ht="19.5" customHeight="1">
      <c r="A795" s="6" t="s">
        <v>3674</v>
      </c>
      <c r="B795" s="7" t="s">
        <v>6</v>
      </c>
      <c r="C795" s="7" t="s">
        <v>3675</v>
      </c>
      <c r="D795" s="7" t="s">
        <v>6</v>
      </c>
      <c r="E795" s="7" t="s">
        <v>45</v>
      </c>
      <c r="F795" s="6" t="s">
        <v>46</v>
      </c>
      <c r="G795" s="7" t="s">
        <v>3132</v>
      </c>
      <c r="H795" s="7" t="s">
        <v>48</v>
      </c>
      <c r="I795" s="6" t="s">
        <v>116</v>
      </c>
      <c r="J795" s="7" t="s">
        <v>757</v>
      </c>
      <c r="K795" s="6" t="s">
        <v>26</v>
      </c>
      <c r="L795" s="7" t="s">
        <v>3676</v>
      </c>
      <c r="M795" s="7" t="s">
        <v>3677</v>
      </c>
      <c r="N795" s="9">
        <v>28705.0</v>
      </c>
    </row>
    <row r="796" ht="19.5" customHeight="1">
      <c r="A796" s="6" t="s">
        <v>3678</v>
      </c>
      <c r="B796" s="7" t="s">
        <v>6</v>
      </c>
      <c r="C796" s="7" t="s">
        <v>3679</v>
      </c>
      <c r="D796" s="7" t="s">
        <v>6</v>
      </c>
      <c r="E796" s="7" t="s">
        <v>45</v>
      </c>
      <c r="F796" s="6" t="s">
        <v>46</v>
      </c>
      <c r="G796" s="7" t="s">
        <v>3680</v>
      </c>
      <c r="H796" s="7" t="s">
        <v>23</v>
      </c>
      <c r="I796" s="6" t="s">
        <v>84</v>
      </c>
      <c r="J796" s="7" t="s">
        <v>151</v>
      </c>
      <c r="K796" s="6" t="s">
        <v>81</v>
      </c>
      <c r="L796" s="7" t="s">
        <v>3681</v>
      </c>
      <c r="M796" s="7" t="s">
        <v>3682</v>
      </c>
      <c r="N796" s="9">
        <v>26598.0</v>
      </c>
    </row>
    <row r="797" ht="19.5" customHeight="1">
      <c r="A797" s="6" t="s">
        <v>3683</v>
      </c>
      <c r="B797" s="7" t="s">
        <v>6</v>
      </c>
      <c r="C797" s="7" t="s">
        <v>3684</v>
      </c>
      <c r="D797" s="7" t="s">
        <v>6</v>
      </c>
      <c r="E797" s="7" t="s">
        <v>45</v>
      </c>
      <c r="F797" s="6" t="s">
        <v>46</v>
      </c>
      <c r="G797" s="7" t="s">
        <v>3685</v>
      </c>
      <c r="H797" s="7" t="s">
        <v>48</v>
      </c>
      <c r="I797" s="6" t="s">
        <v>159</v>
      </c>
      <c r="J797" s="7" t="s">
        <v>1027</v>
      </c>
      <c r="K797" s="6" t="s">
        <v>81</v>
      </c>
      <c r="L797" s="7" t="s">
        <v>3686</v>
      </c>
      <c r="M797" s="7" t="s">
        <v>3687</v>
      </c>
      <c r="N797" s="9">
        <v>31764.0</v>
      </c>
    </row>
    <row r="798" ht="19.5" customHeight="1">
      <c r="A798" s="6" t="s">
        <v>3688</v>
      </c>
      <c r="B798" s="7" t="s">
        <v>6</v>
      </c>
      <c r="C798" s="7" t="s">
        <v>3689</v>
      </c>
      <c r="D798" s="7" t="s">
        <v>6</v>
      </c>
      <c r="E798" s="7" t="s">
        <v>45</v>
      </c>
      <c r="F798" s="6" t="s">
        <v>46</v>
      </c>
      <c r="G798" s="7" t="s">
        <v>1185</v>
      </c>
      <c r="H798" s="7" t="s">
        <v>23</v>
      </c>
      <c r="I798" s="6" t="s">
        <v>154</v>
      </c>
      <c r="J798" s="7" t="s">
        <v>434</v>
      </c>
      <c r="K798" s="6" t="s">
        <v>26</v>
      </c>
      <c r="L798" s="7" t="s">
        <v>3690</v>
      </c>
      <c r="M798" s="7" t="s">
        <v>3691</v>
      </c>
      <c r="N798" s="9">
        <v>31582.0</v>
      </c>
    </row>
    <row r="799" ht="19.5" customHeight="1">
      <c r="A799" s="6" t="s">
        <v>3692</v>
      </c>
      <c r="B799" s="7" t="s">
        <v>6</v>
      </c>
      <c r="C799" s="7" t="s">
        <v>3693</v>
      </c>
      <c r="D799" s="7" t="s">
        <v>6</v>
      </c>
      <c r="E799" s="7" t="s">
        <v>45</v>
      </c>
      <c r="F799" s="6" t="s">
        <v>46</v>
      </c>
      <c r="G799" s="7" t="s">
        <v>3694</v>
      </c>
      <c r="H799" s="7" t="s">
        <v>23</v>
      </c>
      <c r="I799" s="6" t="s">
        <v>1255</v>
      </c>
      <c r="J799" s="7" t="s">
        <v>1256</v>
      </c>
      <c r="K799" s="6" t="s">
        <v>26</v>
      </c>
      <c r="L799" s="7" t="s">
        <v>3695</v>
      </c>
      <c r="M799" s="7" t="s">
        <v>3696</v>
      </c>
      <c r="N799" s="9">
        <v>32406.0</v>
      </c>
    </row>
    <row r="800" ht="19.5" customHeight="1">
      <c r="A800" s="6" t="s">
        <v>3697</v>
      </c>
      <c r="B800" s="7" t="s">
        <v>6</v>
      </c>
      <c r="C800" s="7" t="s">
        <v>3698</v>
      </c>
      <c r="D800" s="7" t="s">
        <v>6</v>
      </c>
      <c r="E800" s="7" t="s">
        <v>45</v>
      </c>
      <c r="F800" s="6" t="s">
        <v>46</v>
      </c>
      <c r="G800" s="7" t="s">
        <v>1841</v>
      </c>
      <c r="H800" s="7" t="s">
        <v>48</v>
      </c>
      <c r="I800" s="6" t="s">
        <v>121</v>
      </c>
      <c r="J800" s="7" t="s">
        <v>471</v>
      </c>
      <c r="K800" s="6" t="s">
        <v>81</v>
      </c>
      <c r="L800" s="7" t="s">
        <v>3699</v>
      </c>
      <c r="M800" s="7" t="s">
        <v>3700</v>
      </c>
      <c r="N800" s="9">
        <v>28783.0</v>
      </c>
    </row>
    <row r="801" ht="19.5" customHeight="1">
      <c r="A801" s="6" t="s">
        <v>3701</v>
      </c>
      <c r="B801" s="7" t="s">
        <v>6</v>
      </c>
      <c r="C801" s="7" t="s">
        <v>3702</v>
      </c>
      <c r="D801" s="7" t="s">
        <v>6</v>
      </c>
      <c r="E801" s="7" t="s">
        <v>45</v>
      </c>
      <c r="F801" s="6" t="s">
        <v>46</v>
      </c>
      <c r="G801" s="7" t="s">
        <v>488</v>
      </c>
      <c r="H801" s="7" t="s">
        <v>23</v>
      </c>
      <c r="I801" s="6" t="s">
        <v>109</v>
      </c>
      <c r="J801" s="7" t="s">
        <v>1680</v>
      </c>
      <c r="K801" s="6" t="s">
        <v>26</v>
      </c>
      <c r="L801" s="7" t="s">
        <v>3703</v>
      </c>
      <c r="M801" s="7" t="s">
        <v>6</v>
      </c>
      <c r="N801" s="9">
        <v>28235.0</v>
      </c>
    </row>
    <row r="802" ht="19.5" customHeight="1">
      <c r="A802" s="6" t="s">
        <v>3704</v>
      </c>
      <c r="B802" s="7" t="s">
        <v>6</v>
      </c>
      <c r="C802" s="7" t="s">
        <v>3705</v>
      </c>
      <c r="D802" s="7" t="s">
        <v>6</v>
      </c>
      <c r="E802" s="7" t="s">
        <v>45</v>
      </c>
      <c r="F802" s="6" t="s">
        <v>46</v>
      </c>
      <c r="G802" s="7" t="s">
        <v>3706</v>
      </c>
      <c r="H802" s="7" t="s">
        <v>23</v>
      </c>
      <c r="I802" s="6" t="s">
        <v>65</v>
      </c>
      <c r="J802" s="7" t="s">
        <v>2132</v>
      </c>
      <c r="K802" s="6" t="s">
        <v>26</v>
      </c>
      <c r="L802" s="7" t="s">
        <v>3707</v>
      </c>
      <c r="M802" s="7" t="s">
        <v>3708</v>
      </c>
      <c r="N802" s="9">
        <v>25838.0</v>
      </c>
    </row>
    <row r="803" ht="19.5" customHeight="1">
      <c r="A803" s="6" t="s">
        <v>3709</v>
      </c>
      <c r="B803" s="7" t="s">
        <v>6</v>
      </c>
      <c r="C803" s="7" t="s">
        <v>3710</v>
      </c>
      <c r="D803" s="7" t="s">
        <v>6</v>
      </c>
      <c r="E803" s="7" t="s">
        <v>45</v>
      </c>
      <c r="F803" s="6" t="s">
        <v>46</v>
      </c>
      <c r="G803" s="7" t="s">
        <v>3711</v>
      </c>
      <c r="H803" s="7" t="s">
        <v>23</v>
      </c>
      <c r="I803" s="6" t="s">
        <v>43</v>
      </c>
      <c r="J803" s="7" t="s">
        <v>3336</v>
      </c>
      <c r="K803" s="6" t="s">
        <v>81</v>
      </c>
      <c r="L803" s="7" t="s">
        <v>3712</v>
      </c>
      <c r="M803" s="7" t="s">
        <v>3713</v>
      </c>
      <c r="N803" s="9">
        <v>24446.0</v>
      </c>
    </row>
    <row r="804" ht="19.5" customHeight="1">
      <c r="A804" s="6" t="s">
        <v>3714</v>
      </c>
      <c r="B804" s="7" t="s">
        <v>6</v>
      </c>
      <c r="C804" s="7" t="s">
        <v>3715</v>
      </c>
      <c r="D804" s="7" t="s">
        <v>6</v>
      </c>
      <c r="E804" s="7" t="s">
        <v>45</v>
      </c>
      <c r="F804" s="6" t="s">
        <v>46</v>
      </c>
      <c r="G804" s="7" t="s">
        <v>3716</v>
      </c>
      <c r="H804" s="7" t="s">
        <v>23</v>
      </c>
      <c r="I804" s="6" t="s">
        <v>87</v>
      </c>
      <c r="J804" s="7" t="s">
        <v>88</v>
      </c>
      <c r="K804" s="6" t="s">
        <v>26</v>
      </c>
      <c r="L804" s="7" t="s">
        <v>3717</v>
      </c>
      <c r="M804" s="7" t="s">
        <v>3718</v>
      </c>
      <c r="N804" s="9">
        <v>27175.0</v>
      </c>
    </row>
    <row r="805" ht="19.5" customHeight="1">
      <c r="A805" s="6" t="s">
        <v>3719</v>
      </c>
      <c r="B805" s="7" t="s">
        <v>6</v>
      </c>
      <c r="C805" s="7" t="s">
        <v>3720</v>
      </c>
      <c r="D805" s="7" t="s">
        <v>6</v>
      </c>
      <c r="E805" s="7" t="s">
        <v>45</v>
      </c>
      <c r="F805" s="6" t="s">
        <v>46</v>
      </c>
      <c r="G805" s="7" t="s">
        <v>3721</v>
      </c>
      <c r="H805" s="7" t="s">
        <v>23</v>
      </c>
      <c r="I805" s="6" t="s">
        <v>148</v>
      </c>
      <c r="J805" s="7" t="s">
        <v>182</v>
      </c>
      <c r="K805" s="6" t="s">
        <v>26</v>
      </c>
      <c r="L805" s="7" t="s">
        <v>3722</v>
      </c>
      <c r="M805" s="7" t="s">
        <v>3723</v>
      </c>
      <c r="N805" s="9">
        <v>31280.0</v>
      </c>
    </row>
    <row r="806" ht="19.5" customHeight="1">
      <c r="A806" s="6" t="s">
        <v>3724</v>
      </c>
      <c r="B806" s="7" t="s">
        <v>6</v>
      </c>
      <c r="C806" s="7" t="s">
        <v>3725</v>
      </c>
      <c r="D806" s="7" t="s">
        <v>6</v>
      </c>
      <c r="E806" s="7" t="s">
        <v>45</v>
      </c>
      <c r="F806" s="6" t="s">
        <v>46</v>
      </c>
      <c r="G806" s="7" t="s">
        <v>2232</v>
      </c>
      <c r="H806" s="7" t="s">
        <v>48</v>
      </c>
      <c r="I806" s="6" t="s">
        <v>170</v>
      </c>
      <c r="J806" s="7" t="s">
        <v>409</v>
      </c>
      <c r="K806" s="6" t="s">
        <v>26</v>
      </c>
      <c r="L806" s="7" t="s">
        <v>3726</v>
      </c>
      <c r="M806" s="7" t="s">
        <v>3727</v>
      </c>
      <c r="N806" s="9">
        <v>33317.0</v>
      </c>
    </row>
    <row r="807" ht="19.5" customHeight="1">
      <c r="A807" s="6" t="s">
        <v>3728</v>
      </c>
      <c r="B807" s="7" t="s">
        <v>6</v>
      </c>
      <c r="C807" s="7" t="s">
        <v>3729</v>
      </c>
      <c r="D807" s="7" t="s">
        <v>6</v>
      </c>
      <c r="E807" s="7" t="s">
        <v>45</v>
      </c>
      <c r="F807" s="6" t="s">
        <v>46</v>
      </c>
      <c r="G807" s="7" t="s">
        <v>1841</v>
      </c>
      <c r="H807" s="7" t="s">
        <v>48</v>
      </c>
      <c r="I807" s="6" t="s">
        <v>140</v>
      </c>
      <c r="J807" s="7" t="s">
        <v>173</v>
      </c>
      <c r="K807" s="6" t="s">
        <v>26</v>
      </c>
      <c r="L807" s="7" t="s">
        <v>3730</v>
      </c>
      <c r="M807" s="7" t="s">
        <v>3731</v>
      </c>
      <c r="N807" s="9">
        <v>30436.0</v>
      </c>
    </row>
    <row r="808" ht="19.5" customHeight="1">
      <c r="A808" s="6" t="s">
        <v>3732</v>
      </c>
      <c r="B808" s="7" t="s">
        <v>6</v>
      </c>
      <c r="C808" s="7" t="s">
        <v>3733</v>
      </c>
      <c r="D808" s="7" t="s">
        <v>6</v>
      </c>
      <c r="E808" s="7" t="s">
        <v>45</v>
      </c>
      <c r="F808" s="6" t="s">
        <v>46</v>
      </c>
      <c r="G808" s="7" t="s">
        <v>2071</v>
      </c>
      <c r="H808" s="7" t="s">
        <v>23</v>
      </c>
      <c r="I808" s="6" t="s">
        <v>143</v>
      </c>
      <c r="J808" s="7" t="s">
        <v>1639</v>
      </c>
      <c r="K808" s="6" t="s">
        <v>26</v>
      </c>
      <c r="L808" s="7" t="s">
        <v>3734</v>
      </c>
      <c r="M808" s="7" t="s">
        <v>3735</v>
      </c>
      <c r="N808" s="9">
        <v>30800.0</v>
      </c>
    </row>
    <row r="809" ht="19.5" customHeight="1">
      <c r="A809" s="6" t="s">
        <v>3736</v>
      </c>
      <c r="B809" s="7" t="s">
        <v>6</v>
      </c>
      <c r="C809" s="7" t="s">
        <v>3737</v>
      </c>
      <c r="D809" s="7" t="s">
        <v>6</v>
      </c>
      <c r="E809" s="7" t="s">
        <v>45</v>
      </c>
      <c r="F809" s="6" t="s">
        <v>46</v>
      </c>
      <c r="G809" s="7" t="s">
        <v>3738</v>
      </c>
      <c r="H809" s="7" t="s">
        <v>23</v>
      </c>
      <c r="I809" s="6" t="s">
        <v>116</v>
      </c>
      <c r="J809" s="7" t="s">
        <v>757</v>
      </c>
      <c r="K809" s="6" t="s">
        <v>26</v>
      </c>
      <c r="L809" s="7" t="s">
        <v>3739</v>
      </c>
      <c r="M809" s="7" t="s">
        <v>3740</v>
      </c>
      <c r="N809" s="9">
        <v>28492.0</v>
      </c>
    </row>
    <row r="810" ht="19.5" customHeight="1">
      <c r="A810" s="6" t="s">
        <v>3741</v>
      </c>
      <c r="B810" s="7" t="s">
        <v>6</v>
      </c>
      <c r="C810" s="7" t="s">
        <v>3742</v>
      </c>
      <c r="D810" s="7" t="s">
        <v>6</v>
      </c>
      <c r="E810" s="7" t="s">
        <v>45</v>
      </c>
      <c r="F810" s="6" t="s">
        <v>46</v>
      </c>
      <c r="G810" s="7" t="s">
        <v>3743</v>
      </c>
      <c r="H810" s="7" t="s">
        <v>23</v>
      </c>
      <c r="I810" s="6" t="s">
        <v>43</v>
      </c>
      <c r="J810" s="7" t="s">
        <v>3336</v>
      </c>
      <c r="K810" s="6" t="s">
        <v>26</v>
      </c>
      <c r="L810" s="7" t="s">
        <v>3744</v>
      </c>
      <c r="M810" s="7" t="s">
        <v>3745</v>
      </c>
      <c r="N810" s="9">
        <v>24719.0</v>
      </c>
    </row>
    <row r="811" ht="19.5" customHeight="1">
      <c r="A811" s="6" t="s">
        <v>3746</v>
      </c>
      <c r="B811" s="7" t="s">
        <v>6</v>
      </c>
      <c r="C811" s="7" t="s">
        <v>3747</v>
      </c>
      <c r="D811" s="7" t="s">
        <v>6</v>
      </c>
      <c r="E811" s="7" t="s">
        <v>45</v>
      </c>
      <c r="F811" s="6" t="s">
        <v>46</v>
      </c>
      <c r="G811" s="7" t="s">
        <v>3748</v>
      </c>
      <c r="H811" s="7" t="s">
        <v>23</v>
      </c>
      <c r="I811" s="6" t="s">
        <v>140</v>
      </c>
      <c r="J811" s="7" t="s">
        <v>173</v>
      </c>
      <c r="K811" s="6" t="s">
        <v>26</v>
      </c>
      <c r="L811" s="7" t="s">
        <v>3750</v>
      </c>
      <c r="M811" s="7" t="s">
        <v>3751</v>
      </c>
      <c r="N811" s="9">
        <v>30421.0</v>
      </c>
    </row>
    <row r="812" ht="19.5" customHeight="1">
      <c r="A812" s="6" t="s">
        <v>3752</v>
      </c>
      <c r="B812" s="7" t="s">
        <v>6</v>
      </c>
      <c r="C812" s="7" t="s">
        <v>3753</v>
      </c>
      <c r="D812" s="7" t="s">
        <v>6</v>
      </c>
      <c r="E812" s="7" t="s">
        <v>45</v>
      </c>
      <c r="F812" s="6" t="s">
        <v>46</v>
      </c>
      <c r="G812" s="7" t="s">
        <v>3754</v>
      </c>
      <c r="H812" s="7" t="s">
        <v>48</v>
      </c>
      <c r="I812" s="6" t="s">
        <v>32</v>
      </c>
      <c r="J812" s="7" t="s">
        <v>33</v>
      </c>
      <c r="K812" s="6" t="s">
        <v>26</v>
      </c>
      <c r="L812" s="7" t="s">
        <v>3755</v>
      </c>
      <c r="M812" s="7" t="s">
        <v>3756</v>
      </c>
      <c r="N812" s="9">
        <v>27882.0</v>
      </c>
    </row>
    <row r="813" ht="19.5" customHeight="1">
      <c r="A813" s="6" t="s">
        <v>3757</v>
      </c>
      <c r="B813" s="7" t="s">
        <v>6</v>
      </c>
      <c r="C813" s="7" t="s">
        <v>3758</v>
      </c>
      <c r="D813" s="7" t="s">
        <v>6</v>
      </c>
      <c r="E813" s="7" t="s">
        <v>45</v>
      </c>
      <c r="F813" s="6" t="s">
        <v>46</v>
      </c>
      <c r="G813" s="7" t="s">
        <v>3760</v>
      </c>
      <c r="H813" s="7" t="s">
        <v>23</v>
      </c>
      <c r="I813" s="6" t="s">
        <v>87</v>
      </c>
      <c r="J813" s="7" t="s">
        <v>88</v>
      </c>
      <c r="K813" s="6" t="s">
        <v>81</v>
      </c>
      <c r="L813" s="7" t="s">
        <v>3761</v>
      </c>
      <c r="M813" s="7" t="s">
        <v>3762</v>
      </c>
      <c r="N813" s="9">
        <v>26985.0</v>
      </c>
    </row>
    <row r="814" ht="19.5" customHeight="1">
      <c r="A814" s="6" t="s">
        <v>3763</v>
      </c>
      <c r="B814" s="7" t="s">
        <v>6</v>
      </c>
      <c r="C814" s="7" t="s">
        <v>3764</v>
      </c>
      <c r="D814" s="7" t="s">
        <v>6</v>
      </c>
      <c r="E814" s="7" t="s">
        <v>45</v>
      </c>
      <c r="F814" s="6" t="s">
        <v>46</v>
      </c>
      <c r="G814" s="7" t="s">
        <v>3197</v>
      </c>
      <c r="H814" s="7" t="s">
        <v>23</v>
      </c>
      <c r="I814" s="6" t="s">
        <v>159</v>
      </c>
      <c r="J814" s="7" t="s">
        <v>1027</v>
      </c>
      <c r="K814" s="6" t="s">
        <v>26</v>
      </c>
      <c r="L814" s="7" t="s">
        <v>3765</v>
      </c>
      <c r="M814" s="7" t="s">
        <v>3766</v>
      </c>
      <c r="N814" s="9">
        <v>31912.0</v>
      </c>
    </row>
    <row r="815" ht="19.5" customHeight="1">
      <c r="A815" s="6" t="s">
        <v>3767</v>
      </c>
      <c r="B815" s="7" t="s">
        <v>6</v>
      </c>
      <c r="C815" s="7" t="s">
        <v>3768</v>
      </c>
      <c r="D815" s="7" t="s">
        <v>6</v>
      </c>
      <c r="E815" s="7" t="s">
        <v>45</v>
      </c>
      <c r="F815" s="6" t="s">
        <v>46</v>
      </c>
      <c r="G815" s="7" t="s">
        <v>2669</v>
      </c>
      <c r="H815" s="7" t="s">
        <v>23</v>
      </c>
      <c r="I815" s="6" t="s">
        <v>109</v>
      </c>
      <c r="J815" s="7" t="s">
        <v>1680</v>
      </c>
      <c r="K815" s="6" t="s">
        <v>26</v>
      </c>
      <c r="L815" s="7" t="s">
        <v>3769</v>
      </c>
      <c r="M815" s="7" t="s">
        <v>3770</v>
      </c>
      <c r="N815" s="9">
        <v>28332.0</v>
      </c>
    </row>
    <row r="816" ht="19.5" customHeight="1">
      <c r="A816" s="6" t="s">
        <v>3771</v>
      </c>
      <c r="B816" s="7" t="s">
        <v>6</v>
      </c>
      <c r="C816" s="7" t="s">
        <v>3772</v>
      </c>
      <c r="D816" s="7" t="s">
        <v>6</v>
      </c>
      <c r="E816" s="7" t="s">
        <v>45</v>
      </c>
      <c r="F816" s="6" t="s">
        <v>46</v>
      </c>
      <c r="G816" s="7" t="s">
        <v>2114</v>
      </c>
      <c r="H816" s="7" t="s">
        <v>23</v>
      </c>
      <c r="I816" s="6" t="s">
        <v>116</v>
      </c>
      <c r="J816" s="7" t="s">
        <v>757</v>
      </c>
      <c r="K816" s="6" t="s">
        <v>26</v>
      </c>
      <c r="L816" s="7" t="s">
        <v>3773</v>
      </c>
      <c r="M816" s="7" t="s">
        <v>3774</v>
      </c>
      <c r="N816" s="9">
        <v>28691.0</v>
      </c>
    </row>
    <row r="817" ht="19.5" customHeight="1">
      <c r="A817" s="6" t="s">
        <v>3775</v>
      </c>
      <c r="B817" s="7" t="s">
        <v>6</v>
      </c>
      <c r="C817" s="7" t="s">
        <v>3776</v>
      </c>
      <c r="D817" s="7" t="s">
        <v>6</v>
      </c>
      <c r="E817" s="7" t="s">
        <v>45</v>
      </c>
      <c r="F817" s="6" t="s">
        <v>46</v>
      </c>
      <c r="G817" s="7" t="s">
        <v>3777</v>
      </c>
      <c r="H817" s="7" t="s">
        <v>23</v>
      </c>
      <c r="I817" s="6" t="s">
        <v>65</v>
      </c>
      <c r="J817" s="7" t="s">
        <v>2132</v>
      </c>
      <c r="K817" s="6" t="s">
        <v>26</v>
      </c>
      <c r="L817" s="7" t="s">
        <v>3778</v>
      </c>
      <c r="M817" s="7" t="s">
        <v>3779</v>
      </c>
      <c r="N817" s="9">
        <v>25595.0</v>
      </c>
    </row>
    <row r="818" ht="19.5" customHeight="1">
      <c r="A818" s="6" t="s">
        <v>3780</v>
      </c>
      <c r="B818" s="7" t="s">
        <v>6</v>
      </c>
      <c r="C818" s="7" t="s">
        <v>3781</v>
      </c>
      <c r="D818" s="7" t="s">
        <v>6</v>
      </c>
      <c r="E818" s="7" t="s">
        <v>45</v>
      </c>
      <c r="F818" s="6" t="s">
        <v>46</v>
      </c>
      <c r="G818" s="7" t="s">
        <v>3782</v>
      </c>
      <c r="H818" s="7" t="s">
        <v>23</v>
      </c>
      <c r="I818" s="6" t="s">
        <v>43</v>
      </c>
      <c r="J818" s="7" t="s">
        <v>3336</v>
      </c>
      <c r="K818" s="6" t="s">
        <v>26</v>
      </c>
      <c r="L818" s="7" t="s">
        <v>3783</v>
      </c>
      <c r="M818" s="7" t="s">
        <v>3784</v>
      </c>
      <c r="N818" s="9">
        <v>24620.0</v>
      </c>
    </row>
    <row r="819" ht="19.5" customHeight="1">
      <c r="A819" s="6" t="s">
        <v>3785</v>
      </c>
      <c r="B819" s="7" t="s">
        <v>6</v>
      </c>
      <c r="C819" s="7" t="s">
        <v>3786</v>
      </c>
      <c r="D819" s="7" t="s">
        <v>6</v>
      </c>
      <c r="E819" s="7" t="s">
        <v>45</v>
      </c>
      <c r="F819" s="6" t="s">
        <v>46</v>
      </c>
      <c r="G819" s="7" t="s">
        <v>3787</v>
      </c>
      <c r="H819" s="7" t="s">
        <v>23</v>
      </c>
      <c r="I819" s="6" t="s">
        <v>53</v>
      </c>
      <c r="J819" s="7" t="s">
        <v>3326</v>
      </c>
      <c r="K819" s="6" t="s">
        <v>26</v>
      </c>
      <c r="L819" s="7" t="s">
        <v>3788</v>
      </c>
      <c r="M819" s="7" t="s">
        <v>3789</v>
      </c>
      <c r="N819" s="9">
        <v>25025.0</v>
      </c>
    </row>
    <row r="820" ht="19.5" customHeight="1">
      <c r="A820" s="6" t="s">
        <v>3790</v>
      </c>
      <c r="B820" s="7" t="s">
        <v>6</v>
      </c>
      <c r="C820" s="7" t="s">
        <v>3791</v>
      </c>
      <c r="D820" s="7" t="s">
        <v>6</v>
      </c>
      <c r="E820" s="7" t="s">
        <v>45</v>
      </c>
      <c r="F820" s="6" t="s">
        <v>46</v>
      </c>
      <c r="G820" s="7" t="s">
        <v>1841</v>
      </c>
      <c r="H820" s="7" t="s">
        <v>23</v>
      </c>
      <c r="I820" s="6" t="s">
        <v>32</v>
      </c>
      <c r="J820" s="7" t="s">
        <v>33</v>
      </c>
      <c r="K820" s="6" t="s">
        <v>26</v>
      </c>
      <c r="L820" s="7" t="s">
        <v>3792</v>
      </c>
      <c r="M820" s="7" t="s">
        <v>3793</v>
      </c>
      <c r="N820" s="9">
        <v>27792.0</v>
      </c>
    </row>
    <row r="821" ht="19.5" customHeight="1">
      <c r="A821" s="6" t="s">
        <v>3794</v>
      </c>
      <c r="B821" s="7" t="s">
        <v>6</v>
      </c>
      <c r="C821" s="7" t="s">
        <v>3795</v>
      </c>
      <c r="D821" s="7" t="s">
        <v>6</v>
      </c>
      <c r="E821" s="7" t="s">
        <v>45</v>
      </c>
      <c r="F821" s="6" t="s">
        <v>46</v>
      </c>
      <c r="G821" s="7" t="s">
        <v>3796</v>
      </c>
      <c r="H821" s="7" t="s">
        <v>23</v>
      </c>
      <c r="I821" s="6" t="s">
        <v>76</v>
      </c>
      <c r="J821" s="7" t="s">
        <v>2936</v>
      </c>
      <c r="K821" s="6" t="s">
        <v>26</v>
      </c>
      <c r="L821" s="7" t="s">
        <v>3797</v>
      </c>
      <c r="M821" s="7" t="s">
        <v>3798</v>
      </c>
      <c r="N821" s="9">
        <v>26527.0</v>
      </c>
    </row>
    <row r="822" ht="19.5" customHeight="1">
      <c r="A822" s="6" t="s">
        <v>3799</v>
      </c>
      <c r="B822" s="7" t="s">
        <v>6</v>
      </c>
      <c r="C822" s="7" t="s">
        <v>3800</v>
      </c>
      <c r="D822" s="7" t="s">
        <v>6</v>
      </c>
      <c r="E822" s="7" t="s">
        <v>45</v>
      </c>
      <c r="F822" s="6" t="s">
        <v>46</v>
      </c>
      <c r="G822" s="7" t="s">
        <v>3801</v>
      </c>
      <c r="H822" s="7" t="s">
        <v>23</v>
      </c>
      <c r="I822" s="6" t="s">
        <v>53</v>
      </c>
      <c r="J822" s="7" t="s">
        <v>3326</v>
      </c>
      <c r="K822" s="6" t="s">
        <v>26</v>
      </c>
      <c r="L822" s="7" t="s">
        <v>3802</v>
      </c>
      <c r="M822" s="7" t="s">
        <v>3803</v>
      </c>
      <c r="N822" s="9">
        <v>25041.0</v>
      </c>
    </row>
    <row r="823" ht="19.5" customHeight="1">
      <c r="A823" s="6" t="s">
        <v>3804</v>
      </c>
      <c r="B823" s="7" t="s">
        <v>6</v>
      </c>
      <c r="C823" s="7" t="s">
        <v>3805</v>
      </c>
      <c r="D823" s="7" t="s">
        <v>6</v>
      </c>
      <c r="E823" s="7" t="s">
        <v>45</v>
      </c>
      <c r="F823" s="6" t="s">
        <v>46</v>
      </c>
      <c r="G823" s="7" t="s">
        <v>3607</v>
      </c>
      <c r="H823" s="7" t="s">
        <v>23</v>
      </c>
      <c r="I823" s="6" t="s">
        <v>43</v>
      </c>
      <c r="J823" s="7" t="s">
        <v>3336</v>
      </c>
      <c r="K823" s="6" t="s">
        <v>26</v>
      </c>
      <c r="L823" s="7" t="s">
        <v>3806</v>
      </c>
      <c r="M823" s="7" t="s">
        <v>3807</v>
      </c>
      <c r="N823" s="9">
        <v>24683.0</v>
      </c>
    </row>
    <row r="824" ht="19.5" customHeight="1">
      <c r="A824" s="6" t="s">
        <v>3808</v>
      </c>
      <c r="B824" s="7" t="s">
        <v>6</v>
      </c>
      <c r="C824" s="7" t="s">
        <v>3809</v>
      </c>
      <c r="D824" s="7" t="s">
        <v>6</v>
      </c>
      <c r="E824" s="7" t="s">
        <v>45</v>
      </c>
      <c r="F824" s="6" t="s">
        <v>46</v>
      </c>
      <c r="G824" s="7" t="s">
        <v>2245</v>
      </c>
      <c r="H824" s="7" t="s">
        <v>48</v>
      </c>
      <c r="I824" s="6" t="s">
        <v>112</v>
      </c>
      <c r="J824" s="7" t="s">
        <v>113</v>
      </c>
      <c r="K824" s="6" t="s">
        <v>26</v>
      </c>
      <c r="L824" s="7" t="s">
        <v>3810</v>
      </c>
      <c r="M824" s="7" t="s">
        <v>3811</v>
      </c>
      <c r="N824" s="9">
        <v>32545.0</v>
      </c>
    </row>
    <row r="825" ht="19.5" customHeight="1">
      <c r="A825" s="6" t="s">
        <v>3812</v>
      </c>
      <c r="B825" s="7" t="s">
        <v>6</v>
      </c>
      <c r="C825" s="7" t="s">
        <v>3813</v>
      </c>
      <c r="D825" s="7" t="s">
        <v>6</v>
      </c>
      <c r="E825" s="7" t="s">
        <v>45</v>
      </c>
      <c r="F825" s="6" t="s">
        <v>46</v>
      </c>
      <c r="G825" s="7" t="s">
        <v>47</v>
      </c>
      <c r="H825" s="7" t="s">
        <v>48</v>
      </c>
      <c r="I825" s="6" t="s">
        <v>1255</v>
      </c>
      <c r="J825" s="7" t="s">
        <v>1256</v>
      </c>
      <c r="K825" s="6" t="s">
        <v>81</v>
      </c>
      <c r="L825" s="7" t="s">
        <v>3814</v>
      </c>
      <c r="M825" s="7" t="s">
        <v>3815</v>
      </c>
      <c r="N825" s="9">
        <v>32098.0</v>
      </c>
    </row>
    <row r="826" ht="19.5" customHeight="1">
      <c r="A826" s="6" t="s">
        <v>3816</v>
      </c>
      <c r="B826" s="7" t="s">
        <v>6</v>
      </c>
      <c r="C826" s="7" t="s">
        <v>3817</v>
      </c>
      <c r="D826" s="7" t="s">
        <v>6</v>
      </c>
      <c r="E826" s="7" t="s">
        <v>45</v>
      </c>
      <c r="F826" s="6" t="s">
        <v>46</v>
      </c>
      <c r="G826" s="7" t="s">
        <v>2061</v>
      </c>
      <c r="H826" s="7" t="s">
        <v>48</v>
      </c>
      <c r="I826" s="6" t="s">
        <v>159</v>
      </c>
      <c r="J826" s="7" t="s">
        <v>1027</v>
      </c>
      <c r="K826" s="6" t="s">
        <v>26</v>
      </c>
      <c r="L826" s="7" t="s">
        <v>3818</v>
      </c>
      <c r="M826" s="7" t="s">
        <v>3819</v>
      </c>
      <c r="N826" s="9">
        <v>31903.0</v>
      </c>
    </row>
    <row r="827" ht="19.5" customHeight="1">
      <c r="A827" s="6" t="s">
        <v>3820</v>
      </c>
      <c r="B827" s="7" t="s">
        <v>6</v>
      </c>
      <c r="C827" s="7" t="s">
        <v>3821</v>
      </c>
      <c r="D827" s="7" t="s">
        <v>6</v>
      </c>
      <c r="E827" s="7" t="s">
        <v>45</v>
      </c>
      <c r="F827" s="6" t="s">
        <v>46</v>
      </c>
      <c r="G827" s="7" t="s">
        <v>3822</v>
      </c>
      <c r="H827" s="7" t="s">
        <v>23</v>
      </c>
      <c r="I827" s="6" t="s">
        <v>87</v>
      </c>
      <c r="J827" s="7" t="s">
        <v>88</v>
      </c>
      <c r="K827" s="6" t="s">
        <v>26</v>
      </c>
      <c r="L827" s="7" t="s">
        <v>3823</v>
      </c>
      <c r="M827" s="7" t="s">
        <v>3824</v>
      </c>
      <c r="N827" s="9">
        <v>27243.0</v>
      </c>
    </row>
    <row r="828" ht="19.5" customHeight="1">
      <c r="A828" s="6" t="s">
        <v>3825</v>
      </c>
      <c r="B828" s="7" t="s">
        <v>6</v>
      </c>
      <c r="C828" s="7" t="s">
        <v>3826</v>
      </c>
      <c r="D828" s="7" t="s">
        <v>6</v>
      </c>
      <c r="E828" s="7" t="s">
        <v>45</v>
      </c>
      <c r="F828" s="6" t="s">
        <v>46</v>
      </c>
      <c r="G828" s="7" t="s">
        <v>165</v>
      </c>
      <c r="H828" s="7" t="s">
        <v>48</v>
      </c>
      <c r="I828" s="6" t="s">
        <v>24</v>
      </c>
      <c r="J828" s="7" t="s">
        <v>25</v>
      </c>
      <c r="K828" s="6" t="s">
        <v>26</v>
      </c>
      <c r="L828" s="7" t="s">
        <v>3827</v>
      </c>
      <c r="M828" s="7" t="s">
        <v>3828</v>
      </c>
      <c r="N828" s="9">
        <v>34113.0</v>
      </c>
    </row>
    <row r="829" ht="19.5" customHeight="1">
      <c r="A829" s="6" t="s">
        <v>3829</v>
      </c>
      <c r="B829" s="7" t="s">
        <v>6</v>
      </c>
      <c r="C829" s="7" t="s">
        <v>3830</v>
      </c>
      <c r="D829" s="7" t="s">
        <v>6</v>
      </c>
      <c r="E829" s="7" t="s">
        <v>45</v>
      </c>
      <c r="F829" s="6" t="s">
        <v>46</v>
      </c>
      <c r="G829" s="7" t="s">
        <v>3831</v>
      </c>
      <c r="H829" s="7" t="s">
        <v>23</v>
      </c>
      <c r="I829" s="6" t="s">
        <v>128</v>
      </c>
      <c r="J829" s="7" t="s">
        <v>1978</v>
      </c>
      <c r="K829" s="6" t="s">
        <v>81</v>
      </c>
      <c r="L829" s="7" t="s">
        <v>3832</v>
      </c>
      <c r="M829" s="7" t="s">
        <v>6</v>
      </c>
      <c r="N829" s="9">
        <v>29155.0</v>
      </c>
    </row>
    <row r="830" ht="19.5" customHeight="1">
      <c r="A830" s="6" t="s">
        <v>3833</v>
      </c>
      <c r="B830" s="7" t="s">
        <v>6</v>
      </c>
      <c r="C830" s="7" t="s">
        <v>3834</v>
      </c>
      <c r="D830" s="7" t="s">
        <v>6</v>
      </c>
      <c r="E830" s="7" t="s">
        <v>45</v>
      </c>
      <c r="F830" s="6" t="s">
        <v>46</v>
      </c>
      <c r="G830" s="7" t="s">
        <v>3835</v>
      </c>
      <c r="H830" s="7" t="s">
        <v>23</v>
      </c>
      <c r="I830" s="6" t="s">
        <v>143</v>
      </c>
      <c r="J830" s="7" t="s">
        <v>1639</v>
      </c>
      <c r="K830" s="6" t="s">
        <v>26</v>
      </c>
      <c r="L830" s="7" t="s">
        <v>3836</v>
      </c>
      <c r="M830" s="7" t="s">
        <v>3837</v>
      </c>
      <c r="N830" s="9">
        <v>30865.0</v>
      </c>
    </row>
    <row r="831" ht="19.5" customHeight="1">
      <c r="A831" s="6" t="s">
        <v>3838</v>
      </c>
      <c r="B831" s="7" t="s">
        <v>6</v>
      </c>
      <c r="C831" s="7" t="s">
        <v>3839</v>
      </c>
      <c r="D831" s="7" t="s">
        <v>6</v>
      </c>
      <c r="E831" s="7" t="s">
        <v>45</v>
      </c>
      <c r="F831" s="6" t="s">
        <v>46</v>
      </c>
      <c r="G831" s="7" t="s">
        <v>47</v>
      </c>
      <c r="H831" s="7" t="s">
        <v>48</v>
      </c>
      <c r="I831" s="6" t="s">
        <v>87</v>
      </c>
      <c r="J831" s="7" t="s">
        <v>88</v>
      </c>
      <c r="K831" s="6" t="s">
        <v>26</v>
      </c>
      <c r="L831" s="7" t="s">
        <v>3840</v>
      </c>
      <c r="M831" s="7" t="s">
        <v>3841</v>
      </c>
      <c r="N831" s="9">
        <v>27236.0</v>
      </c>
    </row>
    <row r="832" ht="19.5" customHeight="1">
      <c r="A832" s="6" t="s">
        <v>3842</v>
      </c>
      <c r="B832" s="7" t="s">
        <v>6</v>
      </c>
      <c r="C832" s="7" t="s">
        <v>3843</v>
      </c>
      <c r="D832" s="7" t="s">
        <v>6</v>
      </c>
      <c r="E832" s="7" t="s">
        <v>45</v>
      </c>
      <c r="F832" s="6" t="s">
        <v>46</v>
      </c>
      <c r="G832" s="7" t="s">
        <v>3844</v>
      </c>
      <c r="H832" s="7" t="s">
        <v>48</v>
      </c>
      <c r="I832" s="6" t="s">
        <v>148</v>
      </c>
      <c r="J832" s="7" t="s">
        <v>182</v>
      </c>
      <c r="K832" s="6" t="s">
        <v>26</v>
      </c>
      <c r="L832" s="7" t="s">
        <v>3845</v>
      </c>
      <c r="M832" s="7" t="s">
        <v>3846</v>
      </c>
      <c r="N832" s="9">
        <v>31301.0</v>
      </c>
    </row>
    <row r="833" ht="19.5" customHeight="1">
      <c r="A833" s="6" t="s">
        <v>3847</v>
      </c>
      <c r="B833" s="7" t="s">
        <v>6</v>
      </c>
      <c r="C833" s="7" t="s">
        <v>3848</v>
      </c>
      <c r="D833" s="7" t="s">
        <v>6</v>
      </c>
      <c r="E833" s="7" t="s">
        <v>45</v>
      </c>
      <c r="F833" s="6" t="s">
        <v>46</v>
      </c>
      <c r="G833" s="7" t="s">
        <v>2471</v>
      </c>
      <c r="H833" s="7" t="s">
        <v>23</v>
      </c>
      <c r="I833" s="6" t="s">
        <v>159</v>
      </c>
      <c r="J833" s="7" t="s">
        <v>1027</v>
      </c>
      <c r="K833" s="6" t="s">
        <v>26</v>
      </c>
      <c r="L833" s="7" t="s">
        <v>3849</v>
      </c>
      <c r="M833" s="7" t="s">
        <v>3850</v>
      </c>
      <c r="N833" s="9">
        <v>31805.0</v>
      </c>
    </row>
    <row r="834" ht="19.5" customHeight="1">
      <c r="A834" s="6" t="s">
        <v>3851</v>
      </c>
      <c r="B834" s="7" t="s">
        <v>6</v>
      </c>
      <c r="C834" s="7" t="s">
        <v>3852</v>
      </c>
      <c r="D834" s="7" t="s">
        <v>6</v>
      </c>
      <c r="E834" s="7" t="s">
        <v>45</v>
      </c>
      <c r="F834" s="6" t="s">
        <v>46</v>
      </c>
      <c r="G834" s="7" t="s">
        <v>3202</v>
      </c>
      <c r="H834" s="7" t="s">
        <v>48</v>
      </c>
      <c r="I834" s="6" t="s">
        <v>135</v>
      </c>
      <c r="J834" s="7" t="s">
        <v>489</v>
      </c>
      <c r="K834" s="6" t="s">
        <v>26</v>
      </c>
      <c r="L834" s="7" t="s">
        <v>3853</v>
      </c>
      <c r="M834" s="7" t="s">
        <v>3854</v>
      </c>
      <c r="N834" s="9">
        <v>29623.0</v>
      </c>
    </row>
    <row r="835" ht="19.5" customHeight="1">
      <c r="A835" s="6" t="s">
        <v>3855</v>
      </c>
      <c r="B835" s="7" t="s">
        <v>6</v>
      </c>
      <c r="C835" s="7" t="s">
        <v>3856</v>
      </c>
      <c r="D835" s="7" t="s">
        <v>6</v>
      </c>
      <c r="E835" s="7" t="s">
        <v>45</v>
      </c>
      <c r="F835" s="6" t="s">
        <v>46</v>
      </c>
      <c r="G835" s="7" t="s">
        <v>3857</v>
      </c>
      <c r="H835" s="7" t="s">
        <v>23</v>
      </c>
      <c r="I835" s="6" t="s">
        <v>84</v>
      </c>
      <c r="J835" s="7" t="s">
        <v>151</v>
      </c>
      <c r="K835" s="6" t="s">
        <v>26</v>
      </c>
      <c r="L835" s="7" t="s">
        <v>3858</v>
      </c>
      <c r="M835" s="7" t="s">
        <v>3859</v>
      </c>
      <c r="N835" s="9">
        <v>26864.0</v>
      </c>
    </row>
    <row r="836" ht="19.5" customHeight="1">
      <c r="A836" s="6" t="s">
        <v>3860</v>
      </c>
      <c r="B836" s="7" t="s">
        <v>6</v>
      </c>
      <c r="C836" s="7" t="s">
        <v>3861</v>
      </c>
      <c r="D836" s="7" t="s">
        <v>6</v>
      </c>
      <c r="E836" s="7" t="s">
        <v>45</v>
      </c>
      <c r="F836" s="6" t="s">
        <v>46</v>
      </c>
      <c r="G836" s="7" t="s">
        <v>47</v>
      </c>
      <c r="H836" s="7" t="s">
        <v>48</v>
      </c>
      <c r="I836" s="6" t="s">
        <v>124</v>
      </c>
      <c r="J836" s="7" t="s">
        <v>125</v>
      </c>
      <c r="K836" s="6" t="s">
        <v>26</v>
      </c>
      <c r="L836" s="7" t="s">
        <v>3862</v>
      </c>
      <c r="M836" s="7" t="s">
        <v>3863</v>
      </c>
      <c r="N836" s="9">
        <v>33066.0</v>
      </c>
    </row>
    <row r="837" ht="19.5" customHeight="1">
      <c r="A837" s="6" t="s">
        <v>3864</v>
      </c>
      <c r="B837" s="7" t="s">
        <v>6</v>
      </c>
      <c r="C837" s="7" t="s">
        <v>3865</v>
      </c>
      <c r="D837" s="7" t="s">
        <v>6</v>
      </c>
      <c r="E837" s="7" t="s">
        <v>45</v>
      </c>
      <c r="F837" s="6" t="s">
        <v>46</v>
      </c>
      <c r="G837" s="7" t="s">
        <v>1311</v>
      </c>
      <c r="H837" s="7" t="s">
        <v>23</v>
      </c>
      <c r="I837" s="6" t="s">
        <v>128</v>
      </c>
      <c r="J837" s="7" t="s">
        <v>1978</v>
      </c>
      <c r="K837" s="6" t="s">
        <v>26</v>
      </c>
      <c r="L837" s="7" t="s">
        <v>3866</v>
      </c>
      <c r="M837" s="7" t="s">
        <v>3867</v>
      </c>
      <c r="N837" s="9">
        <v>29459.0</v>
      </c>
    </row>
    <row r="838" ht="19.5" customHeight="1">
      <c r="A838" s="6" t="s">
        <v>3868</v>
      </c>
      <c r="B838" s="7" t="s">
        <v>6</v>
      </c>
      <c r="C838" s="7" t="s">
        <v>3869</v>
      </c>
      <c r="D838" s="7" t="s">
        <v>6</v>
      </c>
      <c r="E838" s="7" t="s">
        <v>45</v>
      </c>
      <c r="F838" s="6" t="s">
        <v>46</v>
      </c>
      <c r="G838" s="7" t="s">
        <v>3870</v>
      </c>
      <c r="H838" s="7" t="s">
        <v>48</v>
      </c>
      <c r="I838" s="6" t="s">
        <v>140</v>
      </c>
      <c r="J838" s="7" t="s">
        <v>173</v>
      </c>
      <c r="K838" s="6" t="s">
        <v>81</v>
      </c>
      <c r="L838" s="7" t="s">
        <v>3871</v>
      </c>
      <c r="M838" s="7" t="s">
        <v>3872</v>
      </c>
      <c r="N838" s="9">
        <v>30305.0</v>
      </c>
    </row>
    <row r="839" ht="19.5" customHeight="1">
      <c r="A839" s="6" t="s">
        <v>3873</v>
      </c>
      <c r="B839" s="7" t="s">
        <v>6</v>
      </c>
      <c r="C839" s="7" t="s">
        <v>3874</v>
      </c>
      <c r="D839" s="7" t="s">
        <v>6</v>
      </c>
      <c r="E839" s="7" t="s">
        <v>45</v>
      </c>
      <c r="F839" s="6" t="s">
        <v>46</v>
      </c>
      <c r="G839" s="7" t="s">
        <v>47</v>
      </c>
      <c r="H839" s="7" t="s">
        <v>23</v>
      </c>
      <c r="I839" s="6" t="s">
        <v>124</v>
      </c>
      <c r="J839" s="7" t="s">
        <v>125</v>
      </c>
      <c r="K839" s="6" t="s">
        <v>26</v>
      </c>
      <c r="L839" s="7" t="s">
        <v>3875</v>
      </c>
      <c r="M839" s="7" t="s">
        <v>3876</v>
      </c>
      <c r="N839" s="9">
        <v>32951.0</v>
      </c>
    </row>
    <row r="840" ht="19.5" customHeight="1">
      <c r="A840" s="6" t="s">
        <v>3877</v>
      </c>
      <c r="B840" s="7" t="s">
        <v>6</v>
      </c>
      <c r="C840" s="7" t="s">
        <v>3878</v>
      </c>
      <c r="D840" s="7" t="s">
        <v>6</v>
      </c>
      <c r="E840" s="7" t="s">
        <v>45</v>
      </c>
      <c r="F840" s="6" t="s">
        <v>46</v>
      </c>
      <c r="G840" s="7" t="s">
        <v>3879</v>
      </c>
      <c r="H840" s="7" t="s">
        <v>23</v>
      </c>
      <c r="I840" s="6" t="s">
        <v>3880</v>
      </c>
      <c r="J840" s="7" t="s">
        <v>3881</v>
      </c>
      <c r="K840" s="6" t="s">
        <v>81</v>
      </c>
      <c r="L840" s="7" t="s">
        <v>3882</v>
      </c>
      <c r="M840" s="7" t="s">
        <v>3883</v>
      </c>
      <c r="N840" s="9" t="s">
        <v>3884</v>
      </c>
    </row>
    <row r="841" ht="19.5" customHeight="1">
      <c r="A841" s="6" t="s">
        <v>3885</v>
      </c>
      <c r="B841" s="7" t="s">
        <v>6</v>
      </c>
      <c r="C841" s="7" t="s">
        <v>3886</v>
      </c>
      <c r="D841" s="7" t="s">
        <v>6</v>
      </c>
      <c r="E841" s="7" t="s">
        <v>45</v>
      </c>
      <c r="F841" s="6" t="s">
        <v>46</v>
      </c>
      <c r="G841" s="7" t="s">
        <v>3887</v>
      </c>
      <c r="H841" s="7" t="s">
        <v>48</v>
      </c>
      <c r="I841" s="6" t="s">
        <v>143</v>
      </c>
      <c r="J841" s="7" t="s">
        <v>1639</v>
      </c>
      <c r="K841" s="6" t="s">
        <v>81</v>
      </c>
      <c r="L841" s="7" t="s">
        <v>3888</v>
      </c>
      <c r="M841" s="7" t="s">
        <v>3889</v>
      </c>
      <c r="N841" s="9">
        <v>30622.0</v>
      </c>
    </row>
    <row r="842" ht="19.5" customHeight="1">
      <c r="A842" s="6" t="s">
        <v>3890</v>
      </c>
      <c r="B842" s="7" t="s">
        <v>6</v>
      </c>
      <c r="C842" s="7" t="s">
        <v>3891</v>
      </c>
      <c r="D842" s="7" t="s">
        <v>6</v>
      </c>
      <c r="E842" s="7" t="s">
        <v>45</v>
      </c>
      <c r="F842" s="6" t="s">
        <v>46</v>
      </c>
      <c r="G842" s="7" t="s">
        <v>3892</v>
      </c>
      <c r="H842" s="7" t="s">
        <v>48</v>
      </c>
      <c r="I842" s="6" t="s">
        <v>96</v>
      </c>
      <c r="J842" s="7" t="s">
        <v>3252</v>
      </c>
      <c r="K842" s="6" t="s">
        <v>26</v>
      </c>
      <c r="L842" s="7" t="s">
        <v>3893</v>
      </c>
      <c r="M842" s="7" t="s">
        <v>3894</v>
      </c>
      <c r="N842" s="9">
        <v>27474.0</v>
      </c>
    </row>
    <row r="843" ht="19.5" customHeight="1">
      <c r="A843" s="6" t="s">
        <v>3895</v>
      </c>
      <c r="B843" s="7" t="s">
        <v>6</v>
      </c>
      <c r="C843" s="7" t="s">
        <v>3896</v>
      </c>
      <c r="D843" s="7" t="s">
        <v>6</v>
      </c>
      <c r="E843" s="7" t="s">
        <v>45</v>
      </c>
      <c r="F843" s="6" t="s">
        <v>46</v>
      </c>
      <c r="G843" s="7" t="s">
        <v>3897</v>
      </c>
      <c r="H843" s="7" t="s">
        <v>23</v>
      </c>
      <c r="I843" s="6" t="s">
        <v>109</v>
      </c>
      <c r="J843" s="7" t="s">
        <v>1680</v>
      </c>
      <c r="K843" s="6" t="s">
        <v>26</v>
      </c>
      <c r="L843" s="7" t="s">
        <v>3898</v>
      </c>
      <c r="M843" s="7" t="s">
        <v>3899</v>
      </c>
      <c r="N843" s="9">
        <v>28196.0</v>
      </c>
    </row>
    <row r="844" ht="19.5" customHeight="1">
      <c r="A844" s="6" t="s">
        <v>3900</v>
      </c>
      <c r="B844" s="7" t="s">
        <v>6</v>
      </c>
      <c r="C844" s="7" t="s">
        <v>3901</v>
      </c>
      <c r="D844" s="7" t="s">
        <v>6</v>
      </c>
      <c r="E844" s="7" t="s">
        <v>45</v>
      </c>
      <c r="F844" s="6" t="s">
        <v>46</v>
      </c>
      <c r="G844" s="7" t="s">
        <v>130</v>
      </c>
      <c r="H844" s="7" t="s">
        <v>23</v>
      </c>
      <c r="I844" s="6" t="s">
        <v>96</v>
      </c>
      <c r="J844" s="7" t="s">
        <v>3252</v>
      </c>
      <c r="K844" s="6" t="s">
        <v>81</v>
      </c>
      <c r="L844" s="7" t="s">
        <v>3902</v>
      </c>
      <c r="M844" s="7" t="s">
        <v>3903</v>
      </c>
      <c r="N844" s="9">
        <v>27356.0</v>
      </c>
    </row>
    <row r="845" ht="19.5" customHeight="1">
      <c r="A845" s="6" t="s">
        <v>3904</v>
      </c>
      <c r="B845" s="7" t="s">
        <v>6</v>
      </c>
      <c r="C845" s="7" t="s">
        <v>3905</v>
      </c>
      <c r="D845" s="7" t="s">
        <v>6</v>
      </c>
      <c r="E845" s="7" t="s">
        <v>45</v>
      </c>
      <c r="F845" s="6" t="s">
        <v>46</v>
      </c>
      <c r="G845" s="7" t="s">
        <v>3906</v>
      </c>
      <c r="H845" s="7" t="s">
        <v>23</v>
      </c>
      <c r="I845" s="6" t="s">
        <v>96</v>
      </c>
      <c r="J845" s="7" t="s">
        <v>3252</v>
      </c>
      <c r="K845" s="6" t="s">
        <v>81</v>
      </c>
      <c r="L845" s="7" t="s">
        <v>3907</v>
      </c>
      <c r="M845" s="7" t="s">
        <v>3908</v>
      </c>
      <c r="N845" s="9">
        <v>27348.0</v>
      </c>
    </row>
    <row r="846" ht="19.5" customHeight="1">
      <c r="A846" s="6" t="s">
        <v>3909</v>
      </c>
      <c r="B846" s="7" t="s">
        <v>6</v>
      </c>
      <c r="C846" s="7" t="s">
        <v>3910</v>
      </c>
      <c r="D846" s="7" t="s">
        <v>6</v>
      </c>
      <c r="E846" s="7" t="s">
        <v>45</v>
      </c>
      <c r="F846" s="6" t="s">
        <v>46</v>
      </c>
      <c r="G846" s="7" t="s">
        <v>684</v>
      </c>
      <c r="H846" s="7" t="s">
        <v>23</v>
      </c>
      <c r="I846" s="6" t="s">
        <v>116</v>
      </c>
      <c r="J846" s="7" t="s">
        <v>757</v>
      </c>
      <c r="K846" s="6" t="s">
        <v>26</v>
      </c>
      <c r="L846" s="7" t="s">
        <v>3911</v>
      </c>
      <c r="M846" s="7" t="s">
        <v>3912</v>
      </c>
      <c r="N846" s="9">
        <v>28558.0</v>
      </c>
    </row>
    <row r="847" ht="19.5" customHeight="1">
      <c r="A847" s="6" t="s">
        <v>3913</v>
      </c>
      <c r="B847" s="7" t="s">
        <v>6</v>
      </c>
      <c r="C847" s="7" t="s">
        <v>3914</v>
      </c>
      <c r="D847" s="7" t="s">
        <v>6</v>
      </c>
      <c r="E847" s="7" t="s">
        <v>45</v>
      </c>
      <c r="F847" s="6" t="s">
        <v>46</v>
      </c>
      <c r="G847" s="7" t="s">
        <v>3915</v>
      </c>
      <c r="H847" s="7" t="s">
        <v>48</v>
      </c>
      <c r="I847" s="6" t="s">
        <v>87</v>
      </c>
      <c r="J847" s="7" t="s">
        <v>88</v>
      </c>
      <c r="K847" s="6" t="s">
        <v>26</v>
      </c>
      <c r="L847" s="7" t="s">
        <v>3916</v>
      </c>
      <c r="M847" s="7" t="s">
        <v>3917</v>
      </c>
      <c r="N847" s="9">
        <v>27287.0</v>
      </c>
    </row>
    <row r="848" ht="19.5" customHeight="1">
      <c r="A848" s="6" t="s">
        <v>3918</v>
      </c>
      <c r="B848" s="7" t="s">
        <v>6</v>
      </c>
      <c r="C848" s="7" t="s">
        <v>3919</v>
      </c>
      <c r="D848" s="7" t="s">
        <v>6</v>
      </c>
      <c r="E848" s="7" t="s">
        <v>45</v>
      </c>
      <c r="F848" s="6" t="s">
        <v>46</v>
      </c>
      <c r="G848" s="7" t="s">
        <v>3920</v>
      </c>
      <c r="H848" s="7" t="s">
        <v>23</v>
      </c>
      <c r="I848" s="6" t="s">
        <v>32</v>
      </c>
      <c r="J848" s="7" t="s">
        <v>33</v>
      </c>
      <c r="K848" s="6" t="s">
        <v>26</v>
      </c>
      <c r="L848" s="7" t="s">
        <v>3921</v>
      </c>
      <c r="M848" s="7" t="s">
        <v>3922</v>
      </c>
      <c r="N848" s="9">
        <v>27830.0</v>
      </c>
    </row>
    <row r="849" ht="19.5" customHeight="1">
      <c r="A849" s="6" t="s">
        <v>3923</v>
      </c>
      <c r="B849" s="7" t="s">
        <v>6</v>
      </c>
      <c r="C849" s="7" t="s">
        <v>3924</v>
      </c>
      <c r="D849" s="7" t="s">
        <v>6</v>
      </c>
      <c r="E849" s="7" t="s">
        <v>45</v>
      </c>
      <c r="F849" s="6" t="s">
        <v>46</v>
      </c>
      <c r="G849" s="7" t="s">
        <v>3925</v>
      </c>
      <c r="H849" s="7" t="s">
        <v>48</v>
      </c>
      <c r="I849" s="6" t="s">
        <v>76</v>
      </c>
      <c r="J849" s="7" t="s">
        <v>2936</v>
      </c>
      <c r="K849" s="6" t="s">
        <v>26</v>
      </c>
      <c r="L849" s="7" t="s">
        <v>3926</v>
      </c>
      <c r="M849" s="7" t="s">
        <v>3927</v>
      </c>
      <c r="N849" s="9">
        <v>26528.0</v>
      </c>
    </row>
    <row r="850" ht="19.5" customHeight="1">
      <c r="A850" s="6" t="s">
        <v>3928</v>
      </c>
      <c r="B850" s="7" t="s">
        <v>6</v>
      </c>
      <c r="C850" s="7" t="s">
        <v>3929</v>
      </c>
      <c r="D850" s="7" t="s">
        <v>6</v>
      </c>
      <c r="E850" s="7" t="s">
        <v>45</v>
      </c>
      <c r="F850" s="6" t="s">
        <v>46</v>
      </c>
      <c r="G850" s="7" t="s">
        <v>299</v>
      </c>
      <c r="H850" s="7" t="s">
        <v>23</v>
      </c>
      <c r="I850" s="6" t="s">
        <v>87</v>
      </c>
      <c r="J850" s="7" t="s">
        <v>88</v>
      </c>
      <c r="K850" s="6" t="s">
        <v>81</v>
      </c>
      <c r="L850" s="7" t="s">
        <v>3930</v>
      </c>
      <c r="M850" s="7" t="s">
        <v>3931</v>
      </c>
      <c r="N850" s="9">
        <v>26966.0</v>
      </c>
    </row>
    <row r="851" ht="19.5" customHeight="1">
      <c r="A851" s="6" t="s">
        <v>3932</v>
      </c>
      <c r="B851" s="7" t="s">
        <v>6</v>
      </c>
      <c r="C851" s="7" t="s">
        <v>3933</v>
      </c>
      <c r="D851" s="7" t="s">
        <v>6</v>
      </c>
      <c r="E851" s="7" t="s">
        <v>3934</v>
      </c>
      <c r="F851" s="6" t="s">
        <v>3935</v>
      </c>
      <c r="G851" s="7" t="s">
        <v>47</v>
      </c>
      <c r="H851" s="7" t="s">
        <v>48</v>
      </c>
      <c r="I851" s="6" t="s">
        <v>124</v>
      </c>
      <c r="J851" s="7" t="s">
        <v>125</v>
      </c>
      <c r="K851" s="6" t="s">
        <v>81</v>
      </c>
      <c r="L851" s="7" t="s">
        <v>3936</v>
      </c>
      <c r="M851" s="7" t="s">
        <v>6</v>
      </c>
      <c r="N851" s="9">
        <v>32802.0</v>
      </c>
    </row>
    <row r="852" ht="19.5" customHeight="1">
      <c r="A852" s="6" t="s">
        <v>3937</v>
      </c>
      <c r="B852" s="7" t="s">
        <v>6</v>
      </c>
      <c r="C852" s="7" t="s">
        <v>3938</v>
      </c>
      <c r="D852" s="7" t="s">
        <v>6</v>
      </c>
      <c r="E852" s="7" t="s">
        <v>3934</v>
      </c>
      <c r="F852" s="6" t="s">
        <v>3935</v>
      </c>
      <c r="G852" s="7" t="s">
        <v>47</v>
      </c>
      <c r="H852" s="7" t="s">
        <v>48</v>
      </c>
      <c r="I852" s="6" t="s">
        <v>112</v>
      </c>
      <c r="J852" s="7" t="s">
        <v>113</v>
      </c>
      <c r="K852" s="6" t="s">
        <v>26</v>
      </c>
      <c r="L852" s="7" t="s">
        <v>3939</v>
      </c>
      <c r="M852" s="7" t="s">
        <v>6</v>
      </c>
      <c r="N852" s="9">
        <v>32546.0</v>
      </c>
    </row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C4" s="8" t="s">
        <v>18</v>
      </c>
    </row>
  </sheetData>
  <mergeCells count="1">
    <mergeCell ref="C4:Q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63"/>
    <col customWidth="1" min="2" max="2" width="23.38"/>
    <col customWidth="1" min="3" max="3" width="30.38"/>
    <col customWidth="1" min="4" max="4" width="34.13"/>
    <col customWidth="1" min="5" max="5" width="14.5"/>
    <col customWidth="1" min="6" max="6" width="14.13"/>
    <col customWidth="1" min="7" max="7" width="19.75"/>
  </cols>
  <sheetData>
    <row r="1" ht="22.5" customHeight="1">
      <c r="A1" s="10" t="s">
        <v>505</v>
      </c>
      <c r="B1" s="10" t="s">
        <v>529</v>
      </c>
      <c r="C1" s="10" t="s">
        <v>536</v>
      </c>
      <c r="D1" s="10" t="s">
        <v>541</v>
      </c>
      <c r="E1" s="10" t="s">
        <v>549</v>
      </c>
      <c r="F1" s="10" t="s">
        <v>554</v>
      </c>
      <c r="G1" s="10" t="s">
        <v>559</v>
      </c>
    </row>
    <row r="2" ht="22.5" customHeight="1">
      <c r="A2" s="11">
        <v>46260.38503957176</v>
      </c>
      <c r="B2" s="12" t="s">
        <v>569</v>
      </c>
      <c r="C2" s="12" t="s">
        <v>578</v>
      </c>
      <c r="E2" s="15" t="s">
        <v>583</v>
      </c>
    </row>
    <row r="3" ht="22.5" customHeight="1">
      <c r="A3" s="11">
        <v>46260.383010474536</v>
      </c>
      <c r="B3" s="12" t="s">
        <v>569</v>
      </c>
      <c r="C3" s="12" t="s">
        <v>578</v>
      </c>
      <c r="E3" s="15" t="s">
        <v>583</v>
      </c>
    </row>
    <row r="4" ht="22.5" customHeight="1">
      <c r="A4" s="11">
        <v>46260.38180040509</v>
      </c>
      <c r="B4" s="12" t="s">
        <v>733</v>
      </c>
      <c r="C4" s="12" t="s">
        <v>740</v>
      </c>
      <c r="D4" s="12" t="s">
        <v>754</v>
      </c>
      <c r="E4" s="15" t="s">
        <v>583</v>
      </c>
      <c r="G4" s="12" t="s">
        <v>768</v>
      </c>
    </row>
    <row r="5" ht="22.5" customHeight="1">
      <c r="A5" s="11">
        <v>46260.37360009259</v>
      </c>
      <c r="B5" s="12" t="s">
        <v>733</v>
      </c>
      <c r="C5" s="12" t="s">
        <v>740</v>
      </c>
      <c r="D5" s="12" t="s">
        <v>754</v>
      </c>
      <c r="E5" s="15" t="s">
        <v>583</v>
      </c>
      <c r="G5" s="12" t="s">
        <v>768</v>
      </c>
    </row>
    <row r="6" ht="22.5" customHeight="1">
      <c r="A6" s="11">
        <v>46260.122538194446</v>
      </c>
      <c r="B6" s="12" t="s">
        <v>733</v>
      </c>
      <c r="C6" s="12" t="s">
        <v>740</v>
      </c>
      <c r="D6" s="12" t="s">
        <v>754</v>
      </c>
      <c r="E6" s="15" t="s">
        <v>583</v>
      </c>
      <c r="G6" s="12" t="s">
        <v>768</v>
      </c>
    </row>
    <row r="7" ht="22.5" customHeight="1">
      <c r="A7" s="11">
        <v>46260.122032569445</v>
      </c>
      <c r="B7" s="12" t="s">
        <v>733</v>
      </c>
      <c r="C7" s="12" t="s">
        <v>740</v>
      </c>
      <c r="D7" s="12" t="s">
        <v>754</v>
      </c>
      <c r="E7" s="15" t="s">
        <v>583</v>
      </c>
      <c r="G7" s="12" t="s">
        <v>768</v>
      </c>
    </row>
    <row r="8" ht="22.5" customHeight="1">
      <c r="A8" s="11">
        <v>46259.6176400463</v>
      </c>
      <c r="B8" s="12" t="s">
        <v>569</v>
      </c>
      <c r="C8" s="12" t="s">
        <v>578</v>
      </c>
      <c r="E8" s="15" t="s">
        <v>583</v>
      </c>
    </row>
    <row r="9" ht="22.5" customHeight="1">
      <c r="A9" s="11">
        <v>46259.30420658565</v>
      </c>
      <c r="B9" s="12" t="s">
        <v>733</v>
      </c>
      <c r="C9" s="12" t="s">
        <v>740</v>
      </c>
      <c r="D9" s="12" t="s">
        <v>754</v>
      </c>
      <c r="E9" s="15" t="s">
        <v>583</v>
      </c>
      <c r="G9" s="12" t="s">
        <v>768</v>
      </c>
    </row>
    <row r="10" ht="22.5" customHeight="1">
      <c r="A10" s="11">
        <v>46259.26518371528</v>
      </c>
      <c r="B10" s="12" t="s">
        <v>569</v>
      </c>
      <c r="C10" s="12" t="s">
        <v>578</v>
      </c>
      <c r="E10" s="15" t="s">
        <v>583</v>
      </c>
    </row>
    <row r="11" ht="22.5" customHeight="1">
      <c r="A11" s="11">
        <v>46259.110008020834</v>
      </c>
      <c r="B11" s="12" t="s">
        <v>569</v>
      </c>
      <c r="C11" s="12" t="s">
        <v>578</v>
      </c>
      <c r="E11" s="15" t="s">
        <v>583</v>
      </c>
    </row>
    <row r="12" ht="22.5" customHeight="1">
      <c r="A12" s="11">
        <v>46259.10921826389</v>
      </c>
      <c r="B12" s="12" t="s">
        <v>733</v>
      </c>
      <c r="C12" s="12" t="s">
        <v>740</v>
      </c>
      <c r="D12" s="12" t="s">
        <v>754</v>
      </c>
      <c r="E12" s="15" t="s">
        <v>583</v>
      </c>
      <c r="G12" s="12" t="s">
        <v>768</v>
      </c>
    </row>
    <row r="13" ht="22.5" customHeight="1">
      <c r="A13" s="11">
        <v>46259.08217346064</v>
      </c>
      <c r="B13" s="12" t="s">
        <v>733</v>
      </c>
      <c r="C13" s="12" t="s">
        <v>740</v>
      </c>
      <c r="D13" s="12" t="s">
        <v>754</v>
      </c>
      <c r="E13" s="15" t="s">
        <v>583</v>
      </c>
      <c r="G13" s="12" t="s">
        <v>768</v>
      </c>
    </row>
    <row r="14" ht="22.5" customHeight="1">
      <c r="A14" s="11">
        <v>46258.60522053241</v>
      </c>
      <c r="B14" s="12" t="s">
        <v>733</v>
      </c>
      <c r="C14" s="12" t="s">
        <v>740</v>
      </c>
      <c r="D14" s="12" t="s">
        <v>754</v>
      </c>
      <c r="E14" s="15" t="s">
        <v>583</v>
      </c>
      <c r="G14" s="12" t="s">
        <v>768</v>
      </c>
    </row>
    <row r="15" ht="22.5" customHeight="1">
      <c r="A15" s="11">
        <v>46258.30682603009</v>
      </c>
      <c r="B15" s="12" t="s">
        <v>1350</v>
      </c>
      <c r="C15" s="12" t="s">
        <v>578</v>
      </c>
      <c r="E15" s="15" t="s">
        <v>583</v>
      </c>
    </row>
    <row r="16" ht="22.5" customHeight="1">
      <c r="A16" s="11">
        <v>46258.30679299768</v>
      </c>
      <c r="B16" s="12" t="s">
        <v>1390</v>
      </c>
      <c r="C16" s="12" t="s">
        <v>578</v>
      </c>
      <c r="E16" s="15" t="s">
        <v>583</v>
      </c>
    </row>
    <row r="17" ht="22.5" customHeight="1">
      <c r="A17" s="11">
        <v>46258.30638098379</v>
      </c>
      <c r="B17" s="12" t="s">
        <v>569</v>
      </c>
      <c r="C17" s="12" t="s">
        <v>578</v>
      </c>
      <c r="E17" s="15" t="s">
        <v>583</v>
      </c>
    </row>
    <row r="18" ht="22.5" customHeight="1">
      <c r="A18" s="11">
        <v>46258.279577511574</v>
      </c>
      <c r="B18" s="12" t="s">
        <v>733</v>
      </c>
      <c r="C18" s="12" t="s">
        <v>740</v>
      </c>
      <c r="D18" s="12" t="s">
        <v>812</v>
      </c>
      <c r="E18" s="15" t="s">
        <v>583</v>
      </c>
      <c r="G18" s="12" t="s">
        <v>768</v>
      </c>
    </row>
    <row r="19" ht="22.5" customHeight="1">
      <c r="A19" s="11">
        <v>46258.27380435185</v>
      </c>
      <c r="B19" s="12" t="s">
        <v>733</v>
      </c>
      <c r="C19" s="12" t="s">
        <v>740</v>
      </c>
      <c r="D19" s="12" t="s">
        <v>812</v>
      </c>
      <c r="E19" s="15" t="s">
        <v>583</v>
      </c>
      <c r="G19" s="12" t="s">
        <v>768</v>
      </c>
    </row>
    <row r="20" ht="22.5" customHeight="1">
      <c r="A20" s="11">
        <v>46258.267702847224</v>
      </c>
      <c r="B20" s="12" t="s">
        <v>733</v>
      </c>
      <c r="C20" s="12" t="s">
        <v>740</v>
      </c>
      <c r="D20" s="12" t="s">
        <v>754</v>
      </c>
      <c r="E20" s="15" t="s">
        <v>583</v>
      </c>
      <c r="G20" s="12" t="s">
        <v>768</v>
      </c>
    </row>
    <row r="21" ht="22.5" customHeight="1">
      <c r="A21" s="11">
        <v>46258.26056469907</v>
      </c>
      <c r="B21" s="12" t="s">
        <v>733</v>
      </c>
      <c r="C21" s="12" t="s">
        <v>740</v>
      </c>
      <c r="D21" s="12" t="s">
        <v>754</v>
      </c>
      <c r="E21" s="15" t="s">
        <v>583</v>
      </c>
      <c r="G21" s="12" t="s">
        <v>768</v>
      </c>
    </row>
    <row r="22" ht="22.5" customHeight="1">
      <c r="A22" s="11">
        <v>46258.23452087963</v>
      </c>
      <c r="B22" s="12" t="s">
        <v>733</v>
      </c>
      <c r="C22" s="12" t="s">
        <v>740</v>
      </c>
      <c r="D22" s="12" t="s">
        <v>754</v>
      </c>
      <c r="E22" s="15" t="s">
        <v>583</v>
      </c>
      <c r="G22" s="12" t="s">
        <v>768</v>
      </c>
    </row>
    <row r="23" ht="22.5" customHeight="1">
      <c r="A23" s="11">
        <v>46258.22703303241</v>
      </c>
      <c r="B23" s="12" t="s">
        <v>733</v>
      </c>
      <c r="C23" s="12" t="s">
        <v>740</v>
      </c>
      <c r="D23" s="12" t="s">
        <v>754</v>
      </c>
      <c r="E23" s="15" t="s">
        <v>583</v>
      </c>
      <c r="G23" s="12" t="s">
        <v>768</v>
      </c>
    </row>
    <row r="24" ht="22.5" customHeight="1">
      <c r="A24" s="11">
        <v>46258.226281967596</v>
      </c>
      <c r="B24" s="12" t="s">
        <v>733</v>
      </c>
      <c r="C24" s="12" t="s">
        <v>740</v>
      </c>
      <c r="D24" s="12" t="s">
        <v>754</v>
      </c>
      <c r="E24" s="15" t="s">
        <v>583</v>
      </c>
      <c r="G24" s="12" t="s">
        <v>768</v>
      </c>
    </row>
    <row r="25" ht="22.5" customHeight="1">
      <c r="A25" s="11">
        <v>46258.225742615745</v>
      </c>
      <c r="B25" s="12" t="s">
        <v>733</v>
      </c>
      <c r="C25" s="12" t="s">
        <v>740</v>
      </c>
      <c r="D25" s="12" t="s">
        <v>754</v>
      </c>
      <c r="E25" s="15" t="s">
        <v>583</v>
      </c>
      <c r="G25" s="12" t="s">
        <v>768</v>
      </c>
    </row>
    <row r="26" ht="22.5" customHeight="1">
      <c r="A26" s="11">
        <v>46258.17143325231</v>
      </c>
      <c r="B26" s="12" t="s">
        <v>733</v>
      </c>
      <c r="C26" s="12" t="s">
        <v>740</v>
      </c>
      <c r="D26" s="12" t="s">
        <v>754</v>
      </c>
      <c r="E26" s="15" t="s">
        <v>583</v>
      </c>
      <c r="G26" s="12" t="s">
        <v>768</v>
      </c>
    </row>
    <row r="27" ht="22.5" customHeight="1">
      <c r="A27" s="11">
        <v>46258.1691475</v>
      </c>
      <c r="B27" s="12" t="s">
        <v>733</v>
      </c>
      <c r="C27" s="12" t="s">
        <v>740</v>
      </c>
      <c r="D27" s="12" t="s">
        <v>754</v>
      </c>
      <c r="E27" s="15" t="s">
        <v>583</v>
      </c>
      <c r="G27" s="12" t="s">
        <v>768</v>
      </c>
    </row>
    <row r="28" ht="22.5" customHeight="1">
      <c r="A28" s="11">
        <v>46258.16776037037</v>
      </c>
      <c r="B28" s="12" t="s">
        <v>733</v>
      </c>
      <c r="C28" s="12" t="s">
        <v>740</v>
      </c>
      <c r="D28" s="12" t="s">
        <v>754</v>
      </c>
      <c r="E28" s="15" t="s">
        <v>583</v>
      </c>
      <c r="G28" s="12" t="s">
        <v>768</v>
      </c>
    </row>
    <row r="29" ht="22.5" customHeight="1">
      <c r="A29" s="11">
        <v>46258.15377256944</v>
      </c>
      <c r="B29" s="12" t="s">
        <v>733</v>
      </c>
      <c r="C29" s="12" t="s">
        <v>740</v>
      </c>
      <c r="D29" s="12" t="s">
        <v>754</v>
      </c>
      <c r="E29" s="15" t="s">
        <v>583</v>
      </c>
      <c r="G29" s="12" t="s">
        <v>768</v>
      </c>
    </row>
    <row r="30" ht="22.5" customHeight="1">
      <c r="A30" s="11">
        <v>46258.145258668985</v>
      </c>
      <c r="B30" s="12" t="s">
        <v>733</v>
      </c>
      <c r="C30" s="12" t="s">
        <v>740</v>
      </c>
      <c r="D30" s="12" t="s">
        <v>754</v>
      </c>
      <c r="E30" s="15" t="s">
        <v>583</v>
      </c>
      <c r="G30" s="12" t="s">
        <v>768</v>
      </c>
    </row>
    <row r="31" ht="22.5" customHeight="1">
      <c r="A31" s="11">
        <v>46258.13719003472</v>
      </c>
      <c r="B31" s="12" t="s">
        <v>733</v>
      </c>
      <c r="C31" s="12" t="s">
        <v>740</v>
      </c>
      <c r="D31" s="12" t="s">
        <v>754</v>
      </c>
      <c r="E31" s="15" t="s">
        <v>583</v>
      </c>
      <c r="G31" s="12" t="s">
        <v>768</v>
      </c>
    </row>
    <row r="32" ht="22.5" customHeight="1">
      <c r="A32" s="11">
        <v>46258.131142488426</v>
      </c>
      <c r="B32" s="12" t="s">
        <v>733</v>
      </c>
      <c r="C32" s="12" t="s">
        <v>740</v>
      </c>
      <c r="D32" s="12" t="s">
        <v>754</v>
      </c>
      <c r="E32" s="15" t="s">
        <v>583</v>
      </c>
      <c r="G32" s="12" t="s">
        <v>768</v>
      </c>
    </row>
    <row r="33" ht="22.5" customHeight="1">
      <c r="A33" s="11">
        <v>46258.117817465274</v>
      </c>
      <c r="B33" s="12" t="s">
        <v>733</v>
      </c>
      <c r="C33" s="12" t="s">
        <v>740</v>
      </c>
      <c r="D33" s="12" t="s">
        <v>754</v>
      </c>
      <c r="E33" s="15" t="s">
        <v>583</v>
      </c>
      <c r="G33" s="12" t="s">
        <v>768</v>
      </c>
    </row>
    <row r="34" ht="22.5" customHeight="1">
      <c r="A34" s="11">
        <v>46258.11180881945</v>
      </c>
      <c r="B34" s="12" t="s">
        <v>733</v>
      </c>
      <c r="C34" s="12" t="s">
        <v>740</v>
      </c>
      <c r="D34" s="12" t="s">
        <v>754</v>
      </c>
      <c r="E34" s="15" t="s">
        <v>583</v>
      </c>
      <c r="G34" s="12" t="s">
        <v>768</v>
      </c>
    </row>
    <row r="35" ht="22.5" customHeight="1">
      <c r="A35" s="11">
        <v>46258.08968387732</v>
      </c>
      <c r="B35" s="12" t="s">
        <v>733</v>
      </c>
      <c r="C35" s="12" t="s">
        <v>740</v>
      </c>
      <c r="D35" s="12" t="s">
        <v>2344</v>
      </c>
      <c r="E35" s="15" t="s">
        <v>583</v>
      </c>
      <c r="G35" s="12" t="s">
        <v>768</v>
      </c>
    </row>
    <row r="36" ht="22.5" customHeight="1">
      <c r="A36" s="11">
        <v>46258.08155841436</v>
      </c>
      <c r="B36" s="12" t="s">
        <v>733</v>
      </c>
      <c r="C36" s="12" t="s">
        <v>740</v>
      </c>
      <c r="D36" s="12" t="s">
        <v>2344</v>
      </c>
      <c r="E36" s="15" t="s">
        <v>2399</v>
      </c>
      <c r="F36" s="12" t="s">
        <v>2406</v>
      </c>
    </row>
    <row r="37" ht="22.5" customHeight="1">
      <c r="A37" s="11">
        <v>46258.078621608794</v>
      </c>
      <c r="B37" s="12" t="s">
        <v>733</v>
      </c>
      <c r="C37" s="12" t="s">
        <v>740</v>
      </c>
      <c r="D37" s="12" t="s">
        <v>754</v>
      </c>
      <c r="E37" s="15" t="s">
        <v>2399</v>
      </c>
      <c r="F37" s="12" t="s">
        <v>2406</v>
      </c>
    </row>
    <row r="38" ht="22.5" customHeight="1">
      <c r="A38" s="11">
        <v>46258.077167048614</v>
      </c>
      <c r="B38" s="12" t="s">
        <v>733</v>
      </c>
      <c r="C38" s="12" t="s">
        <v>740</v>
      </c>
      <c r="D38" s="12" t="s">
        <v>754</v>
      </c>
      <c r="E38" s="15" t="s">
        <v>2399</v>
      </c>
      <c r="F38" s="12" t="s">
        <v>2406</v>
      </c>
    </row>
    <row r="39" ht="22.5" customHeight="1">
      <c r="A39" s="41">
        <v>46261.10025670139</v>
      </c>
      <c r="B39" s="42" t="s">
        <v>733</v>
      </c>
      <c r="C39" s="42" t="s">
        <v>740</v>
      </c>
      <c r="D39" s="42" t="s">
        <v>754</v>
      </c>
      <c r="E39" s="43" t="s">
        <v>583</v>
      </c>
      <c r="F39" s="42"/>
      <c r="G39" s="42" t="s">
        <v>768</v>
      </c>
    </row>
    <row r="40" ht="22.5" customHeight="1">
      <c r="A40" s="41">
        <v>46261.121039826394</v>
      </c>
      <c r="B40" s="42" t="s">
        <v>569</v>
      </c>
      <c r="C40" s="42" t="s">
        <v>578</v>
      </c>
      <c r="D40" s="42"/>
      <c r="E40" s="43" t="s">
        <v>583</v>
      </c>
      <c r="F40" s="42"/>
      <c r="G40" s="42"/>
    </row>
    <row r="41" ht="22.5" customHeight="1">
      <c r="A41" s="41">
        <v>46261.12766803241</v>
      </c>
      <c r="B41" s="42" t="s">
        <v>733</v>
      </c>
      <c r="C41" s="42" t="s">
        <v>740</v>
      </c>
      <c r="D41" s="42" t="s">
        <v>754</v>
      </c>
      <c r="E41" s="43" t="s">
        <v>583</v>
      </c>
      <c r="F41" s="42"/>
      <c r="G41" s="42" t="s">
        <v>768</v>
      </c>
    </row>
    <row r="42" ht="22.5" customHeight="1">
      <c r="A42" s="41">
        <v>46273.26780004629</v>
      </c>
      <c r="B42" s="42" t="s">
        <v>569</v>
      </c>
      <c r="C42" s="42" t="s">
        <v>578</v>
      </c>
      <c r="D42" s="42"/>
      <c r="E42" s="43" t="s">
        <v>2736</v>
      </c>
      <c r="F42" s="42"/>
      <c r="G42" s="42"/>
    </row>
    <row r="43" ht="22.5" customHeight="1">
      <c r="A43" s="41">
        <v>46273.26810460648</v>
      </c>
      <c r="B43" s="42" t="s">
        <v>569</v>
      </c>
      <c r="C43" s="42" t="s">
        <v>578</v>
      </c>
      <c r="D43" s="42"/>
      <c r="E43" s="43" t="s">
        <v>583</v>
      </c>
      <c r="F43" s="42"/>
      <c r="G43" s="42"/>
    </row>
    <row r="44" ht="22.5" customHeight="1">
      <c r="A44" s="41">
        <v>46274.26076641204</v>
      </c>
      <c r="B44" s="42" t="s">
        <v>569</v>
      </c>
      <c r="C44" s="42" t="s">
        <v>578</v>
      </c>
      <c r="D44" s="42"/>
      <c r="E44" s="43" t="s">
        <v>583</v>
      </c>
      <c r="F44" s="42"/>
      <c r="G44" s="42"/>
    </row>
    <row r="45" ht="22.5" customHeight="1">
      <c r="A45" s="41">
        <v>46282.16842717593</v>
      </c>
      <c r="B45" s="42" t="s">
        <v>569</v>
      </c>
      <c r="C45" s="42" t="s">
        <v>578</v>
      </c>
      <c r="D45" s="42"/>
      <c r="E45" s="43" t="s">
        <v>583</v>
      </c>
      <c r="F45" s="42"/>
      <c r="G45" s="42"/>
    </row>
    <row r="46" ht="22.5" customHeight="1">
      <c r="A46" s="41">
        <v>46295.33490873843</v>
      </c>
      <c r="B46" s="42" t="s">
        <v>733</v>
      </c>
      <c r="C46" s="42" t="s">
        <v>740</v>
      </c>
      <c r="D46" s="42" t="s">
        <v>2967</v>
      </c>
      <c r="E46" s="43" t="s">
        <v>583</v>
      </c>
      <c r="F46" s="42"/>
      <c r="G46" s="42" t="s">
        <v>768</v>
      </c>
    </row>
    <row r="47" ht="22.5" customHeight="1">
      <c r="A47" s="41">
        <v>46297.349431400464</v>
      </c>
      <c r="B47" s="42" t="s">
        <v>569</v>
      </c>
      <c r="C47" s="42" t="s">
        <v>578</v>
      </c>
      <c r="D47" s="42"/>
      <c r="E47" s="43" t="s">
        <v>583</v>
      </c>
      <c r="F47" s="42"/>
      <c r="G47" s="42"/>
    </row>
    <row r="48" ht="22.5" customHeight="1">
      <c r="A48" s="41">
        <v>46303.29447628472</v>
      </c>
      <c r="B48" s="42" t="s">
        <v>569</v>
      </c>
      <c r="C48" s="42" t="s">
        <v>578</v>
      </c>
      <c r="D48" s="42"/>
      <c r="E48" s="43" t="s">
        <v>583</v>
      </c>
      <c r="F48" s="42"/>
      <c r="G48" s="42"/>
    </row>
    <row r="49" ht="22.5" customHeight="1">
      <c r="A49" s="41">
        <v>46304.062688425925</v>
      </c>
      <c r="B49" s="42" t="s">
        <v>569</v>
      </c>
      <c r="C49" s="42" t="s">
        <v>578</v>
      </c>
      <c r="D49" s="42"/>
      <c r="E49" s="43" t="s">
        <v>583</v>
      </c>
      <c r="F49" s="42"/>
      <c r="G49" s="42"/>
    </row>
    <row r="50" ht="22.5" customHeight="1">
      <c r="A50" s="41">
        <v>46304.27974989583</v>
      </c>
      <c r="B50" s="42" t="s">
        <v>733</v>
      </c>
      <c r="C50" s="42" t="s">
        <v>740</v>
      </c>
      <c r="D50" s="42" t="s">
        <v>3242</v>
      </c>
      <c r="E50" s="43" t="s">
        <v>583</v>
      </c>
      <c r="F50" s="42"/>
      <c r="G50" s="42" t="s">
        <v>768</v>
      </c>
    </row>
    <row r="51" ht="22.5" customHeight="1">
      <c r="A51" s="41">
        <v>46304.355081030095</v>
      </c>
      <c r="B51" s="42" t="s">
        <v>569</v>
      </c>
      <c r="C51" s="42" t="s">
        <v>578</v>
      </c>
      <c r="D51" s="42"/>
      <c r="E51" s="43" t="s">
        <v>583</v>
      </c>
      <c r="F51" s="42"/>
      <c r="G51" s="42"/>
    </row>
    <row r="52" ht="22.5" customHeight="1">
      <c r="A52" s="41">
        <v>46306.14648760417</v>
      </c>
      <c r="B52" s="42" t="s">
        <v>569</v>
      </c>
      <c r="C52" s="42" t="s">
        <v>578</v>
      </c>
      <c r="D52" s="42"/>
      <c r="E52" s="43" t="s">
        <v>583</v>
      </c>
      <c r="F52" s="42"/>
      <c r="G52" s="42"/>
    </row>
    <row r="53" ht="22.5" customHeight="1">
      <c r="A53" s="41">
        <v>46307.24671869213</v>
      </c>
      <c r="B53" s="42" t="s">
        <v>569</v>
      </c>
      <c r="C53" s="42" t="s">
        <v>578</v>
      </c>
      <c r="D53" s="42"/>
      <c r="E53" s="43" t="s">
        <v>583</v>
      </c>
      <c r="F53" s="42"/>
      <c r="G53" s="42"/>
    </row>
    <row r="54" ht="22.5" customHeight="1">
      <c r="A54" s="41">
        <v>46307.509926122686</v>
      </c>
      <c r="B54" s="42" t="s">
        <v>569</v>
      </c>
      <c r="C54" s="42" t="s">
        <v>578</v>
      </c>
      <c r="D54" s="42"/>
      <c r="E54" s="43" t="s">
        <v>583</v>
      </c>
      <c r="F54" s="42"/>
      <c r="G54" s="42"/>
    </row>
    <row r="55" ht="22.5" customHeight="1">
      <c r="A55" s="41">
        <v>46310.31387971065</v>
      </c>
      <c r="B55" s="42" t="s">
        <v>569</v>
      </c>
      <c r="C55" s="42" t="s">
        <v>578</v>
      </c>
      <c r="D55" s="42"/>
      <c r="E55" s="43" t="s">
        <v>583</v>
      </c>
      <c r="F55" s="42"/>
      <c r="G55" s="42"/>
    </row>
    <row r="56" ht="22.5" customHeight="1">
      <c r="A56" s="41">
        <v>46310.34918171296</v>
      </c>
      <c r="B56" s="42" t="s">
        <v>569</v>
      </c>
      <c r="C56" s="42" t="s">
        <v>578</v>
      </c>
      <c r="D56" s="42"/>
      <c r="E56" s="43" t="s">
        <v>583</v>
      </c>
      <c r="F56" s="42"/>
      <c r="G56" s="42"/>
    </row>
  </sheetData>
  <dataValidations>
    <dataValidation type="list" allowBlank="1" showDropDown="1" showErrorMessage="1" sqref="E2:E56">
      <formula1>"success,fail_recaptcha"</formula1>
    </dataValidation>
    <dataValidation type="custom" allowBlank="1" showDropDown="1" sqref="A2:A56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8" t="s">
        <v>769</v>
      </c>
      <c r="B1" s="18" t="s">
        <v>772</v>
      </c>
      <c r="C1" s="18" t="s">
        <v>774</v>
      </c>
      <c r="D1" s="18" t="s">
        <v>579</v>
      </c>
      <c r="E1" s="18" t="s">
        <v>587</v>
      </c>
      <c r="F1" s="18" t="s">
        <v>595</v>
      </c>
      <c r="G1" s="18" t="s">
        <v>781</v>
      </c>
      <c r="H1" s="18" t="s">
        <v>783</v>
      </c>
      <c r="I1" s="18" t="s">
        <v>785</v>
      </c>
      <c r="J1" s="18" t="s">
        <v>786</v>
      </c>
      <c r="K1" s="18" t="s">
        <v>788</v>
      </c>
      <c r="L1" s="18" t="s">
        <v>791</v>
      </c>
      <c r="M1" s="18" t="s">
        <v>792</v>
      </c>
      <c r="N1" s="18" t="s">
        <v>7</v>
      </c>
    </row>
    <row r="2">
      <c r="A2" s="19">
        <v>46258.30353430555</v>
      </c>
      <c r="B2" s="18" t="s">
        <v>804</v>
      </c>
      <c r="C2" s="18">
        <v>10.0</v>
      </c>
      <c r="D2" s="18" t="s">
        <v>806</v>
      </c>
      <c r="E2" s="18" t="s">
        <v>808</v>
      </c>
      <c r="F2" s="18" t="s">
        <v>810</v>
      </c>
      <c r="G2" s="18">
        <v>8.94916622E8</v>
      </c>
      <c r="H2" s="18">
        <v>1.549900190541E12</v>
      </c>
      <c r="I2" s="18" t="s">
        <v>812</v>
      </c>
      <c r="J2" s="18" t="s">
        <v>814</v>
      </c>
      <c r="K2" s="18" t="s">
        <v>816</v>
      </c>
      <c r="L2" s="18" t="s">
        <v>817</v>
      </c>
      <c r="M2" s="18" t="s">
        <v>819</v>
      </c>
      <c r="N2" s="18" t="s">
        <v>820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38"/>
    <col customWidth="1" min="2" max="2" width="39.0"/>
    <col customWidth="1" min="3" max="3" width="45.25"/>
    <col customWidth="1" min="4" max="4" width="41.38"/>
    <col customWidth="1" min="5" max="5" width="22.38"/>
    <col customWidth="1" min="6" max="6" width="27.5"/>
    <col customWidth="1" min="7" max="7" width="35.5"/>
  </cols>
  <sheetData>
    <row r="1">
      <c r="A1" s="35" t="str">
        <f>IFERROR(__xludf.DUMMYFUNCTION("UNIQUE(FILTER(CHOOSECOLS(allstaff!Q:AA, 1, 2, 3, 4, 9, 10, 11), allstaff!Q:Q&lt;&gt;""""))"),"ป.จริง (ชื่อกลุ่มงานตามโครงสร้าง)")</f>
        <v>ป.จริง (ชื่อกลุ่มงานตามโครงสร้าง)</v>
      </c>
      <c r="B1" s="35" t="str">
        <f>IFERROR(__xludf.DUMMYFUNCTION("""COMPUTED_VALUE"""),"ป.จริง (ภารกิจ)")</f>
        <v>ป.จริง (ภารกิจ)</v>
      </c>
      <c r="C1" s="35" t="str">
        <f>IFERROR(__xludf.DUMMYFUNCTION("""COMPUTED_VALUE"""),"งาน จ.18")</f>
        <v>งาน จ.18</v>
      </c>
      <c r="D1" s="35" t="str">
        <f>IFERROR(__xludf.DUMMYFUNCTION("""COMPUTED_VALUE"""),"กลุ่มงาน จ.18")</f>
        <v>กลุ่มงาน จ.18</v>
      </c>
      <c r="E1" s="35" t="str">
        <f>IFERROR(__xludf.DUMMYFUNCTION("""COMPUTED_VALUE"""),"กรอบย่อย (ตน.ในกง.)")</f>
        <v>กรอบย่อย (ตน.ในกง.)</v>
      </c>
      <c r="F1" s="35" t="str">
        <f>IFERROR(__xludf.DUMMYFUNCTION("""COMPUTED_VALUE"""),"กรอบหลัก (รวมทั้งกลุ่มงาน)")</f>
        <v>กรอบหลัก (รวมทั้งกลุ่มงาน)</v>
      </c>
      <c r="G1" s="35" t="str">
        <f>IFERROR(__xludf.DUMMYFUNCTION("""COMPUTED_VALUE"""),"กรอบอัตรากำลัง 
ตามกลุ่มภารกิจ")</f>
        <v>กรอบอัตรากำลัง 
ตามกลุ่มภารกิจ</v>
      </c>
    </row>
    <row r="2">
      <c r="A2" s="36" t="str">
        <f>IFERROR(__xludf.DUMMYFUNCTION("""COMPUTED_VALUE"""),"กลุ่มงานการเงิน")</f>
        <v>กลุ่มงานการเงิน</v>
      </c>
      <c r="B2" s="36" t="str">
        <f>IFERROR(__xludf.DUMMYFUNCTION("""COMPUTED_VALUE"""),"ภารกิจด้านอำนวยการ")</f>
        <v>ภารกิจด้านอำนวยการ</v>
      </c>
      <c r="C2" s="36" t="str">
        <f>IFERROR(__xludf.DUMMYFUNCTION("""COMPUTED_VALUE"""),"กลุ่มงานการเงิน")</f>
        <v>กลุ่มงานการเงิน</v>
      </c>
      <c r="D2" s="36" t="str">
        <f>IFERROR(__xludf.DUMMYFUNCTION("""COMPUTED_VALUE"""),"กลุ่มงานการเงิน")</f>
        <v>กลุ่มงานการเงิน</v>
      </c>
      <c r="E2" s="36">
        <f>IFERROR(__xludf.DUMMYFUNCTION("""COMPUTED_VALUE"""),17.0)</f>
        <v>17</v>
      </c>
      <c r="F2" s="36">
        <f>IFERROR(__xludf.DUMMYFUNCTION("""COMPUTED_VALUE"""),20.0)</f>
        <v>20</v>
      </c>
      <c r="G2" s="36">
        <f>IFERROR(__xludf.DUMMYFUNCTION("""COMPUTED_VALUE"""),85.0)</f>
        <v>85</v>
      </c>
    </row>
    <row r="3">
      <c r="A3" s="36" t="str">
        <f>IFERROR(__xludf.DUMMYFUNCTION("""COMPUTED_VALUE"""),"กลุ่มงานประกันสุขภาพ")</f>
        <v>กลุ่มงานประกันสุขภาพ</v>
      </c>
      <c r="B3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3" s="36" t="str">
        <f>IFERROR(__xludf.DUMMYFUNCTION("""COMPUTED_VALUE"""),"กลุ่มงานประกันสุขภาพ")</f>
        <v>กลุ่มงานประกันสุขภาพ</v>
      </c>
      <c r="D3" s="36" t="str">
        <f>IFERROR(__xludf.DUMMYFUNCTION("""COMPUTED_VALUE"""),"กลุ่มงานประกันสุขภาพ")</f>
        <v>กลุ่มงานประกันสุขภาพ</v>
      </c>
      <c r="E3" s="36">
        <f>IFERROR(__xludf.DUMMYFUNCTION("""COMPUTED_VALUE"""),1.0)</f>
        <v>1</v>
      </c>
      <c r="F3" s="36">
        <f>IFERROR(__xludf.DUMMYFUNCTION("""COMPUTED_VALUE"""),7.0)</f>
        <v>7</v>
      </c>
      <c r="G3" s="36">
        <f>IFERROR(__xludf.DUMMYFUNCTION("""COMPUTED_VALUE"""),28.0)</f>
        <v>28</v>
      </c>
    </row>
    <row r="4">
      <c r="A4" s="36" t="str">
        <f>IFERROR(__xludf.DUMMYFUNCTION("""COMPUTED_VALUE"""),"กลุ่มงานบัญชี")</f>
        <v>กลุ่มงานบัญชี</v>
      </c>
      <c r="B4" s="36" t="str">
        <f>IFERROR(__xludf.DUMMYFUNCTION("""COMPUTED_VALUE"""),"ภารกิจด้านอำนวยการ")</f>
        <v>ภารกิจด้านอำนวยการ</v>
      </c>
      <c r="C4" s="36" t="str">
        <f>IFERROR(__xludf.DUMMYFUNCTION("""COMPUTED_VALUE"""),"กลุ่มงานบัญชี")</f>
        <v>กลุ่มงานบัญชี</v>
      </c>
      <c r="D4" s="36" t="str">
        <f>IFERROR(__xludf.DUMMYFUNCTION("""COMPUTED_VALUE"""),"กลุ่มงานบัญชี")</f>
        <v>กลุ่มงานบัญชี</v>
      </c>
      <c r="E4" s="36">
        <f>IFERROR(__xludf.DUMMYFUNCTION("""COMPUTED_VALUE"""),2.0)</f>
        <v>2</v>
      </c>
      <c r="F4" s="36">
        <f>IFERROR(__xludf.DUMMYFUNCTION("""COMPUTED_VALUE"""),5.0)</f>
        <v>5</v>
      </c>
      <c r="G4" s="36">
        <f>IFERROR(__xludf.DUMMYFUNCTION("""COMPUTED_VALUE"""),85.0)</f>
        <v>85</v>
      </c>
    </row>
    <row r="5">
      <c r="A5" s="36" t="str">
        <f>IFERROR(__xludf.DUMMYFUNCTION("""COMPUTED_VALUE"""),"กลุ่มงานเทคโนโลยีสารสนเทศ")</f>
        <v>กลุ่มงานเทคโนโลยีสารสนเทศ</v>
      </c>
      <c r="B5" s="36" t="str">
        <f>IFERROR(__xludf.DUMMYFUNCTION("""COMPUTED_VALUE"""),"ภารกิจสุขภาพดิจิทัล")</f>
        <v>ภารกิจสุขภาพดิจิทัล</v>
      </c>
      <c r="C5" s="36" t="str">
        <f>IFERROR(__xludf.DUMMYFUNCTION("""COMPUTED_VALUE"""),"กลุ่มงานเทคโนโลยีสารสนเทศ")</f>
        <v>กลุ่มงานเทคโนโลยีสารสนเทศ</v>
      </c>
      <c r="D5" s="36" t="str">
        <f>IFERROR(__xludf.DUMMYFUNCTION("""COMPUTED_VALUE"""),"กลุ่มงานเทคโนโลยีสารสนเทศ")</f>
        <v>กลุ่มงานเทคโนโลยีสารสนเทศ</v>
      </c>
      <c r="E5" s="36">
        <f>IFERROR(__xludf.DUMMYFUNCTION("""COMPUTED_VALUE"""),6.0)</f>
        <v>6</v>
      </c>
      <c r="F5" s="36">
        <f>IFERROR(__xludf.DUMMYFUNCTION("""COMPUTED_VALUE"""),7.0)</f>
        <v>7</v>
      </c>
      <c r="G5" s="36">
        <f>IFERROR(__xludf.DUMMYFUNCTION("""COMPUTED_VALUE"""),15.0)</f>
        <v>15</v>
      </c>
    </row>
    <row r="6">
      <c r="A6" s="36" t="str">
        <f>IFERROR(__xludf.DUMMYFUNCTION("""COMPUTED_VALUE"""),"กลุ่มงานพัฒนาคุณภาพบริการและมาตรฐาน")</f>
        <v>กลุ่มงานพัฒนาคุณภาพบริการและมาตรฐาน</v>
      </c>
      <c r="B6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6" s="36" t="str">
        <f>IFERROR(__xludf.DUMMYFUNCTION("""COMPUTED_VALUE"""),"กลุ่มงานพัฒนาคุณภาพบริการและมาตรฐาน")</f>
        <v>กลุ่มงานพัฒนาคุณภาพบริการและมาตรฐาน</v>
      </c>
      <c r="D6" s="36" t="str">
        <f>IFERROR(__xludf.DUMMYFUNCTION("""COMPUTED_VALUE"""),"กลุ่มงานพัฒนาคุณภาพบริการและมาตรฐาน")</f>
        <v>กลุ่มงานพัฒนาคุณภาพบริการและมาตรฐาน</v>
      </c>
      <c r="E6" s="36">
        <f>IFERROR(__xludf.DUMMYFUNCTION("""COMPUTED_VALUE"""),1.0)</f>
        <v>1</v>
      </c>
      <c r="F6" s="36">
        <f>IFERROR(__xludf.DUMMYFUNCTION("""COMPUTED_VALUE"""),7.0)</f>
        <v>7</v>
      </c>
      <c r="G6" s="36">
        <f>IFERROR(__xludf.DUMMYFUNCTION("""COMPUTED_VALUE"""),28.0)</f>
        <v>28</v>
      </c>
    </row>
    <row r="7">
      <c r="A7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B7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7" s="36" t="str">
        <f>IFERROR(__xludf.DUMMYFUNCTION("""COMPUTED_VALUE"""),"กลุ่มงานพัฒนาทรัพยากรบุคคล")</f>
        <v>กลุ่มงานพัฒนาทรัพยากรบุคคล</v>
      </c>
      <c r="D7" s="36" t="str">
        <f>IFERROR(__xludf.DUMMYFUNCTION("""COMPUTED_VALUE"""),"กลุ่มงานพัฒนาทรัพยากรบุคคล")</f>
        <v>กลุ่มงานพัฒนาทรัพยากรบุคคล</v>
      </c>
      <c r="E7" s="36">
        <f>IFERROR(__xludf.DUMMYFUNCTION("""COMPUTED_VALUE"""),2.0)</f>
        <v>2</v>
      </c>
      <c r="F7" s="36">
        <f>IFERROR(__xludf.DUMMYFUNCTION("""COMPUTED_VALUE"""),5.0)</f>
        <v>5</v>
      </c>
      <c r="G7" s="36">
        <f>IFERROR(__xludf.DUMMYFUNCTION("""COMPUTED_VALUE"""),28.0)</f>
        <v>28</v>
      </c>
    </row>
    <row r="8">
      <c r="A8" s="36" t="str">
        <f>IFERROR(__xludf.DUMMYFUNCTION("""COMPUTED_VALUE"""),"กลุ่มงานทรัพยากรบุคคล")</f>
        <v>กลุ่มงานทรัพยากรบุคคล</v>
      </c>
      <c r="B8" s="36" t="str">
        <f>IFERROR(__xludf.DUMMYFUNCTION("""COMPUTED_VALUE"""),"ภารกิจด้านอำนวยการ")</f>
        <v>ภารกิจด้านอำนวยการ</v>
      </c>
      <c r="C8" s="36" t="str">
        <f>IFERROR(__xludf.DUMMYFUNCTION("""COMPUTED_VALUE"""),"กลุ่มงานทรัพยากรบุคคล")</f>
        <v>กลุ่มงานทรัพยากรบุคคล</v>
      </c>
      <c r="D8" s="36" t="str">
        <f>IFERROR(__xludf.DUMMYFUNCTION("""COMPUTED_VALUE"""),"กลุ่มงานทรัพยากรบุคคล")</f>
        <v>กลุ่มงานทรัพยากรบุคคล</v>
      </c>
      <c r="E8" s="36">
        <f>IFERROR(__xludf.DUMMYFUNCTION("""COMPUTED_VALUE"""),5.0)</f>
        <v>5</v>
      </c>
      <c r="F8" s="36">
        <f>IFERROR(__xludf.DUMMYFUNCTION("""COMPUTED_VALUE"""),10.0)</f>
        <v>10</v>
      </c>
      <c r="G8" s="36">
        <f>IFERROR(__xludf.DUMMYFUNCTION("""COMPUTED_VALUE"""),85.0)</f>
        <v>85</v>
      </c>
    </row>
    <row r="9">
      <c r="A9" s="36" t="str">
        <f>IFERROR(__xludf.DUMMYFUNCTION("""COMPUTED_VALUE"""),"ภารกิจกลุ่มการพยาบาล")</f>
        <v>ภารกิจกลุ่มการพยาบาล</v>
      </c>
      <c r="B9" s="36" t="str">
        <f>IFERROR(__xludf.DUMMYFUNCTION("""COMPUTED_VALUE"""),"ภารกิจด้านการพยาบาล")</f>
        <v>ภารกิจด้านการพยาบาล</v>
      </c>
      <c r="C9" s="36" t="str">
        <f>IFERROR(__xludf.DUMMYFUNCTION("""COMPUTED_VALUE"""),"กลุ่มงานบริหารทั่วไป")</f>
        <v>กลุ่มงานบริหารทั่วไป</v>
      </c>
      <c r="D9" s="36" t="str">
        <f>IFERROR(__xludf.DUMMYFUNCTION("""COMPUTED_VALUE"""),"กลุ่มงานบริหารทั่วไป")</f>
        <v>กลุ่มงานบริหารทั่วไป</v>
      </c>
      <c r="E9" s="36">
        <f>IFERROR(__xludf.DUMMYFUNCTION("""COMPUTED_VALUE"""),4.0)</f>
        <v>4</v>
      </c>
      <c r="F9" s="36">
        <f>IFERROR(__xludf.DUMMYFUNCTION("""COMPUTED_VALUE"""),15.0)</f>
        <v>15</v>
      </c>
      <c r="G9" s="36">
        <f>IFERROR(__xludf.DUMMYFUNCTION("""COMPUTED_VALUE"""),85.0)</f>
        <v>85</v>
      </c>
    </row>
    <row r="10">
      <c r="A10" s="36" t="str">
        <f>IFERROR(__xludf.DUMMYFUNCTION("""COMPUTED_VALUE"""),"กลุ่มงานบริหารทั่วไป")</f>
        <v>กลุ่มงานบริหารทั่วไป</v>
      </c>
      <c r="B10" s="36" t="str">
        <f>IFERROR(__xludf.DUMMYFUNCTION("""COMPUTED_VALUE"""),"ภารกิจด้านอำนวยการ")</f>
        <v>ภารกิจด้านอำนวยการ</v>
      </c>
      <c r="C10" s="36" t="str">
        <f>IFERROR(__xludf.DUMMYFUNCTION("""COMPUTED_VALUE"""),"กลุ่มงานบริหารทั่วไป")</f>
        <v>กลุ่มงานบริหารทั่วไป</v>
      </c>
      <c r="D10" s="36" t="str">
        <f>IFERROR(__xludf.DUMMYFUNCTION("""COMPUTED_VALUE"""),"กลุ่มงานบริหารทั่วไป")</f>
        <v>กลุ่มงานบริหารทั่วไป</v>
      </c>
      <c r="E10" s="36">
        <f>IFERROR(__xludf.DUMMYFUNCTION("""COMPUTED_VALUE"""),4.0)</f>
        <v>4</v>
      </c>
      <c r="F10" s="36">
        <f>IFERROR(__xludf.DUMMYFUNCTION("""COMPUTED_VALUE"""),15.0)</f>
        <v>15</v>
      </c>
      <c r="G10" s="36">
        <f>IFERROR(__xludf.DUMMYFUNCTION("""COMPUTED_VALUE"""),85.0)</f>
        <v>85</v>
      </c>
    </row>
    <row r="11">
      <c r="A11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11" s="36" t="str">
        <f>IFERROR(__xludf.DUMMYFUNCTION("""COMPUTED_VALUE"""),"ภารกิจด้านการพยาบาล")</f>
        <v>ภารกิจด้านการพยาบาล</v>
      </c>
      <c r="C11" s="36" t="str">
        <f>IFERROR(__xludf.DUMMYFUNCTION("""COMPUTED_VALUE"""),"กลุ่มงานบริหารทั่วไป")</f>
        <v>กลุ่มงานบริหารทั่วไป</v>
      </c>
      <c r="D11" s="36" t="str">
        <f>IFERROR(__xludf.DUMMYFUNCTION("""COMPUTED_VALUE"""),"กลุ่มงานบริหารทั่วไป")</f>
        <v>กลุ่มงานบริหารทั่วไป</v>
      </c>
      <c r="E11" s="36">
        <f>IFERROR(__xludf.DUMMYFUNCTION("""COMPUTED_VALUE"""),4.0)</f>
        <v>4</v>
      </c>
      <c r="F11" s="36">
        <f>IFERROR(__xludf.DUMMYFUNCTION("""COMPUTED_VALUE"""),15.0)</f>
        <v>15</v>
      </c>
      <c r="G11" s="36">
        <f>IFERROR(__xludf.DUMMYFUNCTION("""COMPUTED_VALUE"""),85.0)</f>
        <v>85</v>
      </c>
    </row>
    <row r="12">
      <c r="A12" s="36" t="str">
        <f>IFERROR(__xludf.DUMMYFUNCTION("""COMPUTED_VALUE"""),"กลุ่มงานประกันสุขภาพ")</f>
        <v>กลุ่มงานประกันสุขภาพ</v>
      </c>
      <c r="B12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12" s="36" t="str">
        <f>IFERROR(__xludf.DUMMYFUNCTION("""COMPUTED_VALUE"""),"กลุ่มงานประกันสุขภาพ")</f>
        <v>กลุ่มงานประกันสุขภาพ</v>
      </c>
      <c r="D12" s="36" t="str">
        <f>IFERROR(__xludf.DUMMYFUNCTION("""COMPUTED_VALUE"""),"กลุ่มงานประกันสุขภาพ")</f>
        <v>กลุ่มงานประกันสุขภาพ</v>
      </c>
      <c r="E12" s="36">
        <f>IFERROR(__xludf.DUMMYFUNCTION("""COMPUTED_VALUE"""),5.0)</f>
        <v>5</v>
      </c>
      <c r="F12" s="36">
        <f>IFERROR(__xludf.DUMMYFUNCTION("""COMPUTED_VALUE"""),7.0)</f>
        <v>7</v>
      </c>
      <c r="G12" s="36">
        <f>IFERROR(__xludf.DUMMYFUNCTION("""COMPUTED_VALUE"""),28.0)</f>
        <v>28</v>
      </c>
    </row>
    <row r="13">
      <c r="A13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B13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13" s="36" t="str">
        <f>IFERROR(__xludf.DUMMYFUNCTION("""COMPUTED_VALUE"""),"กลุ่มงานบริหารทั่วไป")</f>
        <v>กลุ่มงานบริหารทั่วไป</v>
      </c>
      <c r="D13" s="36" t="str">
        <f>IFERROR(__xludf.DUMMYFUNCTION("""COMPUTED_VALUE"""),"กลุ่มงานบริหารทั่วไป")</f>
        <v>กลุ่มงานบริหารทั่วไป</v>
      </c>
      <c r="E13" s="36">
        <f>IFERROR(__xludf.DUMMYFUNCTION("""COMPUTED_VALUE"""),4.0)</f>
        <v>4</v>
      </c>
      <c r="F13" s="36">
        <f>IFERROR(__xludf.DUMMYFUNCTION("""COMPUTED_VALUE"""),15.0)</f>
        <v>15</v>
      </c>
      <c r="G13" s="36">
        <f>IFERROR(__xludf.DUMMYFUNCTION("""COMPUTED_VALUE"""),85.0)</f>
        <v>85</v>
      </c>
    </row>
    <row r="14">
      <c r="A14" s="36" t="str">
        <f>IFERROR(__xludf.DUMMYFUNCTION("""COMPUTED_VALUE"""),"กลุ่มงานเวชกรรมสังคม")</f>
        <v>กลุ่มงานเวชกรรมสังคม</v>
      </c>
      <c r="B14" s="36" t="str">
        <f>IFERROR(__xludf.DUMMYFUNCTION("""COMPUTED_VALUE"""),"ภารกิจด้านบริการปฐมภูมิ")</f>
        <v>ภารกิจด้านบริการปฐมภูมิ</v>
      </c>
      <c r="C14" s="36" t="str">
        <f>IFERROR(__xludf.DUMMYFUNCTION("""COMPUTED_VALUE"""),"กลุ่มงานบริหารทั่วไป")</f>
        <v>กลุ่มงานบริหารทั่วไป</v>
      </c>
      <c r="D14" s="36" t="str">
        <f>IFERROR(__xludf.DUMMYFUNCTION("""COMPUTED_VALUE"""),"กลุ่มงานบริหารทั่วไป")</f>
        <v>กลุ่มงานบริหารทั่วไป</v>
      </c>
      <c r="E14" s="36">
        <f>IFERROR(__xludf.DUMMYFUNCTION("""COMPUTED_VALUE"""),4.0)</f>
        <v>4</v>
      </c>
      <c r="F14" s="36">
        <f>IFERROR(__xludf.DUMMYFUNCTION("""COMPUTED_VALUE"""),15.0)</f>
        <v>15</v>
      </c>
      <c r="G14" s="36">
        <f>IFERROR(__xludf.DUMMYFUNCTION("""COMPUTED_VALUE"""),85.0)</f>
        <v>85</v>
      </c>
    </row>
    <row r="15">
      <c r="A15" s="36" t="str">
        <f>IFERROR(__xludf.DUMMYFUNCTION("""COMPUTED_VALUE"""),"กลุ่มงานเทคโนโลยีสารสนเทศ")</f>
        <v>กลุ่มงานเทคโนโลยีสารสนเทศ</v>
      </c>
      <c r="B15" s="36" t="str">
        <f>IFERROR(__xludf.DUMMYFUNCTION("""COMPUTED_VALUE"""),"ภารกิจสุขภาพดิจิทัล")</f>
        <v>ภารกิจสุขภาพดิจิทัล</v>
      </c>
      <c r="C15" s="36" t="str">
        <f>IFERROR(__xludf.DUMMYFUNCTION("""COMPUTED_VALUE"""),"กลุ่มงานเทคโนโลยีสารสนเทศ")</f>
        <v>กลุ่มงานเทคโนโลยีสารสนเทศ</v>
      </c>
      <c r="D15" s="36" t="str">
        <f>IFERROR(__xludf.DUMMYFUNCTION("""COMPUTED_VALUE"""),"กลุ่มงานเทคโนโลยีสารสนเทศ")</f>
        <v>กลุ่มงานเทคโนโลยีสารสนเทศ</v>
      </c>
      <c r="E15" s="36">
        <f>IFERROR(__xludf.DUMMYFUNCTION("""COMPUTED_VALUE"""),1.0)</f>
        <v>1</v>
      </c>
      <c r="F15" s="36">
        <f>IFERROR(__xludf.DUMMYFUNCTION("""COMPUTED_VALUE"""),7.0)</f>
        <v>7</v>
      </c>
      <c r="G15" s="36">
        <f>IFERROR(__xludf.DUMMYFUNCTION("""COMPUTED_VALUE"""),15.0)</f>
        <v>15</v>
      </c>
    </row>
    <row r="16">
      <c r="A16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B16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16" s="36" t="str">
        <f>IFERROR(__xludf.DUMMYFUNCTION("""COMPUTED_VALUE"""),"กลุ่มงานพัฒนาคุณภาพบริการและมาตรฐาน")</f>
        <v>กลุ่มงานพัฒนาคุณภาพบริการและมาตรฐาน</v>
      </c>
      <c r="D16" s="36" t="str">
        <f>IFERROR(__xludf.DUMMYFUNCTION("""COMPUTED_VALUE"""),"กลุ่มงานพัฒนาคุณภาพบริการและมาตรฐาน")</f>
        <v>กลุ่มงานพัฒนาคุณภาพบริการและมาตรฐาน</v>
      </c>
      <c r="E16" s="36">
        <f>IFERROR(__xludf.DUMMYFUNCTION("""COMPUTED_VALUE"""),1.0)</f>
        <v>1</v>
      </c>
      <c r="F16" s="36">
        <f>IFERROR(__xludf.DUMMYFUNCTION("""COMPUTED_VALUE"""),7.0)</f>
        <v>7</v>
      </c>
      <c r="G16" s="36">
        <f>IFERROR(__xludf.DUMMYFUNCTION("""COMPUTED_VALUE"""),28.0)</f>
        <v>28</v>
      </c>
    </row>
    <row r="17">
      <c r="A17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B17" s="36" t="str">
        <f>IFERROR(__xludf.DUMMYFUNCTION("""COMPUTED_VALUE"""),"ภารกิจด้านอำนวยการ")</f>
        <v>ภารกิจด้านอำนวยการ</v>
      </c>
      <c r="C17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D17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E17" s="36">
        <f>IFERROR(__xludf.DUMMYFUNCTION("""COMPUTED_VALUE"""),1.0)</f>
        <v>1</v>
      </c>
      <c r="F17" s="36">
        <f>IFERROR(__xludf.DUMMYFUNCTION("""COMPUTED_VALUE"""),20.0)</f>
        <v>20</v>
      </c>
      <c r="G17" s="36">
        <f>IFERROR(__xludf.DUMMYFUNCTION("""COMPUTED_VALUE"""),85.0)</f>
        <v>85</v>
      </c>
    </row>
    <row r="18">
      <c r="A18" s="36" t="str">
        <f>IFERROR(__xludf.DUMMYFUNCTION("""COMPUTED_VALUE"""),"กลุ่มงานทันตกรรม")</f>
        <v>กลุ่มงานทันตกรรม</v>
      </c>
      <c r="B18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18" s="36" t="str">
        <f>IFERROR(__xludf.DUMMYFUNCTION("""COMPUTED_VALUE"""),"กลุ่มงานบริหารทั่วไป")</f>
        <v>กลุ่มงานบริหารทั่วไป</v>
      </c>
      <c r="D18" s="36" t="str">
        <f>IFERROR(__xludf.DUMMYFUNCTION("""COMPUTED_VALUE"""),"กลุ่มงานบริหารทั่วไป")</f>
        <v>กลุ่มงานบริหารทั่วไป</v>
      </c>
      <c r="E18" s="36">
        <f>IFERROR(__xludf.DUMMYFUNCTION("""COMPUTED_VALUE"""),4.0)</f>
        <v>4</v>
      </c>
      <c r="F18" s="36">
        <f>IFERROR(__xludf.DUMMYFUNCTION("""COMPUTED_VALUE"""),15.0)</f>
        <v>15</v>
      </c>
      <c r="G18" s="36">
        <f>IFERROR(__xludf.DUMMYFUNCTION("""COMPUTED_VALUE"""),85.0)</f>
        <v>85</v>
      </c>
    </row>
    <row r="19">
      <c r="A19" s="36" t="str">
        <f>IFERROR(__xludf.DUMMYFUNCTION("""COMPUTED_VALUE"""),"กลุ่มงานบริหารทั่วไป")</f>
        <v>กลุ่มงานบริหารทั่วไป</v>
      </c>
      <c r="B19" s="36" t="str">
        <f>IFERROR(__xludf.DUMMYFUNCTION("""COMPUTED_VALUE"""),"ภารกิจด้านอำนวยการ")</f>
        <v>ภารกิจด้านอำนวยการ</v>
      </c>
      <c r="C19" s="36" t="str">
        <f>IFERROR(__xludf.DUMMYFUNCTION("""COMPUTED_VALUE"""),"กลุ่มงานบริหารทั่วไป")</f>
        <v>กลุ่มงานบริหารทั่วไป</v>
      </c>
      <c r="D19" s="36" t="str">
        <f>IFERROR(__xludf.DUMMYFUNCTION("""COMPUTED_VALUE"""),"กลุ่มงานบริหารทั่วไป")</f>
        <v>กลุ่มงานบริหารทั่วไป</v>
      </c>
      <c r="E19" s="36">
        <f>IFERROR(__xludf.DUMMYFUNCTION("""COMPUTED_VALUE"""),1.0)</f>
        <v>1</v>
      </c>
      <c r="F19" s="36">
        <f>IFERROR(__xludf.DUMMYFUNCTION("""COMPUTED_VALUE"""),15.0)</f>
        <v>15</v>
      </c>
      <c r="G19" s="36">
        <f>IFERROR(__xludf.DUMMYFUNCTION("""COMPUTED_VALUE"""),85.0)</f>
        <v>85</v>
      </c>
    </row>
    <row r="20">
      <c r="A20" s="36" t="str">
        <f>IFERROR(__xludf.DUMMYFUNCTION("""COMPUTED_VALUE"""),"กลุ่มงานพัสดุ")</f>
        <v>กลุ่มงานพัสดุ</v>
      </c>
      <c r="B20" s="36" t="str">
        <f>IFERROR(__xludf.DUMMYFUNCTION("""COMPUTED_VALUE"""),"ภารกิจด้านอำนวยการ")</f>
        <v>ภารกิจด้านอำนวยการ</v>
      </c>
      <c r="C20" s="36" t="str">
        <f>IFERROR(__xludf.DUMMYFUNCTION("""COMPUTED_VALUE"""),"กลุ่มงานพัสดุ")</f>
        <v>กลุ่มงานพัสดุ</v>
      </c>
      <c r="D20" s="36" t="str">
        <f>IFERROR(__xludf.DUMMYFUNCTION("""COMPUTED_VALUE"""),"กลุ่มงานพัสดุ")</f>
        <v>กลุ่มงานพัสดุ</v>
      </c>
      <c r="E20" s="36">
        <f>IFERROR(__xludf.DUMMYFUNCTION("""COMPUTED_VALUE"""),10.0)</f>
        <v>10</v>
      </c>
      <c r="F20" s="36">
        <f>IFERROR(__xludf.DUMMYFUNCTION("""COMPUTED_VALUE"""),15.0)</f>
        <v>15</v>
      </c>
      <c r="G20" s="36">
        <f>IFERROR(__xludf.DUMMYFUNCTION("""COMPUTED_VALUE"""),85.0)</f>
        <v>85</v>
      </c>
    </row>
    <row r="21">
      <c r="A21" s="36" t="str">
        <f>IFERROR(__xludf.DUMMYFUNCTION("""COMPUTED_VALUE"""),"กลุ่มงานเภสัชกรรม")</f>
        <v>กลุ่มงานเภสัชกรรม</v>
      </c>
      <c r="B21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21" s="36" t="str">
        <f>IFERROR(__xludf.DUMMYFUNCTION("""COMPUTED_VALUE"""),"กลุ่มงานเภสัชกรรม")</f>
        <v>กลุ่มงานเภสัชกรรม</v>
      </c>
      <c r="D21" s="36" t="str">
        <f>IFERROR(__xludf.DUMMYFUNCTION("""COMPUTED_VALUE"""),"กลุ่มงานเภสัชกรรม")</f>
        <v>กลุ่มงานเภสัชกรรม</v>
      </c>
      <c r="E21" s="36">
        <f>IFERROR(__xludf.DUMMYFUNCTION("""COMPUTED_VALUE"""),15.0)</f>
        <v>15</v>
      </c>
      <c r="F21" s="36">
        <f>IFERROR(__xludf.DUMMYFUNCTION("""COMPUTED_VALUE"""),45.0)</f>
        <v>45</v>
      </c>
      <c r="G21" s="36">
        <f>IFERROR(__xludf.DUMMYFUNCTION("""COMPUTED_VALUE"""),199.0)</f>
        <v>199</v>
      </c>
    </row>
    <row r="22">
      <c r="A22" s="36" t="str">
        <f>IFERROR(__xludf.DUMMYFUNCTION("""COMPUTED_VALUE"""),"กลุ่มงานเวชกรรมฟื้นฟู")</f>
        <v>กลุ่มงานเวชกรรมฟื้นฟู</v>
      </c>
      <c r="B22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22" s="36" t="str">
        <f>IFERROR(__xludf.DUMMYFUNCTION("""COMPUTED_VALUE"""),"กลุ่มงานเวชกรรมฟื้นฟู")</f>
        <v>กลุ่มงานเวชกรรมฟื้นฟู</v>
      </c>
      <c r="D22" s="36" t="str">
        <f>IFERROR(__xludf.DUMMYFUNCTION("""COMPUTED_VALUE"""),"กลุ่มงานเวชกรรมฟื้นฟู")</f>
        <v>กลุ่มงานเวชกรรมฟื้นฟู</v>
      </c>
      <c r="E22" s="36">
        <f>IFERROR(__xludf.DUMMYFUNCTION("""COMPUTED_VALUE"""),2.0)</f>
        <v>2</v>
      </c>
      <c r="F22" s="36">
        <f>IFERROR(__xludf.DUMMYFUNCTION("""COMPUTED_VALUE"""),23.0)</f>
        <v>23</v>
      </c>
      <c r="G22" s="36">
        <f>IFERROR(__xludf.DUMMYFUNCTION("""COMPUTED_VALUE"""),199.0)</f>
        <v>199</v>
      </c>
    </row>
    <row r="23">
      <c r="A23" s="36" t="str">
        <f>IFERROR(__xludf.DUMMYFUNCTION("""COMPUTED_VALUE"""),"กลุ่มงานบริหารทั่วไป")</f>
        <v>กลุ่มงานบริหารทั่วไป</v>
      </c>
      <c r="B23" s="36" t="str">
        <f>IFERROR(__xludf.DUMMYFUNCTION("""COMPUTED_VALUE"""),"ภารกิจด้านอำนวยการ")</f>
        <v>ภารกิจด้านอำนวยการ</v>
      </c>
      <c r="C23" s="36" t="str">
        <f>IFERROR(__xludf.DUMMYFUNCTION("""COMPUTED_VALUE"""),"กลุ่มงานบริหารทั่วไป")</f>
        <v>กลุ่มงานบริหารทั่วไป</v>
      </c>
      <c r="D23" s="36" t="str">
        <f>IFERROR(__xludf.DUMMYFUNCTION("""COMPUTED_VALUE"""),"กลุ่มงานบริหารทั่วไป")</f>
        <v>กลุ่มงานบริหารทั่วไป</v>
      </c>
      <c r="E23" s="36">
        <f>IFERROR(__xludf.DUMMYFUNCTION("""COMPUTED_VALUE"""),3.0)</f>
        <v>3</v>
      </c>
      <c r="F23" s="36">
        <f>IFERROR(__xludf.DUMMYFUNCTION("""COMPUTED_VALUE"""),54.0)</f>
        <v>54</v>
      </c>
      <c r="G23" s="36">
        <f>IFERROR(__xludf.DUMMYFUNCTION("""COMPUTED_VALUE"""),57.0)</f>
        <v>57</v>
      </c>
    </row>
    <row r="24">
      <c r="A24" s="36" t="str">
        <f>IFERROR(__xludf.DUMMYFUNCTION("""COMPUTED_VALUE"""),"กลุ่มงานทันตกรรม")</f>
        <v>กลุ่มงานทันตกรรม</v>
      </c>
      <c r="B24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24" s="36" t="str">
        <f>IFERROR(__xludf.DUMMYFUNCTION("""COMPUTED_VALUE"""),"กลุ่มงานทันตกรรม")</f>
        <v>กลุ่มงานทันตกรรม</v>
      </c>
      <c r="D24" s="36" t="str">
        <f>IFERROR(__xludf.DUMMYFUNCTION("""COMPUTED_VALUE"""),"กลุ่มงานทันตกรรม")</f>
        <v>กลุ่มงานทันตกรรม</v>
      </c>
      <c r="E24" s="36">
        <f>IFERROR(__xludf.DUMMYFUNCTION("""COMPUTED_VALUE"""),12.0)</f>
        <v>12</v>
      </c>
      <c r="F24" s="36">
        <f>IFERROR(__xludf.DUMMYFUNCTION("""COMPUTED_VALUE"""),18.0)</f>
        <v>18</v>
      </c>
      <c r="G24" s="36">
        <f>IFERROR(__xludf.DUMMYFUNCTION("""COMPUTED_VALUE"""),199.0)</f>
        <v>199</v>
      </c>
    </row>
    <row r="25">
      <c r="A25" s="36" t="str">
        <f>IFERROR(__xludf.DUMMYFUNCTION("""COMPUTED_VALUE"""),"กลุ่มงานเวชกรรมฟื้นฟู")</f>
        <v>กลุ่มงานเวชกรรมฟื้นฟู</v>
      </c>
      <c r="B25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25" s="36" t="str">
        <f>IFERROR(__xludf.DUMMYFUNCTION("""COMPUTED_VALUE"""),"กลุ่มงานเวชกรรมฟื้นฟู")</f>
        <v>กลุ่มงานเวชกรรมฟื้นฟู</v>
      </c>
      <c r="D25" s="36" t="str">
        <f>IFERROR(__xludf.DUMMYFUNCTION("""COMPUTED_VALUE"""),"กลุ่มงานเวชกรรมฟื้นฟู")</f>
        <v>กลุ่มงานเวชกรรมฟื้นฟู</v>
      </c>
      <c r="E25" s="36">
        <f>IFERROR(__xludf.DUMMYFUNCTION("""COMPUTED_VALUE"""),13.0)</f>
        <v>13</v>
      </c>
      <c r="F25" s="36">
        <f>IFERROR(__xludf.DUMMYFUNCTION("""COMPUTED_VALUE"""),23.0)</f>
        <v>23</v>
      </c>
      <c r="G25" s="36">
        <f>IFERROR(__xludf.DUMMYFUNCTION("""COMPUTED_VALUE"""),199.0)</f>
        <v>199</v>
      </c>
    </row>
    <row r="26">
      <c r="A26" s="36" t="str">
        <f>IFERROR(__xludf.DUMMYFUNCTION("""COMPUTED_VALUE"""),"กลุ่มงานเวชกรรมฟื้นฟู")</f>
        <v>กลุ่มงานเวชกรรมฟื้นฟู</v>
      </c>
      <c r="B26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26" s="36" t="str">
        <f>IFERROR(__xludf.DUMMYFUNCTION("""COMPUTED_VALUE"""),"กลุ่มงานเวชกรรมฟื้นฟู")</f>
        <v>กลุ่มงานเวชกรรมฟื้นฟู</v>
      </c>
      <c r="D26" s="36" t="str">
        <f>IFERROR(__xludf.DUMMYFUNCTION("""COMPUTED_VALUE"""),"กลุ่มงานเวชกรรมฟื้นฟู")</f>
        <v>กลุ่มงานเวชกรรมฟื้นฟู</v>
      </c>
      <c r="E26" s="36">
        <f>IFERROR(__xludf.DUMMYFUNCTION("""COMPUTED_VALUE"""),5.0)</f>
        <v>5</v>
      </c>
      <c r="F26" s="36">
        <f>IFERROR(__xludf.DUMMYFUNCTION("""COMPUTED_VALUE"""),23.0)</f>
        <v>23</v>
      </c>
      <c r="G26" s="36">
        <f>IFERROR(__xludf.DUMMYFUNCTION("""COMPUTED_VALUE"""),199.0)</f>
        <v>199</v>
      </c>
    </row>
    <row r="27">
      <c r="A27" s="36" t="str">
        <f>IFERROR(__xludf.DUMMYFUNCTION("""COMPUTED_VALUE"""),"กลุ่มงานจิตเวชและยาเสพติด")</f>
        <v>กลุ่มงานจิตเวชและยาเสพติด</v>
      </c>
      <c r="B27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27" s="36" t="str">
        <f>IFERROR(__xludf.DUMMYFUNCTION("""COMPUTED_VALUE"""),"กลุ่มงานจิตเวชและยาเสพติด")</f>
        <v>กลุ่มงานจิตเวชและยาเสพติด</v>
      </c>
      <c r="D27" s="36" t="str">
        <f>IFERROR(__xludf.DUMMYFUNCTION("""COMPUTED_VALUE"""),"กลุ่มงานจิตเวชและยาเสพติด")</f>
        <v>กลุ่มงานจิตเวชและยาเสพติด</v>
      </c>
      <c r="E27" s="36">
        <f>IFERROR(__xludf.DUMMYFUNCTION("""COMPUTED_VALUE"""),3.0)</f>
        <v>3</v>
      </c>
      <c r="F27" s="36">
        <f>IFERROR(__xludf.DUMMYFUNCTION("""COMPUTED_VALUE"""),8.0)</f>
        <v>8</v>
      </c>
      <c r="G27" s="36">
        <f>IFERROR(__xludf.DUMMYFUNCTION("""COMPUTED_VALUE"""),199.0)</f>
        <v>199</v>
      </c>
    </row>
    <row r="28">
      <c r="A28" s="36" t="str">
        <f>IFERROR(__xludf.DUMMYFUNCTION("""COMPUTED_VALUE"""),"กลุ่มงานเทคนิคการแพทย์และพยาธิวิทยาคลินิก")</f>
        <v>กลุ่มงานเทคนิคการแพทย์และพยาธิวิทยาคลินิก</v>
      </c>
      <c r="B28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28" s="36" t="str">
        <f>IFERROR(__xludf.DUMMYFUNCTION("""COMPUTED_VALUE"""),"กลุ่มงานเทคนิคการแพทย์และพยาธิวิทยาคลินิก")</f>
        <v>กลุ่มงานเทคนิคการแพทย์และพยาธิวิทยาคลินิก</v>
      </c>
      <c r="D28" s="36" t="str">
        <f>IFERROR(__xludf.DUMMYFUNCTION("""COMPUTED_VALUE"""),"กลุ่มงานเทคนิคการแพทย์และพยาธิวิทยาคลินิก")</f>
        <v>กลุ่มงานเทคนิคการแพทย์และพยาธิวิทยาคลินิก</v>
      </c>
      <c r="E28" s="36">
        <f>IFERROR(__xludf.DUMMYFUNCTION("""COMPUTED_VALUE"""),18.0)</f>
        <v>18</v>
      </c>
      <c r="F28" s="36">
        <f>IFERROR(__xludf.DUMMYFUNCTION("""COMPUTED_VALUE"""),20.0)</f>
        <v>20</v>
      </c>
      <c r="G28" s="36">
        <f>IFERROR(__xludf.DUMMYFUNCTION("""COMPUTED_VALUE"""),199.0)</f>
        <v>199</v>
      </c>
    </row>
    <row r="29">
      <c r="A29" s="36" t="str">
        <f>IFERROR(__xludf.DUMMYFUNCTION("""COMPUTED_VALUE"""),"กลุ่มงานพยาธิวิทยากายวิภาค")</f>
        <v>กลุ่มงานพยาธิวิทยากายวิภาค</v>
      </c>
      <c r="B29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29" s="36" t="str">
        <f>IFERROR(__xludf.DUMMYFUNCTION("""COMPUTED_VALUE"""),"กลุ่มงานพยาธิวิทยากายวิภาค")</f>
        <v>กลุ่มงานพยาธิวิทยากายวิภาค</v>
      </c>
      <c r="D29" s="36" t="str">
        <f>IFERROR(__xludf.DUMMYFUNCTION("""COMPUTED_VALUE"""),"กลุ่มงานพยาธิวิทยากายวิภาค")</f>
        <v>กลุ่มงานพยาธิวิทยากายวิภาค</v>
      </c>
      <c r="E29" s="36">
        <f>IFERROR(__xludf.DUMMYFUNCTION("""COMPUTED_VALUE"""),4.0)</f>
        <v>4</v>
      </c>
      <c r="F29" s="36">
        <f>IFERROR(__xludf.DUMMYFUNCTION("""COMPUTED_VALUE"""),4.0)</f>
        <v>4</v>
      </c>
      <c r="G29" s="36">
        <f>IFERROR(__xludf.DUMMYFUNCTION("""COMPUTED_VALUE"""),199.0)</f>
        <v>199</v>
      </c>
    </row>
    <row r="30">
      <c r="A30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B30" s="36" t="str">
        <f>IFERROR(__xludf.DUMMYFUNCTION("""COMPUTED_VALUE"""),"ภารกิจด้านการพยาบาล")</f>
        <v>ภารกิจด้านการพยาบาล</v>
      </c>
      <c r="C30" s="36" t="str">
        <f>IFERROR(__xludf.DUMMYFUNCTION("""COMPUTED_VALUE"""),"กลุ่มงานเวชศาสตร์ฉุกเฉิน")</f>
        <v>กลุ่มงานเวชศาสตร์ฉุกเฉิน</v>
      </c>
      <c r="D30" s="36" t="str">
        <f>IFERROR(__xludf.DUMMYFUNCTION("""COMPUTED_VALUE"""),"กลุ่มงานเวชศาสตร์ฉุกเฉิน")</f>
        <v>กลุ่มงานเวชศาสตร์ฉุกเฉิน</v>
      </c>
      <c r="E30" s="36">
        <f>IFERROR(__xludf.DUMMYFUNCTION("""COMPUTED_VALUE"""),12.0)</f>
        <v>12</v>
      </c>
      <c r="F30" s="36">
        <f>IFERROR(__xludf.DUMMYFUNCTION("""COMPUTED_VALUE"""),17.0)</f>
        <v>17</v>
      </c>
      <c r="G30" s="36">
        <f>IFERROR(__xludf.DUMMYFUNCTION("""COMPUTED_VALUE"""),199.0)</f>
        <v>199</v>
      </c>
    </row>
    <row r="31">
      <c r="A31" s="36" t="str">
        <f>IFERROR(__xludf.DUMMYFUNCTION("""COMPUTED_VALUE"""),"กลุ่มงานพัฒนาทรัพยากรบุคคล")</f>
        <v>กลุ่มงานพัฒนาทรัพยากรบุคคล</v>
      </c>
      <c r="B31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31" s="36" t="str">
        <f>IFERROR(__xludf.DUMMYFUNCTION("""COMPUTED_VALUE"""),"กลุ่มงานบริหารทั่วไป")</f>
        <v>กลุ่มงานบริหารทั่วไป</v>
      </c>
      <c r="D31" s="36" t="str">
        <f>IFERROR(__xludf.DUMMYFUNCTION("""COMPUTED_VALUE"""),"กลุ่มงานบริหารทั่วไป")</f>
        <v>กลุ่มงานบริหารทั่วไป</v>
      </c>
      <c r="E31" s="36">
        <f>IFERROR(__xludf.DUMMYFUNCTION("""COMPUTED_VALUE"""),3.0)</f>
        <v>3</v>
      </c>
      <c r="F31" s="36">
        <f>IFERROR(__xludf.DUMMYFUNCTION("""COMPUTED_VALUE"""),15.0)</f>
        <v>15</v>
      </c>
      <c r="G31" s="36">
        <f>IFERROR(__xludf.DUMMYFUNCTION("""COMPUTED_VALUE"""),85.0)</f>
        <v>85</v>
      </c>
    </row>
    <row r="32">
      <c r="A32" s="36" t="str">
        <f>IFERROR(__xludf.DUMMYFUNCTION("""COMPUTED_VALUE"""),"กลุ่มงานโภชนศาสตร์")</f>
        <v>กลุ่มงานโภชนศาสตร์</v>
      </c>
      <c r="B32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32" s="36" t="str">
        <f>IFERROR(__xludf.DUMMYFUNCTION("""COMPUTED_VALUE"""),"กลุ่มงานโภชนศาสตร์")</f>
        <v>กลุ่มงานโภชนศาสตร์</v>
      </c>
      <c r="D32" s="36" t="str">
        <f>IFERROR(__xludf.DUMMYFUNCTION("""COMPUTED_VALUE"""),"กลุ่มงานโภชนศาสตร์")</f>
        <v>กลุ่มงานโภชนศาสตร์</v>
      </c>
      <c r="E32" s="36">
        <f>IFERROR(__xludf.DUMMYFUNCTION("""COMPUTED_VALUE"""),4.0)</f>
        <v>4</v>
      </c>
      <c r="F32" s="36">
        <f>IFERROR(__xludf.DUMMYFUNCTION("""COMPUTED_VALUE"""),4.0)</f>
        <v>4</v>
      </c>
      <c r="G32" s="36">
        <f>IFERROR(__xludf.DUMMYFUNCTION("""COMPUTED_VALUE"""),199.0)</f>
        <v>199</v>
      </c>
    </row>
    <row r="33">
      <c r="A33" s="36" t="str">
        <f>IFERROR(__xludf.DUMMYFUNCTION("""COMPUTED_VALUE"""),"กลุ่มงานรังสีวิทยา")</f>
        <v>กลุ่มงานรังสีวิทยา</v>
      </c>
      <c r="B33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33" s="36" t="str">
        <f>IFERROR(__xludf.DUMMYFUNCTION("""COMPUTED_VALUE"""),"กลุ่มงานรังสีวิทยา")</f>
        <v>กลุ่มงานรังสีวิทยา</v>
      </c>
      <c r="D33" s="36" t="str">
        <f>IFERROR(__xludf.DUMMYFUNCTION("""COMPUTED_VALUE"""),"กลุ่มงานรังสีวิทยา")</f>
        <v>กลุ่มงานรังสีวิทยา</v>
      </c>
      <c r="E33" s="36">
        <f>IFERROR(__xludf.DUMMYFUNCTION("""COMPUTED_VALUE"""),5.0)</f>
        <v>5</v>
      </c>
      <c r="F33" s="36">
        <f>IFERROR(__xludf.DUMMYFUNCTION("""COMPUTED_VALUE"""),9.0)</f>
        <v>9</v>
      </c>
      <c r="G33" s="36">
        <f>IFERROR(__xludf.DUMMYFUNCTION("""COMPUTED_VALUE"""),199.0)</f>
        <v>199</v>
      </c>
    </row>
    <row r="34">
      <c r="A34" s="36" t="str">
        <f>IFERROR(__xludf.DUMMYFUNCTION("""COMPUTED_VALUE"""),"กลุ่มงานบริหารทั่วไป")</f>
        <v>กลุ่มงานบริหารทั่วไป</v>
      </c>
      <c r="B34" s="36" t="str">
        <f>IFERROR(__xludf.DUMMYFUNCTION("""COMPUTED_VALUE"""),"ภารกิจด้านอำนวยการ")</f>
        <v>ภารกิจด้านอำนวยการ</v>
      </c>
      <c r="C34" s="36" t="str">
        <f>IFERROR(__xludf.DUMMYFUNCTION("""COMPUTED_VALUE"""),"กลุ่มงานยุทธศาสตร์และแผนงานโครงการ")</f>
        <v>กลุ่มงานยุทธศาสตร์และแผนงานโครงการ</v>
      </c>
      <c r="D34" s="36" t="str">
        <f>IFERROR(__xludf.DUMMYFUNCTION("""COMPUTED_VALUE"""),"กลุ่มงานยุทธศาสตร์และแผนงานโครงการ")</f>
        <v>กลุ่มงานยุทธศาสตร์และแผนงานโครงการ</v>
      </c>
      <c r="E34" s="36">
        <f>IFERROR(__xludf.DUMMYFUNCTION("""COMPUTED_VALUE"""),1.0)</f>
        <v>1</v>
      </c>
      <c r="F34" s="36">
        <f>IFERROR(__xludf.DUMMYFUNCTION("""COMPUTED_VALUE"""),9.0)</f>
        <v>9</v>
      </c>
      <c r="G34" s="36">
        <f>IFERROR(__xludf.DUMMYFUNCTION("""COMPUTED_VALUE"""),28.0)</f>
        <v>28</v>
      </c>
    </row>
    <row r="35">
      <c r="A35" s="36" t="str">
        <f>IFERROR(__xludf.DUMMYFUNCTION("""COMPUTED_VALUE"""),"กลุ่มงานสุขภาพดิจิทัล")</f>
        <v>กลุ่มงานสุขภาพดิจิทัล</v>
      </c>
      <c r="B35" s="36" t="str">
        <f>IFERROR(__xludf.DUMMYFUNCTION("""COMPUTED_VALUE"""),"ภารกิจสุขภาพดิจิทัล")</f>
        <v>ภารกิจสุขภาพดิจิทัล</v>
      </c>
      <c r="C35" s="36" t="str">
        <f>IFERROR(__xludf.DUMMYFUNCTION("""COMPUTED_VALUE"""),"กลุ่มงานสุขภาพดิจิทัล")</f>
        <v>กลุ่มงานสุขภาพดิจิทัล</v>
      </c>
      <c r="D35" s="36" t="str">
        <f>IFERROR(__xludf.DUMMYFUNCTION("""COMPUTED_VALUE"""),"กลุ่มงานสุขภาพดิจิทัล")</f>
        <v>กลุ่มงานสุขภาพดิจิทัล</v>
      </c>
      <c r="E35" s="36">
        <f>IFERROR(__xludf.DUMMYFUNCTION("""COMPUTED_VALUE"""),3.0)</f>
        <v>3</v>
      </c>
      <c r="F35" s="36">
        <f>IFERROR(__xludf.DUMMYFUNCTION("""COMPUTED_VALUE"""),4.0)</f>
        <v>4</v>
      </c>
      <c r="G35" s="36">
        <f>IFERROR(__xludf.DUMMYFUNCTION("""COMPUTED_VALUE"""),15.0)</f>
        <v>15</v>
      </c>
    </row>
    <row r="36">
      <c r="A36" s="36" t="str">
        <f>IFERROR(__xludf.DUMMYFUNCTION("""COMPUTED_VALUE"""),"กลุ่มงานบัญชี")</f>
        <v>กลุ่มงานบัญชี</v>
      </c>
      <c r="B36" s="36" t="str">
        <f>IFERROR(__xludf.DUMMYFUNCTION("""COMPUTED_VALUE"""),"ภารกิจด้านอำนวยการ")</f>
        <v>ภารกิจด้านอำนวยการ</v>
      </c>
      <c r="C36" s="36" t="str">
        <f>IFERROR(__xludf.DUMMYFUNCTION("""COMPUTED_VALUE"""),"กลุ่มงานบัญชี")</f>
        <v>กลุ่มงานบัญชี</v>
      </c>
      <c r="D36" s="36" t="str">
        <f>IFERROR(__xludf.DUMMYFUNCTION("""COMPUTED_VALUE"""),"กลุ่มงานบัญชี")</f>
        <v>กลุ่มงานบัญชี</v>
      </c>
      <c r="E36" s="36">
        <f>IFERROR(__xludf.DUMMYFUNCTION("""COMPUTED_VALUE"""),3.0)</f>
        <v>3</v>
      </c>
      <c r="F36" s="36">
        <f>IFERROR(__xludf.DUMMYFUNCTION("""COMPUTED_VALUE"""),5.0)</f>
        <v>5</v>
      </c>
      <c r="G36" s="36">
        <f>IFERROR(__xludf.DUMMYFUNCTION("""COMPUTED_VALUE"""),85.0)</f>
        <v>85</v>
      </c>
    </row>
    <row r="37">
      <c r="A37" s="36" t="str">
        <f>IFERROR(__xludf.DUMMYFUNCTION("""COMPUTED_VALUE"""),"กลุ่มงานการเงิน")</f>
        <v>กลุ่มงานการเงิน</v>
      </c>
      <c r="B37" s="36" t="str">
        <f>IFERROR(__xludf.DUMMYFUNCTION("""COMPUTED_VALUE"""),"ภารกิจด้านอำนวยการ")</f>
        <v>ภารกิจด้านอำนวยการ</v>
      </c>
      <c r="C37" s="36" t="str">
        <f>IFERROR(__xludf.DUMMYFUNCTION("""COMPUTED_VALUE"""),"กลุ่มงานการเงิน")</f>
        <v>กลุ่มงานการเงิน</v>
      </c>
      <c r="D37" s="36" t="str">
        <f>IFERROR(__xludf.DUMMYFUNCTION("""COMPUTED_VALUE"""),"กลุ่มงานการเงิน")</f>
        <v>กลุ่มงานการเงิน</v>
      </c>
      <c r="E37" s="36">
        <f>IFERROR(__xludf.DUMMYFUNCTION("""COMPUTED_VALUE"""),3.0)</f>
        <v>3</v>
      </c>
      <c r="F37" s="36">
        <f>IFERROR(__xludf.DUMMYFUNCTION("""COMPUTED_VALUE"""),20.0)</f>
        <v>20</v>
      </c>
      <c r="G37" s="36">
        <f>IFERROR(__xludf.DUMMYFUNCTION("""COMPUTED_VALUE"""),85.0)</f>
        <v>85</v>
      </c>
    </row>
    <row r="38">
      <c r="A38" s="36" t="str">
        <f>IFERROR(__xludf.DUMMYFUNCTION("""COMPUTED_VALUE"""),"กลุ่มงานพัสดุ")</f>
        <v>กลุ่มงานพัสดุ</v>
      </c>
      <c r="B38" s="36" t="str">
        <f>IFERROR(__xludf.DUMMYFUNCTION("""COMPUTED_VALUE"""),"ภารกิจด้านอำนวยการ")</f>
        <v>ภารกิจด้านอำนวยการ</v>
      </c>
      <c r="C38" s="36" t="str">
        <f>IFERROR(__xludf.DUMMYFUNCTION("""COMPUTED_VALUE"""),"กลุ่มงานพัสดุ")</f>
        <v>กลุ่มงานพัสดุ</v>
      </c>
      <c r="D38" s="36" t="str">
        <f>IFERROR(__xludf.DUMMYFUNCTION("""COMPUTED_VALUE"""),"กลุ่มงานพัสดุ")</f>
        <v>กลุ่มงานพัสดุ</v>
      </c>
      <c r="E38" s="36">
        <f>IFERROR(__xludf.DUMMYFUNCTION("""COMPUTED_VALUE"""),5.0)</f>
        <v>5</v>
      </c>
      <c r="F38" s="36">
        <f>IFERROR(__xludf.DUMMYFUNCTION("""COMPUTED_VALUE"""),15.0)</f>
        <v>15</v>
      </c>
      <c r="G38" s="36">
        <f>IFERROR(__xludf.DUMMYFUNCTION("""COMPUTED_VALUE"""),85.0)</f>
        <v>85</v>
      </c>
    </row>
    <row r="39">
      <c r="A39" s="36" t="str">
        <f>IFERROR(__xludf.DUMMYFUNCTION("""COMPUTED_VALUE"""),"กลุ่มงานทันตกรรม")</f>
        <v>กลุ่มงานทันตกรรม</v>
      </c>
      <c r="B39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39" s="36" t="str">
        <f>IFERROR(__xludf.DUMMYFUNCTION("""COMPUTED_VALUE"""),"กลุ่มงานทันตกรรม")</f>
        <v>กลุ่มงานทันตกรรม</v>
      </c>
      <c r="D39" s="36" t="str">
        <f>IFERROR(__xludf.DUMMYFUNCTION("""COMPUTED_VALUE"""),"กลุ่มงานทันตกรรม")</f>
        <v>กลุ่มงานทันตกรรม</v>
      </c>
      <c r="E39" s="36">
        <f>IFERROR(__xludf.DUMMYFUNCTION("""COMPUTED_VALUE"""),5.0)</f>
        <v>5</v>
      </c>
      <c r="F39" s="36">
        <f>IFERROR(__xludf.DUMMYFUNCTION("""COMPUTED_VALUE"""),18.0)</f>
        <v>18</v>
      </c>
      <c r="G39" s="36">
        <f>IFERROR(__xludf.DUMMYFUNCTION("""COMPUTED_VALUE"""),199.0)</f>
        <v>199</v>
      </c>
    </row>
    <row r="40">
      <c r="A40" s="36" t="str">
        <f>IFERROR(__xludf.DUMMYFUNCTION("""COMPUTED_VALUE"""),"กลุ่มงานยุทธศาสตร์และแผนงานโครงการ")</f>
        <v>กลุ่มงานยุทธศาสตร์และแผนงานโครงการ</v>
      </c>
      <c r="B40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40" s="36" t="str">
        <f>IFERROR(__xludf.DUMMYFUNCTION("""COMPUTED_VALUE"""),"กลุ่มงานยุทธศาสตร์และแผนงานโครงการ")</f>
        <v>กลุ่มงานยุทธศาสตร์และแผนงานโครงการ</v>
      </c>
      <c r="D40" s="36" t="str">
        <f>IFERROR(__xludf.DUMMYFUNCTION("""COMPUTED_VALUE"""),"กลุ่มงานยุทธศาสตร์และแผนงานโครงการ")</f>
        <v>กลุ่มงานยุทธศาสตร์และแผนงานโครงการ</v>
      </c>
      <c r="E40" s="36">
        <f>IFERROR(__xludf.DUMMYFUNCTION("""COMPUTED_VALUE"""),3.0)</f>
        <v>3</v>
      </c>
      <c r="F40" s="36">
        <f>IFERROR(__xludf.DUMMYFUNCTION("""COMPUTED_VALUE"""),9.0)</f>
        <v>9</v>
      </c>
      <c r="G40" s="36">
        <f>IFERROR(__xludf.DUMMYFUNCTION("""COMPUTED_VALUE"""),28.0)</f>
        <v>28</v>
      </c>
    </row>
    <row r="41">
      <c r="A41" s="36" t="str">
        <f>IFERROR(__xludf.DUMMYFUNCTION("""COMPUTED_VALUE"""),"กลุ่มงานเวชระเบียนและข้อมูลทางการแพทย์")</f>
        <v>กลุ่มงานเวชระเบียนและข้อมูลทางการแพทย์</v>
      </c>
      <c r="B41" s="36" t="str">
        <f>IFERROR(__xludf.DUMMYFUNCTION("""COMPUTED_VALUE"""),"ภารกิจสุขภาพดิจิทัล")</f>
        <v>ภารกิจสุขภาพดิจิทัล</v>
      </c>
      <c r="C41" s="36" t="str">
        <f>IFERROR(__xludf.DUMMYFUNCTION("""COMPUTED_VALUE"""),"กลุ่มงานเวชระเบียนและข้อมูลทางการแพทย์")</f>
        <v>กลุ่มงานเวชระเบียนและข้อมูลทางการแพทย์</v>
      </c>
      <c r="D41" s="36" t="str">
        <f>IFERROR(__xludf.DUMMYFUNCTION("""COMPUTED_VALUE"""),"กลุ่มงานเวชระเบียนและข้อมูลทางการแพทย์")</f>
        <v>กลุ่มงานเวชระเบียนและข้อมูลทางการแพทย์</v>
      </c>
      <c r="E41" s="36">
        <f>IFERROR(__xludf.DUMMYFUNCTION("""COMPUTED_VALUE"""),3.0)</f>
        <v>3</v>
      </c>
      <c r="F41" s="36">
        <f>IFERROR(__xludf.DUMMYFUNCTION("""COMPUTED_VALUE"""),4.0)</f>
        <v>4</v>
      </c>
      <c r="G41" s="36">
        <f>IFERROR(__xludf.DUMMYFUNCTION("""COMPUTED_VALUE"""),15.0)</f>
        <v>15</v>
      </c>
    </row>
    <row r="42">
      <c r="A42" s="36" t="str">
        <f>IFERROR(__xludf.DUMMYFUNCTION("""COMPUTED_VALUE"""),"กลุ่มงานเวชระเบียนและข้อมูลทางการแพทย์")</f>
        <v>กลุ่มงานเวชระเบียนและข้อมูลทางการแพทย์</v>
      </c>
      <c r="B42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42" s="36" t="str">
        <f>IFERROR(__xludf.DUMMYFUNCTION("""COMPUTED_VALUE"""),"กลุ่มงานเวชระเบียนและข้อมูลทางการแพทย์")</f>
        <v>กลุ่มงานเวชระเบียนและข้อมูลทางการแพทย์</v>
      </c>
      <c r="D42" s="36" t="str">
        <f>IFERROR(__xludf.DUMMYFUNCTION("""COMPUTED_VALUE"""),"กลุ่มงานเวชระเบียนและข้อมูลทางการแพทย์")</f>
        <v>กลุ่มงานเวชระเบียนและข้อมูลทางการแพทย์</v>
      </c>
      <c r="E42" s="36">
        <f>IFERROR(__xludf.DUMMYFUNCTION("""COMPUTED_VALUE"""),3.0)</f>
        <v>3</v>
      </c>
      <c r="F42" s="36">
        <f>IFERROR(__xludf.DUMMYFUNCTION("""COMPUTED_VALUE"""),4.0)</f>
        <v>4</v>
      </c>
      <c r="G42" s="36">
        <f>IFERROR(__xludf.DUMMYFUNCTION("""COMPUTED_VALUE"""),15.0)</f>
        <v>15</v>
      </c>
    </row>
    <row r="43">
      <c r="A43" s="36" t="str">
        <f>IFERROR(__xludf.DUMMYFUNCTION("""COMPUTED_VALUE"""),"กลุ่มงานเวชกรรมสังคม")</f>
        <v>กลุ่มงานเวชกรรมสังคม</v>
      </c>
      <c r="B43" s="36" t="str">
        <f>IFERROR(__xludf.DUMMYFUNCTION("""COMPUTED_VALUE"""),"ภารกิจด้านบริการปฐมภูมิ")</f>
        <v>ภารกิจด้านบริการปฐมภูมิ</v>
      </c>
      <c r="C43" s="36" t="str">
        <f>IFERROR(__xludf.DUMMYFUNCTION("""COMPUTED_VALUE"""),"งานป้องกันควบคุมโรคและระบาดวิทยา")</f>
        <v>งานป้องกันควบคุมโรคและระบาดวิทยา</v>
      </c>
      <c r="D43" s="36" t="str">
        <f>IFERROR(__xludf.DUMMYFUNCTION("""COMPUTED_VALUE"""),"กลุ่มงานเวชกรรมสังคม")</f>
        <v>กลุ่มงานเวชกรรมสังคม</v>
      </c>
      <c r="E43" s="36">
        <f>IFERROR(__xludf.DUMMYFUNCTION("""COMPUTED_VALUE"""),3.0)</f>
        <v>3</v>
      </c>
      <c r="F43" s="36">
        <f>IFERROR(__xludf.DUMMYFUNCTION("""COMPUTED_VALUE"""),26.0)</f>
        <v>26</v>
      </c>
      <c r="G43" s="36">
        <f>IFERROR(__xludf.DUMMYFUNCTION("""COMPUTED_VALUE"""),66.0)</f>
        <v>66</v>
      </c>
    </row>
    <row r="44">
      <c r="A44" s="36" t="str">
        <f>IFERROR(__xludf.DUMMYFUNCTION("""COMPUTED_VALUE"""),"กลุ่มงานเวชกรรมสังคม")</f>
        <v>กลุ่มงานเวชกรรมสังคม</v>
      </c>
      <c r="B44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44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44" s="36" t="str">
        <f>IFERROR(__xludf.DUMMYFUNCTION("""COMPUTED_VALUE"""),"กลุ่มงานเวชกรรมสังคม")</f>
        <v>กลุ่มงานเวชกรรมสังคม</v>
      </c>
      <c r="E44" s="36">
        <f>IFERROR(__xludf.DUMMYFUNCTION("""COMPUTED_VALUE"""),3.0)</f>
        <v>3</v>
      </c>
      <c r="F44" s="36">
        <f>IFERROR(__xludf.DUMMYFUNCTION("""COMPUTED_VALUE"""),26.0)</f>
        <v>26</v>
      </c>
      <c r="G44" s="36">
        <f>IFERROR(__xludf.DUMMYFUNCTION("""COMPUTED_VALUE"""),66.0)</f>
        <v>66</v>
      </c>
    </row>
    <row r="45">
      <c r="A45" s="36" t="str">
        <f>IFERROR(__xludf.DUMMYFUNCTION("""COMPUTED_VALUE"""),"กลุ่มงานเวชกรรมสังคม")</f>
        <v>กลุ่มงานเวชกรรมสังคม</v>
      </c>
      <c r="B45" s="36" t="str">
        <f>IFERROR(__xludf.DUMMYFUNCTION("""COMPUTED_VALUE"""),"ภารกิจด้านบริการปฐมภูมิ")</f>
        <v>ภารกิจด้านบริการปฐมภูมิ</v>
      </c>
      <c r="C45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45" s="36" t="str">
        <f>IFERROR(__xludf.DUMMYFUNCTION("""COMPUTED_VALUE"""),"กลุ่มงานเวชกรรมสังคม")</f>
        <v>กลุ่มงานเวชกรรมสังคม</v>
      </c>
      <c r="E45" s="36">
        <f>IFERROR(__xludf.DUMMYFUNCTION("""COMPUTED_VALUE"""),3.0)</f>
        <v>3</v>
      </c>
      <c r="F45" s="36">
        <f>IFERROR(__xludf.DUMMYFUNCTION("""COMPUTED_VALUE"""),26.0)</f>
        <v>26</v>
      </c>
      <c r="G45" s="36">
        <f>IFERROR(__xludf.DUMMYFUNCTION("""COMPUTED_VALUE"""),66.0)</f>
        <v>66</v>
      </c>
    </row>
    <row r="46">
      <c r="A46" s="36" t="str">
        <f>IFERROR(__xludf.DUMMYFUNCTION("""COMPUTED_VALUE"""),"กลุ่มงานอาชีวเวชกรรม")</f>
        <v>กลุ่มงานอาชีวเวชกรรม</v>
      </c>
      <c r="B46" s="36" t="str">
        <f>IFERROR(__xludf.DUMMYFUNCTION("""COMPUTED_VALUE"""),"ภารกิจด้านบริการปฐมภูมิ")</f>
        <v>ภารกิจด้านบริการปฐมภูมิ</v>
      </c>
      <c r="C46" s="36" t="str">
        <f>IFERROR(__xludf.DUMMYFUNCTION("""COMPUTED_VALUE"""),"งานส่งเสริมสุขภาพและพื้นฟูสภาพวัยทำงาน")</f>
        <v>งานส่งเสริมสุขภาพและพื้นฟูสภาพวัยทำงาน</v>
      </c>
      <c r="D46" s="36" t="str">
        <f>IFERROR(__xludf.DUMMYFUNCTION("""COMPUTED_VALUE"""),"กลุ่มงานอาชีวเวชกรรม")</f>
        <v>กลุ่มงานอาชีวเวชกรรม</v>
      </c>
      <c r="E46" s="36">
        <f>IFERROR(__xludf.DUMMYFUNCTION("""COMPUTED_VALUE"""),2.0)</f>
        <v>2</v>
      </c>
      <c r="F46" s="36">
        <f>IFERROR(__xludf.DUMMYFUNCTION("""COMPUTED_VALUE"""),17.0)</f>
        <v>17</v>
      </c>
      <c r="G46" s="36">
        <f>IFERROR(__xludf.DUMMYFUNCTION("""COMPUTED_VALUE"""),66.0)</f>
        <v>66</v>
      </c>
    </row>
    <row r="47">
      <c r="A47" s="36" t="str">
        <f>IFERROR(__xludf.DUMMYFUNCTION("""COMPUTED_VALUE"""),"กลุ่มงานอาชีวเวชกรรม")</f>
        <v>กลุ่มงานอาชีวเวชกรรม</v>
      </c>
      <c r="B47" s="36" t="str">
        <f>IFERROR(__xludf.DUMMYFUNCTION("""COMPUTED_VALUE"""),"ภารกิจด้านบริการปฐมภูมิ")</f>
        <v>ภารกิจด้านบริการปฐมภูมิ</v>
      </c>
      <c r="C47" s="36" t="str">
        <f>IFERROR(__xludf.DUMMYFUNCTION("""COMPUTED_VALUE"""),"งานพิษวิทยาและเวชศาสตร์สิ่งแวดล้อม")</f>
        <v>งานพิษวิทยาและเวชศาสตร์สิ่งแวดล้อม</v>
      </c>
      <c r="D47" s="36" t="str">
        <f>IFERROR(__xludf.DUMMYFUNCTION("""COMPUTED_VALUE"""),"กลุ่มงานอาชีวเวชกรรม")</f>
        <v>กลุ่มงานอาชีวเวชกรรม</v>
      </c>
      <c r="E47" s="36">
        <f>IFERROR(__xludf.DUMMYFUNCTION("""COMPUTED_VALUE"""),1.0)</f>
        <v>1</v>
      </c>
      <c r="F47" s="36">
        <f>IFERROR(__xludf.DUMMYFUNCTION("""COMPUTED_VALUE"""),17.0)</f>
        <v>17</v>
      </c>
      <c r="G47" s="36">
        <f>IFERROR(__xludf.DUMMYFUNCTION("""COMPUTED_VALUE"""),66.0)</f>
        <v>66</v>
      </c>
    </row>
    <row r="48">
      <c r="A48" s="36" t="str">
        <f>IFERROR(__xludf.DUMMYFUNCTION("""COMPUTED_VALUE"""),"กลุ่มงานอาชีวเวชกรรม")</f>
        <v>กลุ่มงานอาชีวเวชกรรม</v>
      </c>
      <c r="B48" s="36" t="str">
        <f>IFERROR(__xludf.DUMMYFUNCTION("""COMPUTED_VALUE"""),"ภารกิจด้านบริการปฐมภูมิ")</f>
        <v>ภารกิจด้านบริการปฐมภูมิ</v>
      </c>
      <c r="C48" s="36" t="str">
        <f>IFERROR(__xludf.DUMMYFUNCTION("""COMPUTED_VALUE"""),"งานอาชีวอนามัยความปลอดภัยและอนามัยสิ่งแวดล้อม")</f>
        <v>งานอาชีวอนามัยความปลอดภัยและอนามัยสิ่งแวดล้อม</v>
      </c>
      <c r="D48" s="36" t="str">
        <f>IFERROR(__xludf.DUMMYFUNCTION("""COMPUTED_VALUE"""),"กลุ่มงานอาชีวเวชกรรม")</f>
        <v>กลุ่มงานอาชีวเวชกรรม</v>
      </c>
      <c r="E48" s="36">
        <f>IFERROR(__xludf.DUMMYFUNCTION("""COMPUTED_VALUE"""),1.0)</f>
        <v>1</v>
      </c>
      <c r="F48" s="36">
        <f>IFERROR(__xludf.DUMMYFUNCTION("""COMPUTED_VALUE"""),17.0)</f>
        <v>17</v>
      </c>
      <c r="G48" s="36">
        <f>IFERROR(__xludf.DUMMYFUNCTION("""COMPUTED_VALUE"""),66.0)</f>
        <v>66</v>
      </c>
    </row>
    <row r="49">
      <c r="A49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B49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49" s="36" t="str">
        <f>IFERROR(__xludf.DUMMYFUNCTION("""COMPUTED_VALUE"""),"กลุ่มงานยุทธศาสตร์และแผนงานโครงการ")</f>
        <v>กลุ่มงานยุทธศาสตร์และแผนงานโครงการ</v>
      </c>
      <c r="D49" s="36" t="str">
        <f>IFERROR(__xludf.DUMMYFUNCTION("""COMPUTED_VALUE"""),"กลุ่มงานยุทธศาสตร์และแผนงานโครงการ")</f>
        <v>กลุ่มงานยุทธศาสตร์และแผนงานโครงการ</v>
      </c>
      <c r="E49" s="36">
        <f>IFERROR(__xludf.DUMMYFUNCTION("""COMPUTED_VALUE"""),5.0)</f>
        <v>5</v>
      </c>
      <c r="F49" s="36">
        <f>IFERROR(__xludf.DUMMYFUNCTION("""COMPUTED_VALUE"""),5.0)</f>
        <v>5</v>
      </c>
      <c r="G49" s="36">
        <f>IFERROR(__xludf.DUMMYFUNCTION("""COMPUTED_VALUE"""),28.0)</f>
        <v>28</v>
      </c>
    </row>
    <row r="50">
      <c r="A50" s="36" t="str">
        <f>IFERROR(__xludf.DUMMYFUNCTION("""COMPUTED_VALUE"""),"กลุ่มงานพัฒนาคุณภาพบริการและมาตรฐาน")</f>
        <v>กลุ่มงานพัฒนาคุณภาพบริการและมาตรฐาน</v>
      </c>
      <c r="B50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50" s="36" t="str">
        <f>IFERROR(__xludf.DUMMYFUNCTION("""COMPUTED_VALUE"""),"กลุ่มงานพัฒนาคุณภาพบริการและมาตรฐาน")</f>
        <v>กลุ่มงานพัฒนาคุณภาพบริการและมาตรฐาน</v>
      </c>
      <c r="D50" s="36" t="str">
        <f>IFERROR(__xludf.DUMMYFUNCTION("""COMPUTED_VALUE"""),"กลุ่มงานพัฒนาคุณภาพบริการและมาตรฐาน")</f>
        <v>กลุ่มงานพัฒนาคุณภาพบริการและมาตรฐาน</v>
      </c>
      <c r="E50" s="36">
        <f>IFERROR(__xludf.DUMMYFUNCTION("""COMPUTED_VALUE"""),5.0)</f>
        <v>5</v>
      </c>
      <c r="F50" s="36">
        <f>IFERROR(__xludf.DUMMYFUNCTION("""COMPUTED_VALUE"""),7.0)</f>
        <v>7</v>
      </c>
      <c r="G50" s="36">
        <f>IFERROR(__xludf.DUMMYFUNCTION("""COMPUTED_VALUE"""),28.0)</f>
        <v>28</v>
      </c>
    </row>
    <row r="51">
      <c r="A51" s="36" t="str">
        <f>IFERROR(__xludf.DUMMYFUNCTION("""COMPUTED_VALUE"""),"กลุ่มงานพัฒนาทรัพยากรบุคคล")</f>
        <v>กลุ่มงานพัฒนาทรัพยากรบุคคล</v>
      </c>
      <c r="B51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51" s="36" t="str">
        <f>IFERROR(__xludf.DUMMYFUNCTION("""COMPUTED_VALUE"""),"กลุ่มงานพัฒนาทรัพยากรบุคคล")</f>
        <v>กลุ่มงานพัฒนาทรัพยากรบุคคล</v>
      </c>
      <c r="D51" s="36" t="str">
        <f>IFERROR(__xludf.DUMMYFUNCTION("""COMPUTED_VALUE"""),"กลุ่มงานพัฒนาทรัพยากรบุคคล")</f>
        <v>กลุ่มงานพัฒนาทรัพยากรบุคคล</v>
      </c>
      <c r="E51" s="36">
        <f>IFERROR(__xludf.DUMMYFUNCTION("""COMPUTED_VALUE"""),1.0)</f>
        <v>1</v>
      </c>
      <c r="F51" s="36">
        <f>IFERROR(__xludf.DUMMYFUNCTION("""COMPUTED_VALUE"""),5.0)</f>
        <v>5</v>
      </c>
      <c r="G51" s="36">
        <f>IFERROR(__xludf.DUMMYFUNCTION("""COMPUTED_VALUE"""),28.0)</f>
        <v>28</v>
      </c>
    </row>
    <row r="52">
      <c r="A52" s="36" t="str">
        <f>IFERROR(__xludf.DUMMYFUNCTION("""COMPUTED_VALUE"""),"กลุ่มงานยุทธศาสตร์และแผนงานโครงการ")</f>
        <v>กลุ่มงานยุทธศาสตร์และแผนงานโครงการ</v>
      </c>
      <c r="B52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52" s="36" t="str">
        <f>IFERROR(__xludf.DUMMYFUNCTION("""COMPUTED_VALUE"""),"กลุ่มงานยุทธศาสตร์และแผนงานโครงการ")</f>
        <v>กลุ่มงานยุทธศาสตร์และแผนงานโครงการ</v>
      </c>
      <c r="D52" s="36" t="str">
        <f>IFERROR(__xludf.DUMMYFUNCTION("""COMPUTED_VALUE"""),"กลุ่มงานยุทธศาสตร์และแผนงานโครงการ")</f>
        <v>กลุ่มงานยุทธศาสตร์และแผนงานโครงการ</v>
      </c>
      <c r="E52" s="36">
        <f>IFERROR(__xludf.DUMMYFUNCTION("""COMPUTED_VALUE"""),5.0)</f>
        <v>5</v>
      </c>
      <c r="F52" s="36">
        <f>IFERROR(__xludf.DUMMYFUNCTION("""COMPUTED_VALUE"""),9.0)</f>
        <v>9</v>
      </c>
      <c r="G52" s="36">
        <f>IFERROR(__xludf.DUMMYFUNCTION("""COMPUTED_VALUE"""),28.0)</f>
        <v>28</v>
      </c>
    </row>
    <row r="53">
      <c r="A53" s="36" t="str">
        <f>IFERROR(__xludf.DUMMYFUNCTION("""COMPUTED_VALUE"""),"กลุ่มงานอาชีวเวชกรรม")</f>
        <v>กลุ่มงานอาชีวเวชกรรม</v>
      </c>
      <c r="B53" s="36" t="str">
        <f>IFERROR(__xludf.DUMMYFUNCTION("""COMPUTED_VALUE"""),"ภารกิจด้านบริการปฐมภูมิ")</f>
        <v>ภารกิจด้านบริการปฐมภูมิ</v>
      </c>
      <c r="C53" s="36" t="str">
        <f>IFERROR(__xludf.DUMMYFUNCTION("""COMPUTED_VALUE"""),"งานอาชีวป้องกันและควบคุมโรค")</f>
        <v>งานอาชีวป้องกันและควบคุมโรค</v>
      </c>
      <c r="D53" s="36" t="str">
        <f>IFERROR(__xludf.DUMMYFUNCTION("""COMPUTED_VALUE"""),"กลุ่มงานอาชีวเวชกรรม")</f>
        <v>กลุ่มงานอาชีวเวชกรรม</v>
      </c>
      <c r="E53" s="36">
        <f>IFERROR(__xludf.DUMMYFUNCTION("""COMPUTED_VALUE"""),2.0)</f>
        <v>2</v>
      </c>
      <c r="F53" s="36">
        <f>IFERROR(__xludf.DUMMYFUNCTION("""COMPUTED_VALUE"""),17.0)</f>
        <v>17</v>
      </c>
      <c r="G53" s="36">
        <f>IFERROR(__xludf.DUMMYFUNCTION("""COMPUTED_VALUE"""),66.0)</f>
        <v>66</v>
      </c>
    </row>
    <row r="54">
      <c r="A54" s="36" t="str">
        <f>IFERROR(__xludf.DUMMYFUNCTION("""COMPUTED_VALUE"""),"กลุ่มงานพัฒนาทรัพยากรบุคคล")</f>
        <v>กลุ่มงานพัฒนาทรัพยากรบุคคล</v>
      </c>
      <c r="B54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54" s="36" t="str">
        <f>IFERROR(__xludf.DUMMYFUNCTION("""COMPUTED_VALUE"""),"กลุ่มงานพัฒนาทรัพยากรบุคคล")</f>
        <v>กลุ่มงานพัฒนาทรัพยากรบุคคล</v>
      </c>
      <c r="D54" s="36" t="str">
        <f>IFERROR(__xludf.DUMMYFUNCTION("""COMPUTED_VALUE"""),"กลุ่มงานพัฒนาทรัพยากรบุคคล")</f>
        <v>กลุ่มงานพัฒนาทรัพยากรบุคคล</v>
      </c>
      <c r="E54" s="36">
        <f>IFERROR(__xludf.DUMMYFUNCTION("""COMPUTED_VALUE"""),2.0)</f>
        <v>2</v>
      </c>
      <c r="F54" s="36">
        <f>IFERROR(__xludf.DUMMYFUNCTION("""COMPUTED_VALUE"""),5.0)</f>
        <v>5</v>
      </c>
      <c r="G54" s="36">
        <f>IFERROR(__xludf.DUMMYFUNCTION("""COMPUTED_VALUE"""),28.0)</f>
        <v>28</v>
      </c>
    </row>
    <row r="55">
      <c r="A55" s="36" t="str">
        <f>IFERROR(__xludf.DUMMYFUNCTION("""COMPUTED_VALUE"""),"กลุ่มงานสังคมสงเคราะห์")</f>
        <v>กลุ่มงานสังคมสงเคราะห์</v>
      </c>
      <c r="B55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55" s="36" t="str">
        <f>IFERROR(__xludf.DUMMYFUNCTION("""COMPUTED_VALUE"""),"กลุ่มงานสังคมสงเคราะห์")</f>
        <v>กลุ่มงานสังคมสงเคราะห์</v>
      </c>
      <c r="D55" s="36" t="str">
        <f>IFERROR(__xludf.DUMMYFUNCTION("""COMPUTED_VALUE"""),"กลุ่มงานสังคมสงเคราะห์")</f>
        <v>กลุ่มงานสังคมสงเคราะห์</v>
      </c>
      <c r="E55" s="36">
        <f>IFERROR(__xludf.DUMMYFUNCTION("""COMPUTED_VALUE"""),2.0)</f>
        <v>2</v>
      </c>
      <c r="F55" s="36">
        <f>IFERROR(__xludf.DUMMYFUNCTION("""COMPUTED_VALUE"""),2.0)</f>
        <v>2</v>
      </c>
      <c r="G55" s="36">
        <f>IFERROR(__xludf.DUMMYFUNCTION("""COMPUTED_VALUE"""),199.0)</f>
        <v>199</v>
      </c>
    </row>
    <row r="56">
      <c r="A56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B56" s="36" t="str">
        <f>IFERROR(__xludf.DUMMYFUNCTION("""COMPUTED_VALUE"""),"ภารกิจด้านอำนวยการ")</f>
        <v>ภารกิจด้านอำนวยการ</v>
      </c>
      <c r="C56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D56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E56" s="36">
        <f>IFERROR(__xludf.DUMMYFUNCTION("""COMPUTED_VALUE"""),17.0)</f>
        <v>17</v>
      </c>
      <c r="F56" s="36">
        <f>IFERROR(__xludf.DUMMYFUNCTION("""COMPUTED_VALUE"""),20.0)</f>
        <v>20</v>
      </c>
      <c r="G56" s="36">
        <f>IFERROR(__xludf.DUMMYFUNCTION("""COMPUTED_VALUE"""),85.0)</f>
        <v>85</v>
      </c>
    </row>
    <row r="57">
      <c r="A57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B57" s="36" t="str">
        <f>IFERROR(__xludf.DUMMYFUNCTION("""COMPUTED_VALUE"""),"ภารกิจด้านอำนวยการ")</f>
        <v>ภารกิจด้านอำนวยการ</v>
      </c>
      <c r="C57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D57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E57" s="36">
        <f>IFERROR(__xludf.DUMMYFUNCTION("""COMPUTED_VALUE"""),3.0)</f>
        <v>3</v>
      </c>
      <c r="F57" s="36">
        <f>IFERROR(__xludf.DUMMYFUNCTION("""COMPUTED_VALUE"""),3.0)</f>
        <v>3</v>
      </c>
      <c r="G57" s="36">
        <f>IFERROR(__xludf.DUMMYFUNCTION("""COMPUTED_VALUE"""),57.0)</f>
        <v>57</v>
      </c>
    </row>
    <row r="58">
      <c r="A58" s="36" t="str">
        <f>IFERROR(__xludf.DUMMYFUNCTION("""COMPUTED_VALUE"""),"กลุ่มงานสูติ - นรีเวชกรรม")</f>
        <v>กลุ่มงานสูติ - นรีเวชกรรม</v>
      </c>
      <c r="B58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58" s="36" t="str">
        <f>IFERROR(__xludf.DUMMYFUNCTION("""COMPUTED_VALUE"""),"กลุ่มงานสูติ - นรีเวชกรรม")</f>
        <v>กลุ่มงานสูติ - นรีเวชกรรม</v>
      </c>
      <c r="D58" s="36" t="str">
        <f>IFERROR(__xludf.DUMMYFUNCTION("""COMPUTED_VALUE"""),"กลุ่มงานสูติ - นรีเวชกรรม")</f>
        <v>กลุ่มงานสูติ - นรีเวชกรรม</v>
      </c>
      <c r="E58" s="36">
        <f>IFERROR(__xludf.DUMMYFUNCTION("""COMPUTED_VALUE"""),5.0)</f>
        <v>5</v>
      </c>
      <c r="F58" s="36">
        <f>IFERROR(__xludf.DUMMYFUNCTION("""COMPUTED_VALUE"""),5.0)</f>
        <v>5</v>
      </c>
      <c r="G58" s="36">
        <f>IFERROR(__xludf.DUMMYFUNCTION("""COMPUTED_VALUE"""),199.0)</f>
        <v>199</v>
      </c>
    </row>
    <row r="59">
      <c r="A59" s="36" t="str">
        <f>IFERROR(__xludf.DUMMYFUNCTION("""COMPUTED_VALUE"""),"กลุ่มงานสูติ - นรีเวชกรรม")</f>
        <v>กลุ่มงานสูติ - นรีเวชกรรม</v>
      </c>
      <c r="B59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59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59" s="36" t="str">
        <f>IFERROR(__xludf.DUMMYFUNCTION("""COMPUTED_VALUE"""),"กลุ่มงานเวชกรรมสังคม")</f>
        <v>กลุ่มงานเวชกรรมสังคม</v>
      </c>
      <c r="E59" s="36">
        <f>IFERROR(__xludf.DUMMYFUNCTION("""COMPUTED_VALUE"""),5.0)</f>
        <v>5</v>
      </c>
      <c r="F59" s="36">
        <f>IFERROR(__xludf.DUMMYFUNCTION("""COMPUTED_VALUE"""),5.0)</f>
        <v>5</v>
      </c>
      <c r="G59" s="36">
        <f>IFERROR(__xludf.DUMMYFUNCTION("""COMPUTED_VALUE"""),199.0)</f>
        <v>199</v>
      </c>
    </row>
    <row r="60">
      <c r="A60" s="36" t="str">
        <f>IFERROR(__xludf.DUMMYFUNCTION("""COMPUTED_VALUE"""),"กลุ่มงานผู้ป่วยนอก")</f>
        <v>กลุ่มงานผู้ป่วยนอก</v>
      </c>
      <c r="B60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60" s="36" t="str">
        <f>IFERROR(__xludf.DUMMYFUNCTION("""COMPUTED_VALUE"""),"กลุ่มงานผู้ป่วยนอก")</f>
        <v>กลุ่มงานผู้ป่วยนอก</v>
      </c>
      <c r="D60" s="36" t="str">
        <f>IFERROR(__xludf.DUMMYFUNCTION("""COMPUTED_VALUE"""),"กลุ่มงานผู้ป่วยนอก")</f>
        <v>กลุ่มงานผู้ป่วยนอก</v>
      </c>
      <c r="E60" s="36">
        <f>IFERROR(__xludf.DUMMYFUNCTION("""COMPUTED_VALUE"""),5.0)</f>
        <v>5</v>
      </c>
      <c r="F60" s="36">
        <f>IFERROR(__xludf.DUMMYFUNCTION("""COMPUTED_VALUE"""),5.0)</f>
        <v>5</v>
      </c>
      <c r="G60" s="36">
        <f>IFERROR(__xludf.DUMMYFUNCTION("""COMPUTED_VALUE"""),199.0)</f>
        <v>199</v>
      </c>
    </row>
    <row r="61">
      <c r="A61" s="36" t="str">
        <f>IFERROR(__xludf.DUMMYFUNCTION("""COMPUTED_VALUE"""),"กลุ่มงานวิสัญญีวิทยา")</f>
        <v>กลุ่มงานวิสัญญีวิทยา</v>
      </c>
      <c r="B61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61" s="36" t="str">
        <f>IFERROR(__xludf.DUMMYFUNCTION("""COMPUTED_VALUE"""),"กลุ่มงานวิสัญญีวิทยา")</f>
        <v>กลุ่มงานวิสัญญีวิทยา</v>
      </c>
      <c r="D61" s="36" t="str">
        <f>IFERROR(__xludf.DUMMYFUNCTION("""COMPUTED_VALUE"""),"กลุ่มงานวิสัญญีวิทยา")</f>
        <v>กลุ่มงานวิสัญญีวิทยา</v>
      </c>
      <c r="E61" s="36">
        <f>IFERROR(__xludf.DUMMYFUNCTION("""COMPUTED_VALUE"""),5.0)</f>
        <v>5</v>
      </c>
      <c r="F61" s="36">
        <f>IFERROR(__xludf.DUMMYFUNCTION("""COMPUTED_VALUE"""),5.0)</f>
        <v>5</v>
      </c>
      <c r="G61" s="36">
        <f>IFERROR(__xludf.DUMMYFUNCTION("""COMPUTED_VALUE"""),199.0)</f>
        <v>199</v>
      </c>
    </row>
    <row r="62">
      <c r="A62" s="36" t="str">
        <f>IFERROR(__xludf.DUMMYFUNCTION("""COMPUTED_VALUE"""),"กลุ่มงานรังสีวิทยา")</f>
        <v>กลุ่มงานรังสีวิทยา</v>
      </c>
      <c r="B62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62" s="36" t="str">
        <f>IFERROR(__xludf.DUMMYFUNCTION("""COMPUTED_VALUE"""),"กลุ่มงานรังสีวิทยา")</f>
        <v>กลุ่มงานรังสีวิทยา</v>
      </c>
      <c r="D62" s="36" t="str">
        <f>IFERROR(__xludf.DUMMYFUNCTION("""COMPUTED_VALUE"""),"กลุ่มงานรังสีวิทยา")</f>
        <v>กลุ่มงานรังสีวิทยา</v>
      </c>
      <c r="E62" s="36">
        <f>IFERROR(__xludf.DUMMYFUNCTION("""COMPUTED_VALUE"""),4.0)</f>
        <v>4</v>
      </c>
      <c r="F62" s="36">
        <f>IFERROR(__xludf.DUMMYFUNCTION("""COMPUTED_VALUE"""),9.0)</f>
        <v>9</v>
      </c>
      <c r="G62" s="36">
        <f>IFERROR(__xludf.DUMMYFUNCTION("""COMPUTED_VALUE"""),199.0)</f>
        <v>199</v>
      </c>
    </row>
    <row r="63">
      <c r="A63" s="36" t="str">
        <f>IFERROR(__xludf.DUMMYFUNCTION("""COMPUTED_VALUE"""),"กลุ่มงานเวชศาสตร์ฉุกเฉิน")</f>
        <v>กลุ่มงานเวชศาสตร์ฉุกเฉิน</v>
      </c>
      <c r="B63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63" s="36" t="str">
        <f>IFERROR(__xludf.DUMMYFUNCTION("""COMPUTED_VALUE"""),"กลุ่มงานผู้ป่วยนอก")</f>
        <v>กลุ่มงานผู้ป่วยนอก</v>
      </c>
      <c r="D63" s="36" t="str">
        <f>IFERROR(__xludf.DUMMYFUNCTION("""COMPUTED_VALUE"""),"กลุ่มงานผู้ป่วยนอก")</f>
        <v>กลุ่มงานผู้ป่วยนอก</v>
      </c>
      <c r="E63" s="36">
        <f>IFERROR(__xludf.DUMMYFUNCTION("""COMPUTED_VALUE"""),12.0)</f>
        <v>12</v>
      </c>
      <c r="F63" s="36">
        <f>IFERROR(__xludf.DUMMYFUNCTION("""COMPUTED_VALUE"""),12.0)</f>
        <v>12</v>
      </c>
      <c r="G63" s="36">
        <f>IFERROR(__xludf.DUMMYFUNCTION("""COMPUTED_VALUE"""),66.0)</f>
        <v>66</v>
      </c>
    </row>
    <row r="64">
      <c r="A64" s="36" t="str">
        <f>IFERROR(__xludf.DUMMYFUNCTION("""COMPUTED_VALUE"""),"กลุ่มงานเวชศาสตร์ฉุกเฉิน")</f>
        <v>กลุ่มงานเวชศาสตร์ฉุกเฉิน</v>
      </c>
      <c r="B64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64" s="36" t="str">
        <f>IFERROR(__xludf.DUMMYFUNCTION("""COMPUTED_VALUE"""),"กลุ่มงานเวชศาสตร์ฉุกเฉิน")</f>
        <v>กลุ่มงานเวชศาสตร์ฉุกเฉิน</v>
      </c>
      <c r="D64" s="36" t="str">
        <f>IFERROR(__xludf.DUMMYFUNCTION("""COMPUTED_VALUE"""),"กลุ่มงานเวชศาสตร์ฉุกเฉิน")</f>
        <v>กลุ่มงานเวชศาสตร์ฉุกเฉิน</v>
      </c>
      <c r="E64" s="36">
        <f>IFERROR(__xludf.DUMMYFUNCTION("""COMPUTED_VALUE"""),5.0)</f>
        <v>5</v>
      </c>
      <c r="F64" s="36">
        <f>IFERROR(__xludf.DUMMYFUNCTION("""COMPUTED_VALUE"""),17.0)</f>
        <v>17</v>
      </c>
      <c r="G64" s="36">
        <f>IFERROR(__xludf.DUMMYFUNCTION("""COMPUTED_VALUE"""),199.0)</f>
        <v>199</v>
      </c>
    </row>
    <row r="65">
      <c r="A65" s="36" t="str">
        <f>IFERROR(__xludf.DUMMYFUNCTION("""COMPUTED_VALUE"""),"กลุ่มงานอายุรกรรม")</f>
        <v>กลุ่มงานอายุรกรรม</v>
      </c>
      <c r="B65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65" s="36" t="str">
        <f>IFERROR(__xludf.DUMMYFUNCTION("""COMPUTED_VALUE"""),"กลุ่มงานอายุรกรรม")</f>
        <v>กลุ่มงานอายุรกรรม</v>
      </c>
      <c r="D65" s="36" t="str">
        <f>IFERROR(__xludf.DUMMYFUNCTION("""COMPUTED_VALUE"""),"กลุ่มงานอายุรกรรม")</f>
        <v>กลุ่มงานอายุรกรรม</v>
      </c>
      <c r="E65" s="36">
        <f>IFERROR(__xludf.DUMMYFUNCTION("""COMPUTED_VALUE"""),12.0)</f>
        <v>12</v>
      </c>
      <c r="F65" s="36">
        <f>IFERROR(__xludf.DUMMYFUNCTION("""COMPUTED_VALUE"""),12.0)</f>
        <v>12</v>
      </c>
      <c r="G65" s="36">
        <f>IFERROR(__xludf.DUMMYFUNCTION("""COMPUTED_VALUE"""),199.0)</f>
        <v>199</v>
      </c>
    </row>
    <row r="66">
      <c r="A66" s="36" t="str">
        <f>IFERROR(__xludf.DUMMYFUNCTION("""COMPUTED_VALUE"""),"กลุ่มงานศัลยกรรม")</f>
        <v>กลุ่มงานศัลยกรรม</v>
      </c>
      <c r="B66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66" s="36" t="str">
        <f>IFERROR(__xludf.DUMMYFUNCTION("""COMPUTED_VALUE"""),"กลุ่มงานผู้ป่วยนอก")</f>
        <v>กลุ่มงานผู้ป่วยนอก</v>
      </c>
      <c r="D66" s="36" t="str">
        <f>IFERROR(__xludf.DUMMYFUNCTION("""COMPUTED_VALUE"""),"กลุ่มงานผู้ป่วยนอก")</f>
        <v>กลุ่มงานผู้ป่วยนอก</v>
      </c>
      <c r="E66" s="36">
        <f>IFERROR(__xludf.DUMMYFUNCTION("""COMPUTED_VALUE"""),10.0)</f>
        <v>10</v>
      </c>
      <c r="F66" s="36">
        <f>IFERROR(__xludf.DUMMYFUNCTION("""COMPUTED_VALUE"""),10.0)</f>
        <v>10</v>
      </c>
      <c r="G66" s="36">
        <f>IFERROR(__xludf.DUMMYFUNCTION("""COMPUTED_VALUE"""),199.0)</f>
        <v>199</v>
      </c>
    </row>
    <row r="67">
      <c r="A67" s="36" t="str">
        <f>IFERROR(__xludf.DUMMYFUNCTION("""COMPUTED_VALUE"""),"กลุ่มงานกุมารเวชกรรม")</f>
        <v>กลุ่มงานกุมารเวชกรรม</v>
      </c>
      <c r="B67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67" s="36" t="str">
        <f>IFERROR(__xludf.DUMMYFUNCTION("""COMPUTED_VALUE"""),"กลุ่มงานกุมารเวชกรรม")</f>
        <v>กลุ่มงานกุมารเวชกรรม</v>
      </c>
      <c r="D67" s="36" t="str">
        <f>IFERROR(__xludf.DUMMYFUNCTION("""COMPUTED_VALUE"""),"กลุ่มงานกุมารเวชกรรม")</f>
        <v>กลุ่มงานกุมารเวชกรรม</v>
      </c>
      <c r="E67" s="36">
        <f>IFERROR(__xludf.DUMMYFUNCTION("""COMPUTED_VALUE"""),5.0)</f>
        <v>5</v>
      </c>
      <c r="F67" s="36">
        <f>IFERROR(__xludf.DUMMYFUNCTION("""COMPUTED_VALUE"""),5.0)</f>
        <v>5</v>
      </c>
      <c r="G67" s="36">
        <f>IFERROR(__xludf.DUMMYFUNCTION("""COMPUTED_VALUE"""),199.0)</f>
        <v>199</v>
      </c>
    </row>
    <row r="68">
      <c r="A68" s="36" t="str">
        <f>IFERROR(__xludf.DUMMYFUNCTION("""COMPUTED_VALUE"""),"กลุ่มงานศัลยกรรม")</f>
        <v>กลุ่มงานศัลยกรรม</v>
      </c>
      <c r="B68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68" s="36" t="str">
        <f>IFERROR(__xludf.DUMMYFUNCTION("""COMPUTED_VALUE"""),"กลุ่มงานศัลยกรรม")</f>
        <v>กลุ่มงานศัลยกรรม</v>
      </c>
      <c r="D68" s="36" t="str">
        <f>IFERROR(__xludf.DUMMYFUNCTION("""COMPUTED_VALUE"""),"กลุ่มงานศัลยกรรม")</f>
        <v>กลุ่มงานศัลยกรรม</v>
      </c>
      <c r="E68" s="36">
        <f>IFERROR(__xludf.DUMMYFUNCTION("""COMPUTED_VALUE"""),10.0)</f>
        <v>10</v>
      </c>
      <c r="F68" s="36">
        <f>IFERROR(__xludf.DUMMYFUNCTION("""COMPUTED_VALUE"""),10.0)</f>
        <v>10</v>
      </c>
      <c r="G68" s="36">
        <f>IFERROR(__xludf.DUMMYFUNCTION("""COMPUTED_VALUE"""),199.0)</f>
        <v>199</v>
      </c>
    </row>
    <row r="69">
      <c r="A69" s="36" t="str">
        <f>IFERROR(__xludf.DUMMYFUNCTION("""COMPUTED_VALUE"""),"กลุ่มงานศัลยกรรมออร์โธปิดิกส์")</f>
        <v>กลุ่มงานศัลยกรรมออร์โธปิดิกส์</v>
      </c>
      <c r="B69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69" s="36" t="str">
        <f>IFERROR(__xludf.DUMMYFUNCTION("""COMPUTED_VALUE"""),"กลุ่มงานผู้ป่วยนอก")</f>
        <v>กลุ่มงานผู้ป่วยนอก</v>
      </c>
      <c r="D69" s="36" t="str">
        <f>IFERROR(__xludf.DUMMYFUNCTION("""COMPUTED_VALUE"""),"กลุ่มงานผู้ป่วยนอก")</f>
        <v>กลุ่มงานผู้ป่วยนอก</v>
      </c>
      <c r="E69" s="36">
        <f>IFERROR(__xludf.DUMMYFUNCTION("""COMPUTED_VALUE"""),5.0)</f>
        <v>5</v>
      </c>
      <c r="F69" s="36">
        <f>IFERROR(__xludf.DUMMYFUNCTION("""COMPUTED_VALUE"""),5.0)</f>
        <v>5</v>
      </c>
      <c r="G69" s="36">
        <f>IFERROR(__xludf.DUMMYFUNCTION("""COMPUTED_VALUE"""),199.0)</f>
        <v>199</v>
      </c>
    </row>
    <row r="70">
      <c r="A70" s="36" t="str">
        <f>IFERROR(__xludf.DUMMYFUNCTION("""COMPUTED_VALUE"""),"กลุ่มงานศัลยกรรมออร์โธปิดิกส์")</f>
        <v>กลุ่มงานศัลยกรรมออร์โธปิดิกส์</v>
      </c>
      <c r="B70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70" s="36" t="str">
        <f>IFERROR(__xludf.DUMMYFUNCTION("""COMPUTED_VALUE"""),"กลุ่มงานศัลยกรรมออร์โธปิดิกส์")</f>
        <v>กลุ่มงานศัลยกรรมออร์โธปิดิกส์</v>
      </c>
      <c r="D70" s="36" t="str">
        <f>IFERROR(__xludf.DUMMYFUNCTION("""COMPUTED_VALUE"""),"กลุ่มงานศัลยกรรมออร์โธปิดิกส์")</f>
        <v>กลุ่มงานศัลยกรรมออร์โธปิดิกส์</v>
      </c>
      <c r="E70" s="36">
        <f>IFERROR(__xludf.DUMMYFUNCTION("""COMPUTED_VALUE"""),5.0)</f>
        <v>5</v>
      </c>
      <c r="F70" s="36">
        <f>IFERROR(__xludf.DUMMYFUNCTION("""COMPUTED_VALUE"""),5.0)</f>
        <v>5</v>
      </c>
      <c r="G70" s="36">
        <f>IFERROR(__xludf.DUMMYFUNCTION("""COMPUTED_VALUE"""),199.0)</f>
        <v>199</v>
      </c>
    </row>
    <row r="71">
      <c r="A71" s="36" t="str">
        <f>IFERROR(__xludf.DUMMYFUNCTION("""COMPUTED_VALUE"""),"กลุ่มงานจักษุวิทยา")</f>
        <v>กลุ่มงานจักษุวิทยา</v>
      </c>
      <c r="B71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71" s="36" t="str">
        <f>IFERROR(__xludf.DUMMYFUNCTION("""COMPUTED_VALUE"""),"กลุ่มงานจักษุวิทยา")</f>
        <v>กลุ่มงานจักษุวิทยา</v>
      </c>
      <c r="D71" s="36" t="str">
        <f>IFERROR(__xludf.DUMMYFUNCTION("""COMPUTED_VALUE"""),"กลุ่มงานจักษุวิทยา")</f>
        <v>กลุ่มงานจักษุวิทยา</v>
      </c>
      <c r="E71" s="36">
        <f>IFERROR(__xludf.DUMMYFUNCTION("""COMPUTED_VALUE"""),3.0)</f>
        <v>3</v>
      </c>
      <c r="F71" s="36">
        <f>IFERROR(__xludf.DUMMYFUNCTION("""COMPUTED_VALUE"""),3.0)</f>
        <v>3</v>
      </c>
      <c r="G71" s="36">
        <f>IFERROR(__xludf.DUMMYFUNCTION("""COMPUTED_VALUE"""),199.0)</f>
        <v>199</v>
      </c>
    </row>
    <row r="72">
      <c r="A72" s="36" t="str">
        <f>IFERROR(__xludf.DUMMYFUNCTION("""COMPUTED_VALUE"""),"กลุ่มงานโสต ศอ นาสิก")</f>
        <v>กลุ่มงานโสต ศอ นาสิก</v>
      </c>
      <c r="B72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72" s="36" t="str">
        <f>IFERROR(__xludf.DUMMYFUNCTION("""COMPUTED_VALUE"""),"กลุ่มงานโสต ศอ นาสิก")</f>
        <v>กลุ่มงานโสต ศอ นาสิก</v>
      </c>
      <c r="D72" s="36" t="str">
        <f>IFERROR(__xludf.DUMMYFUNCTION("""COMPUTED_VALUE"""),"กลุ่มงานโสต ศอ นาสิก")</f>
        <v>กลุ่มงานโสต ศอ นาสิก</v>
      </c>
      <c r="E72" s="36">
        <f>IFERROR(__xludf.DUMMYFUNCTION("""COMPUTED_VALUE"""),3.0)</f>
        <v>3</v>
      </c>
      <c r="F72" s="36">
        <f>IFERROR(__xludf.DUMMYFUNCTION("""COMPUTED_VALUE"""),4.0)</f>
        <v>4</v>
      </c>
      <c r="G72" s="36">
        <f>IFERROR(__xludf.DUMMYFUNCTION("""COMPUTED_VALUE"""),199.0)</f>
        <v>199</v>
      </c>
    </row>
    <row r="73">
      <c r="A73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B73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73" s="36" t="str">
        <f>IFERROR(__xludf.DUMMYFUNCTION("""COMPUTED_VALUE"""),"กลุ่มงานจิตเวชและยาเสพติด")</f>
        <v>กลุ่มงานจิตเวชและยาเสพติด</v>
      </c>
      <c r="D73" s="36" t="str">
        <f>IFERROR(__xludf.DUMMYFUNCTION("""COMPUTED_VALUE"""),"กลุ่มงานจิตเวชและยาเสพติด")</f>
        <v>กลุ่มงานจิตเวชและยาเสพติด</v>
      </c>
      <c r="E73" s="36">
        <f>IFERROR(__xludf.DUMMYFUNCTION("""COMPUTED_VALUE"""),4.0)</f>
        <v>4</v>
      </c>
      <c r="F73" s="36">
        <f>IFERROR(__xludf.DUMMYFUNCTION("""COMPUTED_VALUE"""),9.0)</f>
        <v>9</v>
      </c>
      <c r="G73" s="36">
        <f>IFERROR(__xludf.DUMMYFUNCTION("""COMPUTED_VALUE"""),199.0)</f>
        <v>199</v>
      </c>
    </row>
    <row r="74">
      <c r="A74" s="36" t="str">
        <f>IFERROR(__xludf.DUMMYFUNCTION("""COMPUTED_VALUE"""),"กลุ่มงานผู้ป่วยนอก")</f>
        <v>กลุ่มงานผู้ป่วยนอก</v>
      </c>
      <c r="B74" s="36" t="str">
        <f>IFERROR(__xludf.DUMMYFUNCTION("""COMPUTED_VALUE"""),"ภารกิจด้านบริการปฐมภูมิ")</f>
        <v>ภารกิจด้านบริการปฐมภูมิ</v>
      </c>
      <c r="C74" s="36" t="str">
        <f>IFERROR(__xludf.DUMMYFUNCTION("""COMPUTED_VALUE"""),"กลุ่มงานผู้ป่วยนอก")</f>
        <v>กลุ่มงานผู้ป่วยนอก</v>
      </c>
      <c r="D74" s="36" t="str">
        <f>IFERROR(__xludf.DUMMYFUNCTION("""COMPUTED_VALUE"""),"กลุ่มงานผู้ป่วยนอก")</f>
        <v>กลุ่มงานผู้ป่วยนอก</v>
      </c>
      <c r="E74" s="36">
        <f>IFERROR(__xludf.DUMMYFUNCTION("""COMPUTED_VALUE"""),12.0)</f>
        <v>12</v>
      </c>
      <c r="F74" s="36">
        <f>IFERROR(__xludf.DUMMYFUNCTION("""COMPUTED_VALUE"""),12.0)</f>
        <v>12</v>
      </c>
      <c r="G74" s="36">
        <f>IFERROR(__xludf.DUMMYFUNCTION("""COMPUTED_VALUE"""),66.0)</f>
        <v>66</v>
      </c>
    </row>
    <row r="75">
      <c r="A75" s="36" t="str">
        <f>IFERROR(__xludf.DUMMYFUNCTION("""COMPUTED_VALUE"""),"กลุ่มงานอายุรกรรม")</f>
        <v>กลุ่มงานอายุรกรรม</v>
      </c>
      <c r="B75" s="36" t="str">
        <f>IFERROR(__xludf.DUMMYFUNCTION("""COMPUTED_VALUE"""),"ภารกิจด้านบริการปฐมภูมิ")</f>
        <v>ภารกิจด้านบริการปฐมภูมิ</v>
      </c>
      <c r="C75" s="36" t="str">
        <f>IFERROR(__xludf.DUMMYFUNCTION("""COMPUTED_VALUE"""),"กลุ่มงานอายุรกรรม")</f>
        <v>กลุ่มงานอายุรกรรม</v>
      </c>
      <c r="D75" s="36" t="str">
        <f>IFERROR(__xludf.DUMMYFUNCTION("""COMPUTED_VALUE"""),"กลุ่มงานอายุรกรรม")</f>
        <v>กลุ่มงานอายุรกรรม</v>
      </c>
      <c r="E75" s="36">
        <f>IFERROR(__xludf.DUMMYFUNCTION("""COMPUTED_VALUE"""),12.0)</f>
        <v>12</v>
      </c>
      <c r="F75" s="36">
        <f>IFERROR(__xludf.DUMMYFUNCTION("""COMPUTED_VALUE"""),12.0)</f>
        <v>12</v>
      </c>
      <c r="G75" s="36">
        <f>IFERROR(__xludf.DUMMYFUNCTION("""COMPUTED_VALUE"""),199.0)</f>
        <v>199</v>
      </c>
    </row>
    <row r="76">
      <c r="A76" s="36" t="str">
        <f>IFERROR(__xludf.DUMMYFUNCTION("""COMPUTED_VALUE"""),"ภารกิจด้านปริการปฐมภูมิ")</f>
        <v>ภารกิจด้านปริการปฐมภูมิ</v>
      </c>
      <c r="B76" s="36" t="str">
        <f>IFERROR(__xludf.DUMMYFUNCTION("""COMPUTED_VALUE"""),"ภารกิจด้านบริการปฐมภูมิ")</f>
        <v>ภารกิจด้านบริการปฐมภูมิ</v>
      </c>
      <c r="C76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76" s="36" t="str">
        <f>IFERROR(__xludf.DUMMYFUNCTION("""COMPUTED_VALUE"""),"กลุ่มงานเวชกรรมสังคม")</f>
        <v>กลุ่มงานเวชกรรมสังคม</v>
      </c>
      <c r="E76" s="36">
        <f>IFERROR(__xludf.DUMMYFUNCTION("""COMPUTED_VALUE"""),16.0)</f>
        <v>16</v>
      </c>
      <c r="F76" s="36">
        <f>IFERROR(__xludf.DUMMYFUNCTION("""COMPUTED_VALUE"""),26.0)</f>
        <v>26</v>
      </c>
      <c r="G76" s="36">
        <f>IFERROR(__xludf.DUMMYFUNCTION("""COMPUTED_VALUE"""),66.0)</f>
        <v>66</v>
      </c>
    </row>
    <row r="77">
      <c r="A77" s="36" t="str">
        <f>IFERROR(__xludf.DUMMYFUNCTION("""COMPUTED_VALUE"""),"กลุ่มงานเวชกรรมสังคม")</f>
        <v>กลุ่มงานเวชกรรมสังคม</v>
      </c>
      <c r="B77" s="36" t="str">
        <f>IFERROR(__xludf.DUMMYFUNCTION("""COMPUTED_VALUE"""),"ภารกิจด้านบริการปฐมภูมิ")</f>
        <v>ภารกิจด้านบริการปฐมภูมิ</v>
      </c>
      <c r="C77" s="36" t="str">
        <f>IFERROR(__xludf.DUMMYFUNCTION("""COMPUTED_VALUE"""),"กลุ่มงานผู้ป่วยนอก")</f>
        <v>กลุ่มงานผู้ป่วยนอก</v>
      </c>
      <c r="D77" s="36" t="str">
        <f>IFERROR(__xludf.DUMMYFUNCTION("""COMPUTED_VALUE"""),"กลุ่มงานผู้ป่วยนอก")</f>
        <v>กลุ่มงานผู้ป่วยนอก</v>
      </c>
      <c r="E77" s="36">
        <f>IFERROR(__xludf.DUMMYFUNCTION("""COMPUTED_VALUE"""),16.0)</f>
        <v>16</v>
      </c>
      <c r="F77" s="36">
        <f>IFERROR(__xludf.DUMMYFUNCTION("""COMPUTED_VALUE"""),26.0)</f>
        <v>26</v>
      </c>
      <c r="G77" s="36">
        <f>IFERROR(__xludf.DUMMYFUNCTION("""COMPUTED_VALUE"""),66.0)</f>
        <v>66</v>
      </c>
    </row>
    <row r="78">
      <c r="A78" s="36" t="str">
        <f>IFERROR(__xludf.DUMMYFUNCTION("""COMPUTED_VALUE"""),"กลุ่มงานเวชกรรมสังคม")</f>
        <v>กลุ่มงานเวชกรรมสังคม</v>
      </c>
      <c r="B78" s="36" t="str">
        <f>IFERROR(__xludf.DUMMYFUNCTION("""COMPUTED_VALUE"""),"ภารกิจด้านบริการปฐมภูมิ")</f>
        <v>ภารกิจด้านบริการปฐมภูมิ</v>
      </c>
      <c r="C78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78" s="36" t="str">
        <f>IFERROR(__xludf.DUMMYFUNCTION("""COMPUTED_VALUE"""),"กลุ่มงานเวชกรรมสังคม")</f>
        <v>กลุ่มงานเวชกรรมสังคม</v>
      </c>
      <c r="E78" s="36">
        <f>IFERROR(__xludf.DUMMYFUNCTION("""COMPUTED_VALUE"""),16.0)</f>
        <v>16</v>
      </c>
      <c r="F78" s="36">
        <f>IFERROR(__xludf.DUMMYFUNCTION("""COMPUTED_VALUE"""),26.0)</f>
        <v>26</v>
      </c>
      <c r="G78" s="36">
        <f>IFERROR(__xludf.DUMMYFUNCTION("""COMPUTED_VALUE"""),66.0)</f>
        <v>66</v>
      </c>
    </row>
    <row r="79">
      <c r="A79" s="36" t="str">
        <f>IFERROR(__xludf.DUMMYFUNCTION("""COMPUTED_VALUE"""),"กลุ่มงานการแพทย์")</f>
        <v>กลุ่มงานการแพทย์</v>
      </c>
      <c r="B79" s="36" t="str">
        <f>IFERROR(__xludf.DUMMYFUNCTION("""COMPUTED_VALUE"""),"รพ.เชียงดาว")</f>
        <v>รพ.เชียงดาว</v>
      </c>
      <c r="C79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79" s="36" t="str">
        <f>IFERROR(__xludf.DUMMYFUNCTION("""COMPUTED_VALUE"""),"กลุ่มงานเวชกรรมสังคม")</f>
        <v>กลุ่มงานเวชกรรมสังคม</v>
      </c>
      <c r="E79" s="36">
        <f>IFERROR(__xludf.DUMMYFUNCTION("""COMPUTED_VALUE"""),16.0)</f>
        <v>16</v>
      </c>
      <c r="F79" s="36">
        <f>IFERROR(__xludf.DUMMYFUNCTION("""COMPUTED_VALUE"""),26.0)</f>
        <v>26</v>
      </c>
      <c r="G79" s="36">
        <f>IFERROR(__xludf.DUMMYFUNCTION("""COMPUTED_VALUE"""),66.0)</f>
        <v>66</v>
      </c>
    </row>
    <row r="80">
      <c r="A80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B80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80" s="36" t="str">
        <f>IFERROR(__xludf.DUMMYFUNCTION("""COMPUTED_VALUE"""),"กลุ่มงานเวชกรรมสังคม")</f>
        <v>กลุ่มงานเวชกรรมสังคม</v>
      </c>
      <c r="D80" s="36" t="str">
        <f>IFERROR(__xludf.DUMMYFUNCTION("""COMPUTED_VALUE"""),"กลุ่มงานเวชกรรมสังคม")</f>
        <v>กลุ่มงานเวชกรรมสังคม</v>
      </c>
      <c r="E80" s="36">
        <f>IFERROR(__xludf.DUMMYFUNCTION("""COMPUTED_VALUE"""),7.0)</f>
        <v>7</v>
      </c>
      <c r="F80" s="36">
        <f>IFERROR(__xludf.DUMMYFUNCTION("""COMPUTED_VALUE"""),26.0)</f>
        <v>26</v>
      </c>
      <c r="G80" s="36">
        <f>IFERROR(__xludf.DUMMYFUNCTION("""COMPUTED_VALUE"""),66.0)</f>
        <v>66</v>
      </c>
    </row>
    <row r="81">
      <c r="A81" s="36" t="str">
        <f>IFERROR(__xludf.DUMMYFUNCTION("""COMPUTED_VALUE"""),"ภารกิจสุขภาพดิจิทัล")</f>
        <v>ภารกิจสุขภาพดิจิทัล</v>
      </c>
      <c r="B81" s="36" t="str">
        <f>IFERROR(__xludf.DUMMYFUNCTION("""COMPUTED_VALUE"""),"ภารกิจสุขภาพดิจิทัล")</f>
        <v>ภารกิจสุขภาพดิจิทัล</v>
      </c>
      <c r="C81" s="36" t="str">
        <f>IFERROR(__xludf.DUMMYFUNCTION("""COMPUTED_VALUE"""),"กลุ่มงานผู้ป่วยนอก")</f>
        <v>กลุ่มงานผู้ป่วยนอก</v>
      </c>
      <c r="D81" s="36" t="str">
        <f>IFERROR(__xludf.DUMMYFUNCTION("""COMPUTED_VALUE"""),"กลุ่มงานผู้ป่วยนอก")</f>
        <v>กลุ่มงานผู้ป่วยนอก</v>
      </c>
      <c r="E81" s="36">
        <f>IFERROR(__xludf.DUMMYFUNCTION("""COMPUTED_VALUE"""),12.0)</f>
        <v>12</v>
      </c>
      <c r="F81" s="36">
        <f>IFERROR(__xludf.DUMMYFUNCTION("""COMPUTED_VALUE"""),12.0)</f>
        <v>12</v>
      </c>
      <c r="G81" s="36">
        <f>IFERROR(__xludf.DUMMYFUNCTION("""COMPUTED_VALUE"""),66.0)</f>
        <v>66</v>
      </c>
    </row>
    <row r="82">
      <c r="A82" s="36" t="str">
        <f>IFERROR(__xludf.DUMMYFUNCTION("""COMPUTED_VALUE"""),"กลุ่มงานเวชกรรมสังคม")</f>
        <v>กลุ่มงานเวชกรรมสังคม</v>
      </c>
      <c r="B82" s="36" t="str">
        <f>IFERROR(__xludf.DUMMYFUNCTION("""COMPUTED_VALUE"""),"ภารกิจด้านบริการปฐมภูมิ")</f>
        <v>ภารกิจด้านบริการปฐมภูมิ</v>
      </c>
      <c r="C82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82" s="36" t="str">
        <f>IFERROR(__xludf.DUMMYFUNCTION("""COMPUTED_VALUE"""),"กลุ่มงานเวชกรรมสังคม")</f>
        <v>กลุ่มงานเวชกรรมสังคม</v>
      </c>
      <c r="E82" s="36">
        <f>IFERROR(__xludf.DUMMYFUNCTION("""COMPUTED_VALUE"""),5.0)</f>
        <v>5</v>
      </c>
      <c r="F82" s="36">
        <f>IFERROR(__xludf.DUMMYFUNCTION("""COMPUTED_VALUE"""),8.0)</f>
        <v>8</v>
      </c>
      <c r="G82" s="36">
        <f>IFERROR(__xludf.DUMMYFUNCTION("""COMPUTED_VALUE"""),18.0)</f>
        <v>18</v>
      </c>
    </row>
    <row r="83">
      <c r="A83" s="36" t="str">
        <f>IFERROR(__xludf.DUMMYFUNCTION("""COMPUTED_VALUE"""),"กลุ่มงานเวชกรรมสังคม")</f>
        <v>กลุ่มงานเวชกรรมสังคม</v>
      </c>
      <c r="B83" s="36" t="str">
        <f>IFERROR(__xludf.DUMMYFUNCTION("""COMPUTED_VALUE"""),"ภารกิจด้านบริการปฐมภูมิ")</f>
        <v>ภารกิจด้านบริการปฐมภูมิ</v>
      </c>
      <c r="C83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83" s="36" t="str">
        <f>IFERROR(__xludf.DUMMYFUNCTION("""COMPUTED_VALUE"""),"กลุ่มงานเวชกรรมสังคม")</f>
        <v>กลุ่มงานเวชกรรมสังคม</v>
      </c>
      <c r="E83" s="36">
        <f>IFERROR(__xludf.DUMMYFUNCTION("""COMPUTED_VALUE"""),1.0)</f>
        <v>1</v>
      </c>
      <c r="F83" s="36">
        <f>IFERROR(__xludf.DUMMYFUNCTION("""COMPUTED_VALUE"""),8.0)</f>
        <v>8</v>
      </c>
      <c r="G83" s="36">
        <f>IFERROR(__xludf.DUMMYFUNCTION("""COMPUTED_VALUE"""),18.0)</f>
        <v>18</v>
      </c>
    </row>
    <row r="84">
      <c r="A84" s="36" t="str">
        <f>IFERROR(__xludf.DUMMYFUNCTION("""COMPUTED_VALUE"""),"กลุ่มงานทันตกรรม")</f>
        <v>กลุ่มงานทันตกรรม</v>
      </c>
      <c r="B84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84" s="36" t="str">
        <f>IFERROR(__xludf.DUMMYFUNCTION("""COMPUTED_VALUE"""),"กลุ่มงานทันตกรรม")</f>
        <v>กลุ่มงานทันตกรรม</v>
      </c>
      <c r="D84" s="36" t="str">
        <f>IFERROR(__xludf.DUMMYFUNCTION("""COMPUTED_VALUE"""),"กลุ่มงานทันตกรรม")</f>
        <v>กลุ่มงานทันตกรรม</v>
      </c>
      <c r="E84" s="36">
        <f>IFERROR(__xludf.DUMMYFUNCTION("""COMPUTED_VALUE"""),6.0)</f>
        <v>6</v>
      </c>
      <c r="F84" s="36">
        <f>IFERROR(__xludf.DUMMYFUNCTION("""COMPUTED_VALUE"""),12.0)</f>
        <v>12</v>
      </c>
      <c r="G84" s="36">
        <f>IFERROR(__xludf.DUMMYFUNCTION("""COMPUTED_VALUE"""),50.0)</f>
        <v>50</v>
      </c>
    </row>
    <row r="85">
      <c r="A85" s="36" t="str">
        <f>IFERROR(__xludf.DUMMYFUNCTION("""COMPUTED_VALUE"""),"กลุ่มงานเวชกรรมฟื้นฟู")</f>
        <v>กลุ่มงานเวชกรรมฟื้นฟู</v>
      </c>
      <c r="B85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85" s="36" t="str">
        <f>IFERROR(__xludf.DUMMYFUNCTION("""COMPUTED_VALUE"""),"กลุ่มงานเวชกรรมฟื้นฟู")</f>
        <v>กลุ่มงานเวชกรรมฟื้นฟู</v>
      </c>
      <c r="D85" s="36" t="str">
        <f>IFERROR(__xludf.DUMMYFUNCTION("""COMPUTED_VALUE"""),"กลุ่มงานเวชกรรมฟื้นฟู")</f>
        <v>กลุ่มงานเวชกรรมฟื้นฟู</v>
      </c>
      <c r="E85" s="36">
        <f>IFERROR(__xludf.DUMMYFUNCTION("""COMPUTED_VALUE"""),5.0)</f>
        <v>5</v>
      </c>
      <c r="F85" s="36">
        <f>IFERROR(__xludf.DUMMYFUNCTION("""COMPUTED_VALUE"""),5.0)</f>
        <v>5</v>
      </c>
      <c r="G85" s="36">
        <f>IFERROR(__xludf.DUMMYFUNCTION("""COMPUTED_VALUE"""),50.0)</f>
        <v>50</v>
      </c>
    </row>
    <row r="86">
      <c r="A86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86" s="36" t="str">
        <f>IFERROR(__xludf.DUMMYFUNCTION("""COMPUTED_VALUE"""),"ภารกิจด้านการพยาบาล")</f>
        <v>ภารกิจด้านการพยาบาล</v>
      </c>
      <c r="C86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86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86" s="36">
        <f>IFERROR(__xludf.DUMMYFUNCTION("""COMPUTED_VALUE"""),2.0)</f>
        <v>2</v>
      </c>
      <c r="F86" s="36">
        <f>IFERROR(__xludf.DUMMYFUNCTION("""COMPUTED_VALUE"""),9.0)</f>
        <v>9</v>
      </c>
      <c r="G86" s="36">
        <f>IFERROR(__xludf.DUMMYFUNCTION("""COMPUTED_VALUE"""),139.0)</f>
        <v>139</v>
      </c>
    </row>
    <row r="87">
      <c r="A87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87" s="36" t="str">
        <f>IFERROR(__xludf.DUMMYFUNCTION("""COMPUTED_VALUE"""),"ภารกิจด้านการพยาบาล")</f>
        <v>ภารกิจด้านการพยาบาล</v>
      </c>
      <c r="C87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87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87" s="36">
        <f>IFERROR(__xludf.DUMMYFUNCTION("""COMPUTED_VALUE"""),2.0)</f>
        <v>2</v>
      </c>
      <c r="F87" s="36">
        <f>IFERROR(__xludf.DUMMYFUNCTION("""COMPUTED_VALUE"""),8.0)</f>
        <v>8</v>
      </c>
      <c r="G87" s="36">
        <f>IFERROR(__xludf.DUMMYFUNCTION("""COMPUTED_VALUE"""),139.0)</f>
        <v>139</v>
      </c>
    </row>
    <row r="88">
      <c r="A88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88" s="36" t="str">
        <f>IFERROR(__xludf.DUMMYFUNCTION("""COMPUTED_VALUE"""),"ภารกิจด้านการพยาบาล")</f>
        <v>ภารกิจด้านการพยาบาล</v>
      </c>
      <c r="C88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88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88" s="36">
        <f>IFERROR(__xludf.DUMMYFUNCTION("""COMPUTED_VALUE"""),2.0)</f>
        <v>2</v>
      </c>
      <c r="F88" s="36">
        <f>IFERROR(__xludf.DUMMYFUNCTION("""COMPUTED_VALUE"""),5.0)</f>
        <v>5</v>
      </c>
      <c r="G88" s="36">
        <f>IFERROR(__xludf.DUMMYFUNCTION("""COMPUTED_VALUE"""),139.0)</f>
        <v>139</v>
      </c>
    </row>
    <row r="89">
      <c r="A89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89" s="36" t="str">
        <f>IFERROR(__xludf.DUMMYFUNCTION("""COMPUTED_VALUE"""),"ภารกิจด้านการพยาบาล")</f>
        <v>ภารกิจด้านการพยาบาล</v>
      </c>
      <c r="C89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89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E89" s="36">
        <f>IFERROR(__xludf.DUMMYFUNCTION("""COMPUTED_VALUE"""),10.0)</f>
        <v>10</v>
      </c>
      <c r="F89" s="36">
        <f>IFERROR(__xludf.DUMMYFUNCTION("""COMPUTED_VALUE"""),16.0)</f>
        <v>16</v>
      </c>
      <c r="G89" s="36">
        <f>IFERROR(__xludf.DUMMYFUNCTION("""COMPUTED_VALUE"""),139.0)</f>
        <v>139</v>
      </c>
    </row>
    <row r="90">
      <c r="A90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90" s="36" t="str">
        <f>IFERROR(__xludf.DUMMYFUNCTION("""COMPUTED_VALUE"""),"ภารกิจด้านการพยาบาล")</f>
        <v>ภารกิจด้านการพยาบาล</v>
      </c>
      <c r="C90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90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90" s="36">
        <f>IFERROR(__xludf.DUMMYFUNCTION("""COMPUTED_VALUE"""),10.0)</f>
        <v>10</v>
      </c>
      <c r="F90" s="36">
        <f>IFERROR(__xludf.DUMMYFUNCTION("""COMPUTED_VALUE"""),16.0)</f>
        <v>16</v>
      </c>
      <c r="G90" s="36">
        <f>IFERROR(__xludf.DUMMYFUNCTION("""COMPUTED_VALUE"""),139.0)</f>
        <v>139</v>
      </c>
    </row>
    <row r="91">
      <c r="A91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B91" s="36" t="str">
        <f>IFERROR(__xludf.DUMMYFUNCTION("""COMPUTED_VALUE"""),"ภารกิจด้านการพยาบาล")</f>
        <v>ภารกิจด้านการพยาบาล</v>
      </c>
      <c r="C91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91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91" s="36">
        <f>IFERROR(__xludf.DUMMYFUNCTION("""COMPUTED_VALUE"""),5.0)</f>
        <v>5</v>
      </c>
      <c r="F91" s="36">
        <f>IFERROR(__xludf.DUMMYFUNCTION("""COMPUTED_VALUE"""),17.0)</f>
        <v>17</v>
      </c>
      <c r="G91" s="36">
        <f>IFERROR(__xludf.DUMMYFUNCTION("""COMPUTED_VALUE"""),139.0)</f>
        <v>139</v>
      </c>
    </row>
    <row r="92">
      <c r="A92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B92" s="36" t="str">
        <f>IFERROR(__xludf.DUMMYFUNCTION("""COMPUTED_VALUE"""),"ภารกิจด้านการพยาบาล")</f>
        <v>ภารกิจด้านการพยาบาล</v>
      </c>
      <c r="C92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92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92" s="36">
        <f>IFERROR(__xludf.DUMMYFUNCTION("""COMPUTED_VALUE"""),5.0)</f>
        <v>5</v>
      </c>
      <c r="F92" s="36">
        <f>IFERROR(__xludf.DUMMYFUNCTION("""COMPUTED_VALUE"""),17.0)</f>
        <v>17</v>
      </c>
      <c r="G92" s="36">
        <f>IFERROR(__xludf.DUMMYFUNCTION("""COMPUTED_VALUE"""),139.0)</f>
        <v>139</v>
      </c>
    </row>
    <row r="93">
      <c r="A93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93" s="36" t="str">
        <f>IFERROR(__xludf.DUMMYFUNCTION("""COMPUTED_VALUE"""),"ภารกิจด้านการพยาบาล")</f>
        <v>ภารกิจด้านการพยาบาล</v>
      </c>
      <c r="C93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93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93" s="36">
        <f>IFERROR(__xludf.DUMMYFUNCTION("""COMPUTED_VALUE"""),2.0)</f>
        <v>2</v>
      </c>
      <c r="F93" s="36">
        <f>IFERROR(__xludf.DUMMYFUNCTION("""COMPUTED_VALUE"""),9.0)</f>
        <v>9</v>
      </c>
      <c r="G93" s="36">
        <f>IFERROR(__xludf.DUMMYFUNCTION("""COMPUTED_VALUE"""),139.0)</f>
        <v>139</v>
      </c>
    </row>
    <row r="94">
      <c r="A94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94" s="36" t="str">
        <f>IFERROR(__xludf.DUMMYFUNCTION("""COMPUTED_VALUE"""),"ภารกิจด้านการพยาบาล")</f>
        <v>ภารกิจด้านการพยาบาล</v>
      </c>
      <c r="C94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D94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E94" s="36">
        <f>IFERROR(__xludf.DUMMYFUNCTION("""COMPUTED_VALUE"""),2.0)</f>
        <v>2</v>
      </c>
      <c r="F94" s="36">
        <f>IFERROR(__xludf.DUMMYFUNCTION("""COMPUTED_VALUE"""),9.0)</f>
        <v>9</v>
      </c>
      <c r="G94" s="36">
        <f>IFERROR(__xludf.DUMMYFUNCTION("""COMPUTED_VALUE"""),139.0)</f>
        <v>139</v>
      </c>
    </row>
    <row r="95">
      <c r="A95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95" s="36" t="str">
        <f>IFERROR(__xludf.DUMMYFUNCTION("""COMPUTED_VALUE"""),"ภารกิจด้านการพยาบาล")</f>
        <v>ภารกิจด้านการพยาบาล</v>
      </c>
      <c r="C95" s="36" t="str">
        <f>IFERROR(__xludf.DUMMYFUNCTION("""COMPUTED_VALUE"""),"กลุ่มงานการพยาบาลผู้ป่วยอายุกรรม")</f>
        <v>กลุ่มงานการพยาบาลผู้ป่วยอายุกรรม</v>
      </c>
      <c r="D95" s="36" t="str">
        <f>IFERROR(__xludf.DUMMYFUNCTION("""COMPUTED_VALUE"""),"กลุ่มงานการพยาบาลผู้ป่วยอายุกรรม")</f>
        <v>กลุ่มงานการพยาบาลผู้ป่วยอายุกรรม</v>
      </c>
      <c r="E95" s="36">
        <f>IFERROR(__xludf.DUMMYFUNCTION("""COMPUTED_VALUE"""),2.0)</f>
        <v>2</v>
      </c>
      <c r="F95" s="36">
        <f>IFERROR(__xludf.DUMMYFUNCTION("""COMPUTED_VALUE"""),9.0)</f>
        <v>9</v>
      </c>
      <c r="G95" s="36">
        <f>IFERROR(__xludf.DUMMYFUNCTION("""COMPUTED_VALUE"""),139.0)</f>
        <v>139</v>
      </c>
    </row>
    <row r="96">
      <c r="A96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96" s="36" t="str">
        <f>IFERROR(__xludf.DUMMYFUNCTION("""COMPUTED_VALUE"""),"ภารกิจด้านการพยาบาล")</f>
        <v>ภารกิจด้านการพยาบาล</v>
      </c>
      <c r="C96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96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96" s="36">
        <f>IFERROR(__xludf.DUMMYFUNCTION("""COMPUTED_VALUE"""),2.0)</f>
        <v>2</v>
      </c>
      <c r="F96" s="36">
        <f>IFERROR(__xludf.DUMMYFUNCTION("""COMPUTED_VALUE"""),5.0)</f>
        <v>5</v>
      </c>
      <c r="G96" s="36">
        <f>IFERROR(__xludf.DUMMYFUNCTION("""COMPUTED_VALUE"""),139.0)</f>
        <v>139</v>
      </c>
    </row>
    <row r="97">
      <c r="A97" s="36" t="str">
        <f>IFERROR(__xludf.DUMMYFUNCTION("""COMPUTED_VALUE"""),"กลุ่มงานการพยาบาลผู้ป่วยสูติ-นรีเวช")</f>
        <v>กลุ่มงานการพยาบาลผู้ป่วยสูติ-นรีเวช</v>
      </c>
      <c r="B97" s="36" t="str">
        <f>IFERROR(__xludf.DUMMYFUNCTION("""COMPUTED_VALUE"""),"ภารกิจด้านการพยาบาล")</f>
        <v>ภารกิจด้านการพยาบาล</v>
      </c>
      <c r="C97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D97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E97" s="36">
        <f>IFERROR(__xludf.DUMMYFUNCTION("""COMPUTED_VALUE"""),3.0)</f>
        <v>3</v>
      </c>
      <c r="F97" s="36">
        <f>IFERROR(__xludf.DUMMYFUNCTION("""COMPUTED_VALUE"""),9.0)</f>
        <v>9</v>
      </c>
      <c r="G97" s="36">
        <f>IFERROR(__xludf.DUMMYFUNCTION("""COMPUTED_VALUE"""),139.0)</f>
        <v>139</v>
      </c>
    </row>
    <row r="98">
      <c r="A98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98" s="36" t="str">
        <f>IFERROR(__xludf.DUMMYFUNCTION("""COMPUTED_VALUE"""),"ภารกิจด้านการพยาบาล")</f>
        <v>ภารกิจด้านการพยาบาล</v>
      </c>
      <c r="C98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98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98" s="36">
        <f>IFERROR(__xludf.DUMMYFUNCTION("""COMPUTED_VALUE"""),2.0)</f>
        <v>2</v>
      </c>
      <c r="F98" s="36">
        <f>IFERROR(__xludf.DUMMYFUNCTION("""COMPUTED_VALUE"""),8.0)</f>
        <v>8</v>
      </c>
      <c r="G98" s="36">
        <f>IFERROR(__xludf.DUMMYFUNCTION("""COMPUTED_VALUE"""),139.0)</f>
        <v>139</v>
      </c>
    </row>
    <row r="99">
      <c r="A99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B99" s="36" t="str">
        <f>IFERROR(__xludf.DUMMYFUNCTION("""COMPUTED_VALUE"""),"ภารกิจด้านการพยาบาล")</f>
        <v>ภารกิจด้านการพยาบาล</v>
      </c>
      <c r="C99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D99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E99" s="36">
        <f>IFERROR(__xludf.DUMMYFUNCTION("""COMPUTED_VALUE"""),3.0)</f>
        <v>3</v>
      </c>
      <c r="F99" s="36">
        <f>IFERROR(__xludf.DUMMYFUNCTION("""COMPUTED_VALUE"""),8.0)</f>
        <v>8</v>
      </c>
      <c r="G99" s="36">
        <f>IFERROR(__xludf.DUMMYFUNCTION("""COMPUTED_VALUE"""),139.0)</f>
        <v>139</v>
      </c>
    </row>
    <row r="100">
      <c r="A100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100" s="36" t="str">
        <f>IFERROR(__xludf.DUMMYFUNCTION("""COMPUTED_VALUE"""),"ภารกิจด้านการพยาบาล")</f>
        <v>ภารกิจด้านการพยาบาล</v>
      </c>
      <c r="C100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00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00" s="36">
        <f>IFERROR(__xludf.DUMMYFUNCTION("""COMPUTED_VALUE"""),2.0)</f>
        <v>2</v>
      </c>
      <c r="F100" s="36">
        <f>IFERROR(__xludf.DUMMYFUNCTION("""COMPUTED_VALUE"""),5.0)</f>
        <v>5</v>
      </c>
      <c r="G100" s="36">
        <f>IFERROR(__xludf.DUMMYFUNCTION("""COMPUTED_VALUE"""),139.0)</f>
        <v>139</v>
      </c>
    </row>
    <row r="101">
      <c r="A101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101" s="36" t="str">
        <f>IFERROR(__xludf.DUMMYFUNCTION("""COMPUTED_VALUE"""),"ภารกิจด้านการพยาบาล")</f>
        <v>ภารกิจด้านการพยาบาล</v>
      </c>
      <c r="C101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01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01" s="36">
        <f>IFERROR(__xludf.DUMMYFUNCTION("""COMPUTED_VALUE"""),2.0)</f>
        <v>2</v>
      </c>
      <c r="F101" s="36">
        <f>IFERROR(__xludf.DUMMYFUNCTION("""COMPUTED_VALUE"""),12.0)</f>
        <v>12</v>
      </c>
      <c r="G101" s="36">
        <f>IFERROR(__xludf.DUMMYFUNCTION("""COMPUTED_VALUE"""),139.0)</f>
        <v>139</v>
      </c>
    </row>
    <row r="102">
      <c r="A102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102" s="36" t="str">
        <f>IFERROR(__xludf.DUMMYFUNCTION("""COMPUTED_VALUE"""),"ภารกิจด้านการพยาบาล")</f>
        <v>ภารกิจด้านการพยาบาล</v>
      </c>
      <c r="C102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102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102" s="36">
        <f>IFERROR(__xludf.DUMMYFUNCTION("""COMPUTED_VALUE"""),2.0)</f>
        <v>2</v>
      </c>
      <c r="F102" s="36">
        <f>IFERROR(__xludf.DUMMYFUNCTION("""COMPUTED_VALUE"""),12.0)</f>
        <v>12</v>
      </c>
      <c r="G102" s="36">
        <f>IFERROR(__xludf.DUMMYFUNCTION("""COMPUTED_VALUE"""),139.0)</f>
        <v>139</v>
      </c>
    </row>
    <row r="103">
      <c r="A103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103" s="36" t="str">
        <f>IFERROR(__xludf.DUMMYFUNCTION("""COMPUTED_VALUE"""),"ภารกิจด้านการพยาบาล")</f>
        <v>ภารกิจด้านการพยาบาล</v>
      </c>
      <c r="C103" s="36" t="str">
        <f>IFERROR(__xludf.DUMMYFUNCTION("""COMPUTED_VALUE"""),"กลุ่มงานการพยาบาลผู้ป่วยอายุกรรม")</f>
        <v>กลุ่มงานการพยาบาลผู้ป่วยอายุกรรม</v>
      </c>
      <c r="D103" s="36" t="str">
        <f>IFERROR(__xludf.DUMMYFUNCTION("""COMPUTED_VALUE"""),"กลุ่มงานการพยาบาลผู้ป่วยอายุกรรม")</f>
        <v>กลุ่มงานการพยาบาลผู้ป่วยอายุกรรม</v>
      </c>
      <c r="E103" s="36">
        <f>IFERROR(__xludf.DUMMYFUNCTION("""COMPUTED_VALUE"""),2.0)</f>
        <v>2</v>
      </c>
      <c r="F103" s="36">
        <f>IFERROR(__xludf.DUMMYFUNCTION("""COMPUTED_VALUE"""),5.0)</f>
        <v>5</v>
      </c>
      <c r="G103" s="36">
        <f>IFERROR(__xludf.DUMMYFUNCTION("""COMPUTED_VALUE"""),139.0)</f>
        <v>139</v>
      </c>
    </row>
    <row r="104">
      <c r="A104" s="36" t="str">
        <f>IFERROR(__xludf.DUMMYFUNCTION("""COMPUTED_VALUE"""),"กลุ่มงานการแพทย์แผนไทยและการแพทย์ทางเลือก")</f>
        <v>กลุ่มงานการแพทย์แผนไทยและการแพทย์ทางเลือก</v>
      </c>
      <c r="B104" s="36" t="str">
        <f>IFERROR(__xludf.DUMMYFUNCTION("""COMPUTED_VALUE"""),"ภารกิจด้านบริการปฐมภูมิ")</f>
        <v>ภารกิจด้านบริการปฐมภูมิ</v>
      </c>
      <c r="C104" s="36" t="str">
        <f>IFERROR(__xludf.DUMMYFUNCTION("""COMPUTED_VALUE"""),"กลุ่มงานการแพทย์แผนไทยและการแพทย์ทางเลือก")</f>
        <v>กลุ่มงานการแพทย์แผนไทยและการแพทย์ทางเลือก</v>
      </c>
      <c r="D104" s="36" t="str">
        <f>IFERROR(__xludf.DUMMYFUNCTION("""COMPUTED_VALUE"""),"กลุ่มงานการแพทย์แผนไทยและการแพทย์ทางเลือก")</f>
        <v>กลุ่มงานการแพทย์แผนไทยและการแพทย์ทางเลือก</v>
      </c>
      <c r="E104" s="36">
        <f>IFERROR(__xludf.DUMMYFUNCTION("""COMPUTED_VALUE"""),3.0)</f>
        <v>3</v>
      </c>
      <c r="F104" s="36">
        <f>IFERROR(__xludf.DUMMYFUNCTION("""COMPUTED_VALUE"""),5.0)</f>
        <v>5</v>
      </c>
      <c r="G104" s="36">
        <f>IFERROR(__xludf.DUMMYFUNCTION("""COMPUTED_VALUE"""),18.0)</f>
        <v>18</v>
      </c>
    </row>
    <row r="105">
      <c r="A105" s="36" t="str">
        <f>IFERROR(__xludf.DUMMYFUNCTION("""COMPUTED_VALUE"""),"กลุ่มงานรังสีวิทยา")</f>
        <v>กลุ่มงานรังสีวิทยา</v>
      </c>
      <c r="B105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105" s="36" t="str">
        <f>IFERROR(__xludf.DUMMYFUNCTION("""COMPUTED_VALUE"""),"กลุ่มงานรังสีวิทยา")</f>
        <v>กลุ่มงานรังสีวิทยา</v>
      </c>
      <c r="D105" s="36" t="str">
        <f>IFERROR(__xludf.DUMMYFUNCTION("""COMPUTED_VALUE"""),"กลุ่มงานรังสีวิทยา")</f>
        <v>กลุ่มงานรังสีวิทยา</v>
      </c>
      <c r="E105" s="36">
        <f>IFERROR(__xludf.DUMMYFUNCTION("""COMPUTED_VALUE"""),5.0)</f>
        <v>5</v>
      </c>
      <c r="F105" s="36">
        <f>IFERROR(__xludf.DUMMYFUNCTION("""COMPUTED_VALUE"""),5.0)</f>
        <v>5</v>
      </c>
      <c r="G105" s="36">
        <f>IFERROR(__xludf.DUMMYFUNCTION("""COMPUTED_VALUE"""),50.0)</f>
        <v>50</v>
      </c>
    </row>
    <row r="106">
      <c r="A106" s="36" t="str">
        <f>IFERROR(__xludf.DUMMYFUNCTION("""COMPUTED_VALUE"""),"กลุ่มงานบริหารทั่วไป")</f>
        <v>กลุ่มงานบริหารทั่วไป</v>
      </c>
      <c r="B106" s="36" t="str">
        <f>IFERROR(__xludf.DUMMYFUNCTION("""COMPUTED_VALUE"""),"ภารกิจด้านอำนวยการ")</f>
        <v>ภารกิจด้านอำนวยการ</v>
      </c>
      <c r="C106" s="36" t="str">
        <f>IFERROR(__xludf.DUMMYFUNCTION("""COMPUTED_VALUE"""),"กลุ่มงานบริหารทั่วไป")</f>
        <v>กลุ่มงานบริหารทั่วไป</v>
      </c>
      <c r="D106" s="36" t="str">
        <f>IFERROR(__xludf.DUMMYFUNCTION("""COMPUTED_VALUE"""),"กลุ่มงานบริหารทั่วไป")</f>
        <v>กลุ่มงานบริหารทั่วไป</v>
      </c>
      <c r="E106" s="36">
        <f>IFERROR(__xludf.DUMMYFUNCTION("""COMPUTED_VALUE"""),12.0)</f>
        <v>12</v>
      </c>
      <c r="F106" s="36">
        <f>IFERROR(__xludf.DUMMYFUNCTION("""COMPUTED_VALUE"""),54.0)</f>
        <v>54</v>
      </c>
      <c r="G106" s="36">
        <f>IFERROR(__xludf.DUMMYFUNCTION("""COMPUTED_VALUE"""),57.0)</f>
        <v>57</v>
      </c>
    </row>
    <row r="107">
      <c r="A107" s="36" t="str">
        <f>IFERROR(__xludf.DUMMYFUNCTION("""COMPUTED_VALUE"""),"กลุ่มงานเวชกรรมสังคม")</f>
        <v>กลุ่มงานเวชกรรมสังคม</v>
      </c>
      <c r="B107" s="36" t="str">
        <f>IFERROR(__xludf.DUMMYFUNCTION("""COMPUTED_VALUE"""),"ภารกิจด้านบริการปฐมภูมิ")</f>
        <v>ภารกิจด้านบริการปฐมภูมิ</v>
      </c>
      <c r="C107" s="36" t="str">
        <f>IFERROR(__xludf.DUMMYFUNCTION("""COMPUTED_VALUE"""),"กลุ่มงานบริหารทั่วไป")</f>
        <v>กลุ่มงานบริหารทั่วไป</v>
      </c>
      <c r="D107" s="36" t="str">
        <f>IFERROR(__xludf.DUMMYFUNCTION("""COMPUTED_VALUE"""),"กลุ่มงานบริหารทั่วไป")</f>
        <v>กลุ่มงานบริหารทั่วไป</v>
      </c>
      <c r="E107" s="36">
        <f>IFERROR(__xludf.DUMMYFUNCTION("""COMPUTED_VALUE"""),12.0)</f>
        <v>12</v>
      </c>
      <c r="F107" s="36">
        <f>IFERROR(__xludf.DUMMYFUNCTION("""COMPUTED_VALUE"""),54.0)</f>
        <v>54</v>
      </c>
      <c r="G107" s="36">
        <f>IFERROR(__xludf.DUMMYFUNCTION("""COMPUTED_VALUE"""),57.0)</f>
        <v>57</v>
      </c>
    </row>
    <row r="108">
      <c r="A108" s="36" t="str">
        <f>IFERROR(__xludf.DUMMYFUNCTION("""COMPUTED_VALUE"""),"กลุ่มงานเทคนิคการแพทย์และพยาธิวิทยาคลินิก")</f>
        <v>กลุ่มงานเทคนิคการแพทย์และพยาธิวิทยาคลินิก</v>
      </c>
      <c r="B108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108" s="36" t="str">
        <f>IFERROR(__xludf.DUMMYFUNCTION("""COMPUTED_VALUE"""),"กลุ่มงานเทคนิคการแพทย์และพยาธิวิทยาคลินิก")</f>
        <v>กลุ่มงานเทคนิคการแพทย์และพยาธิวิทยาคลินิก</v>
      </c>
      <c r="D108" s="36" t="str">
        <f>IFERROR(__xludf.DUMMYFUNCTION("""COMPUTED_VALUE"""),"กลุ่มงานเทคนิคการแพทย์และพยาธิวิทยาคลินิก")</f>
        <v>กลุ่มงานเทคนิคการแพทย์และพยาธิวิทยาคลินิก</v>
      </c>
      <c r="E108" s="36">
        <f>IFERROR(__xludf.DUMMYFUNCTION("""COMPUTED_VALUE"""),2.0)</f>
        <v>2</v>
      </c>
      <c r="F108" s="36">
        <f>IFERROR(__xludf.DUMMYFUNCTION("""COMPUTED_VALUE"""),7.0)</f>
        <v>7</v>
      </c>
      <c r="G108" s="36">
        <f>IFERROR(__xludf.DUMMYFUNCTION("""COMPUTED_VALUE"""),50.0)</f>
        <v>50</v>
      </c>
    </row>
    <row r="109">
      <c r="A109" s="36" t="str">
        <f>IFERROR(__xludf.DUMMYFUNCTION("""COMPUTED_VALUE"""),"กลุ่มงานเวชกรรมสังคม")</f>
        <v>กลุ่มงานเวชกรรมสังคม</v>
      </c>
      <c r="B109" s="36" t="str">
        <f>IFERROR(__xludf.DUMMYFUNCTION("""COMPUTED_VALUE"""),"ภารกิจด้านบริการปฐมภูมิ")</f>
        <v>ภารกิจด้านบริการปฐมภูมิ</v>
      </c>
      <c r="C109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109" s="36" t="str">
        <f>IFERROR(__xludf.DUMMYFUNCTION("""COMPUTED_VALUE"""),"กลุ่มงานเวชกรรมสังคม")</f>
        <v>กลุ่มงานเวชกรรมสังคม</v>
      </c>
      <c r="E109" s="36">
        <f>IFERROR(__xludf.DUMMYFUNCTION("""COMPUTED_VALUE"""),2.0)</f>
        <v>2</v>
      </c>
      <c r="F109" s="36">
        <f>IFERROR(__xludf.DUMMYFUNCTION("""COMPUTED_VALUE"""),8.0)</f>
        <v>8</v>
      </c>
      <c r="G109" s="36">
        <f>IFERROR(__xludf.DUMMYFUNCTION("""COMPUTED_VALUE"""),18.0)</f>
        <v>18</v>
      </c>
    </row>
    <row r="110">
      <c r="A110" s="36" t="str">
        <f>IFERROR(__xludf.DUMMYFUNCTION("""COMPUTED_VALUE"""),"กลุ่มงานทันตกรรม")</f>
        <v>กลุ่มงานทันตกรรม</v>
      </c>
      <c r="B110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110" s="36" t="str">
        <f>IFERROR(__xludf.DUMMYFUNCTION("""COMPUTED_VALUE"""),"กลุ่มงานทันตกรรม")</f>
        <v>กลุ่มงานทันตกรรม</v>
      </c>
      <c r="D110" s="36" t="str">
        <f>IFERROR(__xludf.DUMMYFUNCTION("""COMPUTED_VALUE"""),"กลุ่มงานทันตกรรม")</f>
        <v>กลุ่มงานทันตกรรม</v>
      </c>
      <c r="E110" s="36">
        <f>IFERROR(__xludf.DUMMYFUNCTION("""COMPUTED_VALUE"""),12.0)</f>
        <v>12</v>
      </c>
      <c r="F110" s="36">
        <f>IFERROR(__xludf.DUMMYFUNCTION("""COMPUTED_VALUE"""),50.0)</f>
        <v>50</v>
      </c>
      <c r="G110" s="36">
        <f>IFERROR(__xludf.DUMMYFUNCTION("""COMPUTED_VALUE"""),50.0)</f>
        <v>50</v>
      </c>
    </row>
    <row r="111">
      <c r="A111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111" s="36" t="str">
        <f>IFERROR(__xludf.DUMMYFUNCTION("""COMPUTED_VALUE"""),"ภารกิจด้านการพยาบาล")</f>
        <v>ภารกิจด้านการพยาบาล</v>
      </c>
      <c r="C111" s="36" t="str">
        <f>IFERROR(__xludf.DUMMYFUNCTION("""COMPUTED_VALUE"""),"กลุ่มงานการพยาบาลผู้คลอด")</f>
        <v>กลุ่มงานการพยาบาลผู้คลอด</v>
      </c>
      <c r="D111" s="36" t="str">
        <f>IFERROR(__xludf.DUMMYFUNCTION("""COMPUTED_VALUE"""),"กลุ่มงานการพยาบาลผู้คลอด")</f>
        <v>กลุ่มงานการพยาบาลผู้คลอด</v>
      </c>
      <c r="E111" s="36">
        <f>IFERROR(__xludf.DUMMYFUNCTION("""COMPUTED_VALUE"""),7.0)</f>
        <v>7</v>
      </c>
      <c r="F111" s="36">
        <f>IFERROR(__xludf.DUMMYFUNCTION("""COMPUTED_VALUE"""),9.0)</f>
        <v>9</v>
      </c>
      <c r="G111" s="36">
        <f>IFERROR(__xludf.DUMMYFUNCTION("""COMPUTED_VALUE"""),139.0)</f>
        <v>139</v>
      </c>
    </row>
    <row r="112">
      <c r="A112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B112" s="36" t="str">
        <f>IFERROR(__xludf.DUMMYFUNCTION("""COMPUTED_VALUE"""),"ภารกิจด้านการพยาบาล")</f>
        <v>ภารกิจด้านการพยาบาล</v>
      </c>
      <c r="C112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112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112" s="36">
        <f>IFERROR(__xludf.DUMMYFUNCTION("""COMPUTED_VALUE"""),11.0)</f>
        <v>11</v>
      </c>
      <c r="F112" s="36">
        <f>IFERROR(__xludf.DUMMYFUNCTION("""COMPUTED_VALUE"""),15.0)</f>
        <v>15</v>
      </c>
      <c r="G112" s="36">
        <f>IFERROR(__xludf.DUMMYFUNCTION("""COMPUTED_VALUE"""),139.0)</f>
        <v>139</v>
      </c>
    </row>
    <row r="113">
      <c r="A113" s="36" t="str">
        <f>IFERROR(__xludf.DUMMYFUNCTION("""COMPUTED_VALUE"""),"กลุ่มงานบริหารทั่วไป")</f>
        <v>กลุ่มงานบริหารทั่วไป</v>
      </c>
      <c r="B113" s="36" t="str">
        <f>IFERROR(__xludf.DUMMYFUNCTION("""COMPUTED_VALUE"""),"ภารกิจด้านการพยาบาล")</f>
        <v>ภารกิจด้านการพยาบาล</v>
      </c>
      <c r="C113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113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113" s="36">
        <f>IFERROR(__xludf.DUMMYFUNCTION("""COMPUTED_VALUE"""),6.0)</f>
        <v>6</v>
      </c>
      <c r="F113" s="36">
        <f>IFERROR(__xludf.DUMMYFUNCTION("""COMPUTED_VALUE"""),8.0)</f>
        <v>8</v>
      </c>
      <c r="G113" s="36">
        <f>IFERROR(__xludf.DUMMYFUNCTION("""COMPUTED_VALUE"""),139.0)</f>
        <v>139</v>
      </c>
    </row>
    <row r="114">
      <c r="A114" s="36" t="str">
        <f>IFERROR(__xludf.DUMMYFUNCTION("""COMPUTED_VALUE"""),"กลุ่มงานเวชกรรมสังคม")</f>
        <v>กลุ่มงานเวชกรรมสังคม</v>
      </c>
      <c r="B114" s="36" t="str">
        <f>IFERROR(__xludf.DUMMYFUNCTION("""COMPUTED_VALUE"""),"ภารกิจด้านบริการปฐมภูมิ")</f>
        <v>ภารกิจด้านบริการปฐมภูมิ</v>
      </c>
      <c r="C114" s="36" t="str">
        <f>IFERROR(__xludf.DUMMYFUNCTION("""COMPUTED_VALUE"""),"งานส่งเสริมสุขภาพและพื้นฟู")</f>
        <v>งานส่งเสริมสุขภาพและพื้นฟู</v>
      </c>
      <c r="D114" s="36" t="str">
        <f>IFERROR(__xludf.DUMMYFUNCTION("""COMPUTED_VALUE"""),"กลุ่มงานเวชกรรมสังคม")</f>
        <v>กลุ่มงานเวชกรรมสังคม</v>
      </c>
      <c r="E114" s="36">
        <f>IFERROR(__xludf.DUMMYFUNCTION("""COMPUTED_VALUE"""),3.0)</f>
        <v>3</v>
      </c>
      <c r="F114" s="36">
        <f>IFERROR(__xludf.DUMMYFUNCTION("""COMPUTED_VALUE"""),8.0)</f>
        <v>8</v>
      </c>
      <c r="G114" s="36">
        <f>IFERROR(__xludf.DUMMYFUNCTION("""COMPUTED_VALUE"""),18.0)</f>
        <v>18</v>
      </c>
    </row>
    <row r="115">
      <c r="A115" s="36" t="str">
        <f>IFERROR(__xludf.DUMMYFUNCTION("""COMPUTED_VALUE"""),"กลุ่มงานบริหารทั่วไป")</f>
        <v>กลุ่มงานบริหารทั่วไป</v>
      </c>
      <c r="B115" s="36" t="str">
        <f>IFERROR(__xludf.DUMMYFUNCTION("""COMPUTED_VALUE"""),"ภารกิจด้านการพยาบาล")</f>
        <v>ภารกิจด้านการพยาบาล</v>
      </c>
      <c r="C115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15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15" s="36">
        <f>IFERROR(__xludf.DUMMYFUNCTION("""COMPUTED_VALUE"""),12.0)</f>
        <v>12</v>
      </c>
      <c r="F115" s="36">
        <f>IFERROR(__xludf.DUMMYFUNCTION("""COMPUTED_VALUE"""),17.0)</f>
        <v>17</v>
      </c>
      <c r="G115" s="36">
        <f>IFERROR(__xludf.DUMMYFUNCTION("""COMPUTED_VALUE"""),139.0)</f>
        <v>139</v>
      </c>
    </row>
    <row r="116">
      <c r="A116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B116" s="36" t="str">
        <f>IFERROR(__xludf.DUMMYFUNCTION("""COMPUTED_VALUE"""),"ภารกิจด้านการพยาบาล")</f>
        <v>ภารกิจด้านการพยาบาล</v>
      </c>
      <c r="C116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D116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E116" s="36">
        <f>IFERROR(__xludf.DUMMYFUNCTION("""COMPUTED_VALUE"""),12.0)</f>
        <v>12</v>
      </c>
      <c r="F116" s="36">
        <f>IFERROR(__xludf.DUMMYFUNCTION("""COMPUTED_VALUE"""),17.0)</f>
        <v>17</v>
      </c>
      <c r="G116" s="36">
        <f>IFERROR(__xludf.DUMMYFUNCTION("""COMPUTED_VALUE"""),139.0)</f>
        <v>139</v>
      </c>
    </row>
    <row r="117">
      <c r="A117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B117" s="36" t="str">
        <f>IFERROR(__xludf.DUMMYFUNCTION("""COMPUTED_VALUE"""),"ภารกิจด้านการพยาบาล")</f>
        <v>ภารกิจด้านการพยาบาล</v>
      </c>
      <c r="C117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17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17" s="36">
        <f>IFERROR(__xludf.DUMMYFUNCTION("""COMPUTED_VALUE"""),12.0)</f>
        <v>12</v>
      </c>
      <c r="F117" s="36">
        <f>IFERROR(__xludf.DUMMYFUNCTION("""COMPUTED_VALUE"""),17.0)</f>
        <v>17</v>
      </c>
      <c r="G117" s="36">
        <f>IFERROR(__xludf.DUMMYFUNCTION("""COMPUTED_VALUE"""),139.0)</f>
        <v>139</v>
      </c>
    </row>
    <row r="118">
      <c r="A118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118" s="36" t="str">
        <f>IFERROR(__xludf.DUMMYFUNCTION("""COMPUTED_VALUE"""),"ภารกิจด้านการพยาบาล")</f>
        <v>ภารกิจด้านการพยาบาล</v>
      </c>
      <c r="C118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118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118" s="36">
        <f>IFERROR(__xludf.DUMMYFUNCTION("""COMPUTED_VALUE"""),10.0)</f>
        <v>10</v>
      </c>
      <c r="F118" s="36">
        <f>IFERROR(__xludf.DUMMYFUNCTION("""COMPUTED_VALUE"""),12.0)</f>
        <v>12</v>
      </c>
      <c r="G118" s="36">
        <f>IFERROR(__xludf.DUMMYFUNCTION("""COMPUTED_VALUE"""),139.0)</f>
        <v>139</v>
      </c>
    </row>
    <row r="119">
      <c r="A119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119" s="36" t="str">
        <f>IFERROR(__xludf.DUMMYFUNCTION("""COMPUTED_VALUE"""),"ภารกิจด้านการพยาบาล")</f>
        <v>ภารกิจด้านการพยาบาล</v>
      </c>
      <c r="C119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119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119" s="36">
        <f>IFERROR(__xludf.DUMMYFUNCTION("""COMPUTED_VALUE"""),6.0)</f>
        <v>6</v>
      </c>
      <c r="F119" s="36">
        <f>IFERROR(__xludf.DUMMYFUNCTION("""COMPUTED_VALUE"""),8.0)</f>
        <v>8</v>
      </c>
      <c r="G119" s="36">
        <f>IFERROR(__xludf.DUMMYFUNCTION("""COMPUTED_VALUE"""),139.0)</f>
        <v>139</v>
      </c>
    </row>
    <row r="120">
      <c r="A120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120" s="36" t="str">
        <f>IFERROR(__xludf.DUMMYFUNCTION("""COMPUTED_VALUE"""),"ภารกิจด้านการพยาบาล")</f>
        <v>ภารกิจด้านการพยาบาล</v>
      </c>
      <c r="C120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D120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E120" s="36">
        <f>IFERROR(__xludf.DUMMYFUNCTION("""COMPUTED_VALUE"""),3.0)</f>
        <v>3</v>
      </c>
      <c r="F120" s="36">
        <f>IFERROR(__xludf.DUMMYFUNCTION("""COMPUTED_VALUE"""),5.0)</f>
        <v>5</v>
      </c>
      <c r="G120" s="36">
        <f>IFERROR(__xludf.DUMMYFUNCTION("""COMPUTED_VALUE"""),139.0)</f>
        <v>139</v>
      </c>
    </row>
    <row r="121">
      <c r="A121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121" s="36" t="str">
        <f>IFERROR(__xludf.DUMMYFUNCTION("""COMPUTED_VALUE"""),"ภารกิจด้านการพยาบาล")</f>
        <v>ภารกิจด้านการพยาบาล</v>
      </c>
      <c r="C121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D121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E121" s="36">
        <f>IFERROR(__xludf.DUMMYFUNCTION("""COMPUTED_VALUE"""),7.0)</f>
        <v>7</v>
      </c>
      <c r="F121" s="36">
        <f>IFERROR(__xludf.DUMMYFUNCTION("""COMPUTED_VALUE"""),9.0)</f>
        <v>9</v>
      </c>
      <c r="G121" s="36">
        <f>IFERROR(__xludf.DUMMYFUNCTION("""COMPUTED_VALUE"""),139.0)</f>
        <v>139</v>
      </c>
    </row>
    <row r="122">
      <c r="A122" s="36" t="str">
        <f>IFERROR(__xludf.DUMMYFUNCTION("""COMPUTED_VALUE"""),"กลุ่มงานการพยาบาลผู้ป่วยสูติ-นรีเวช")</f>
        <v>กลุ่มงานการพยาบาลผู้ป่วยสูติ-นรีเวช</v>
      </c>
      <c r="B122" s="36" t="str">
        <f>IFERROR(__xludf.DUMMYFUNCTION("""COMPUTED_VALUE"""),"ภารกิจด้านการพยาบาล")</f>
        <v>ภารกิจด้านการพยาบาล</v>
      </c>
      <c r="C122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D122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E122" s="36">
        <f>IFERROR(__xludf.DUMMYFUNCTION("""COMPUTED_VALUE"""),6.0)</f>
        <v>6</v>
      </c>
      <c r="F122" s="36">
        <f>IFERROR(__xludf.DUMMYFUNCTION("""COMPUTED_VALUE"""),9.0)</f>
        <v>9</v>
      </c>
      <c r="G122" s="36">
        <f>IFERROR(__xludf.DUMMYFUNCTION("""COMPUTED_VALUE"""),139.0)</f>
        <v>139</v>
      </c>
    </row>
    <row r="123">
      <c r="A123" s="36" t="str">
        <f>IFERROR(__xludf.DUMMYFUNCTION("""COMPUTED_VALUE"""),"กลุ่มงานการพยาบาลผู้คลอด")</f>
        <v>กลุ่มงานการพยาบาลผู้คลอด</v>
      </c>
      <c r="B123" s="36" t="str">
        <f>IFERROR(__xludf.DUMMYFUNCTION("""COMPUTED_VALUE"""),"ภารกิจด้านการพยาบาล")</f>
        <v>ภารกิจด้านการพยาบาล</v>
      </c>
      <c r="C123" s="36" t="str">
        <f>IFERROR(__xludf.DUMMYFUNCTION("""COMPUTED_VALUE"""),"กลุ่มงานการพยาบาลผู้คลอด")</f>
        <v>กลุ่มงานการพยาบาลผู้คลอด</v>
      </c>
      <c r="D123" s="36" t="str">
        <f>IFERROR(__xludf.DUMMYFUNCTION("""COMPUTED_VALUE"""),"กลุ่มงานการพยาบาลผู้คลอด")</f>
        <v>กลุ่มงานการพยาบาลผู้คลอด</v>
      </c>
      <c r="E123" s="36">
        <f>IFERROR(__xludf.DUMMYFUNCTION("""COMPUTED_VALUE"""),5.0)</f>
        <v>5</v>
      </c>
      <c r="F123" s="36">
        <f>IFERROR(__xludf.DUMMYFUNCTION("""COMPUTED_VALUE"""),6.0)</f>
        <v>6</v>
      </c>
      <c r="G123" s="36">
        <f>IFERROR(__xludf.DUMMYFUNCTION("""COMPUTED_VALUE"""),139.0)</f>
        <v>139</v>
      </c>
    </row>
    <row r="124">
      <c r="A124" s="36" t="str">
        <f>IFERROR(__xludf.DUMMYFUNCTION("""COMPUTED_VALUE"""),"กลุ่มงานการพยาบาลผู้คลอด")</f>
        <v>กลุ่มงานการพยาบาลผู้คลอด</v>
      </c>
      <c r="B124" s="36" t="str">
        <f>IFERROR(__xludf.DUMMYFUNCTION("""COMPUTED_VALUE"""),"ภารกิจด้านการพยาบาล")</f>
        <v>ภารกิจด้านการพยาบาล</v>
      </c>
      <c r="C124" s="36" t="str">
        <f>IFERROR(__xludf.DUMMYFUNCTION("""COMPUTED_VALUE"""),"กลุ่มงานวิสัญญีวิทยา")</f>
        <v>กลุ่มงานวิสัญญีวิทยา</v>
      </c>
      <c r="D124" s="36" t="str">
        <f>IFERROR(__xludf.DUMMYFUNCTION("""COMPUTED_VALUE"""),"กลุ่มงานวิสัญญีวิทยา")</f>
        <v>กลุ่มงานวิสัญญีวิทยา</v>
      </c>
      <c r="E124" s="36">
        <f>IFERROR(__xludf.DUMMYFUNCTION("""COMPUTED_VALUE"""),5.0)</f>
        <v>5</v>
      </c>
      <c r="F124" s="36">
        <f>IFERROR(__xludf.DUMMYFUNCTION("""COMPUTED_VALUE"""),6.0)</f>
        <v>6</v>
      </c>
      <c r="G124" s="36">
        <f>IFERROR(__xludf.DUMMYFUNCTION("""COMPUTED_VALUE"""),139.0)</f>
        <v>139</v>
      </c>
    </row>
    <row r="125">
      <c r="A125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B125" s="36" t="str">
        <f>IFERROR(__xludf.DUMMYFUNCTION("""COMPUTED_VALUE"""),"ภารกิจด้านการพยาบาล")</f>
        <v>ภารกิจด้านการพยาบาล</v>
      </c>
      <c r="C125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25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25" s="36">
        <f>IFERROR(__xludf.DUMMYFUNCTION("""COMPUTED_VALUE"""),8.0)</f>
        <v>8</v>
      </c>
      <c r="F125" s="36">
        <f>IFERROR(__xludf.DUMMYFUNCTION("""COMPUTED_VALUE"""),9.0)</f>
        <v>9</v>
      </c>
      <c r="G125" s="36">
        <f>IFERROR(__xludf.DUMMYFUNCTION("""COMPUTED_VALUE"""),139.0)</f>
        <v>139</v>
      </c>
    </row>
    <row r="126">
      <c r="A126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126" s="36" t="str">
        <f>IFERROR(__xludf.DUMMYFUNCTION("""COMPUTED_VALUE"""),"ภารกิจด้านการพยาบาล")</f>
        <v>ภารกิจด้านการพยาบาล</v>
      </c>
      <c r="C126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126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126" s="36">
        <f>IFERROR(__xludf.DUMMYFUNCTION("""COMPUTED_VALUE"""),10.0)</f>
        <v>10</v>
      </c>
      <c r="F126" s="36">
        <f>IFERROR(__xludf.DUMMYFUNCTION("""COMPUTED_VALUE"""),12.0)</f>
        <v>12</v>
      </c>
      <c r="G126" s="36">
        <f>IFERROR(__xludf.DUMMYFUNCTION("""COMPUTED_VALUE"""),139.0)</f>
        <v>139</v>
      </c>
    </row>
    <row r="127">
      <c r="A127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127" s="36" t="str">
        <f>IFERROR(__xludf.DUMMYFUNCTION("""COMPUTED_VALUE"""),"ภารกิจด้านการพยาบาล")</f>
        <v>ภารกิจด้านการพยาบาล</v>
      </c>
      <c r="C127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127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127" s="36">
        <f>IFERROR(__xludf.DUMMYFUNCTION("""COMPUTED_VALUE"""),6.0)</f>
        <v>6</v>
      </c>
      <c r="F127" s="36">
        <f>IFERROR(__xludf.DUMMYFUNCTION("""COMPUTED_VALUE"""),8.0)</f>
        <v>8</v>
      </c>
      <c r="G127" s="36">
        <f>IFERROR(__xludf.DUMMYFUNCTION("""COMPUTED_VALUE"""),139.0)</f>
        <v>139</v>
      </c>
    </row>
    <row r="128">
      <c r="A128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128" s="36" t="str">
        <f>IFERROR(__xludf.DUMMYFUNCTION("""COMPUTED_VALUE"""),"ภารกิจด้านการพยาบาล")</f>
        <v>ภารกิจด้านการพยาบาล</v>
      </c>
      <c r="C128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128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E128" s="36">
        <f>IFERROR(__xludf.DUMMYFUNCTION("""COMPUTED_VALUE"""),6.0)</f>
        <v>6</v>
      </c>
      <c r="F128" s="36">
        <f>IFERROR(__xludf.DUMMYFUNCTION("""COMPUTED_VALUE"""),16.0)</f>
        <v>16</v>
      </c>
      <c r="G128" s="36">
        <f>IFERROR(__xludf.DUMMYFUNCTION("""COMPUTED_VALUE"""),139.0)</f>
        <v>139</v>
      </c>
    </row>
    <row r="129">
      <c r="A129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129" s="36" t="str">
        <f>IFERROR(__xludf.DUMMYFUNCTION("""COMPUTED_VALUE"""),"ภารกิจด้านการพยาบาล")</f>
        <v>ภารกิจด้านการพยาบาล</v>
      </c>
      <c r="C129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129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129" s="36">
        <f>IFERROR(__xludf.DUMMYFUNCTION("""COMPUTED_VALUE"""),6.0)</f>
        <v>6</v>
      </c>
      <c r="F129" s="36">
        <f>IFERROR(__xludf.DUMMYFUNCTION("""COMPUTED_VALUE"""),16.0)</f>
        <v>16</v>
      </c>
      <c r="G129" s="36">
        <f>IFERROR(__xludf.DUMMYFUNCTION("""COMPUTED_VALUE"""),139.0)</f>
        <v>139</v>
      </c>
    </row>
    <row r="130">
      <c r="A130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B130" s="36" t="str">
        <f>IFERROR(__xludf.DUMMYFUNCTION("""COMPUTED_VALUE"""),"ภารกิจด้านการพยาบาล")</f>
        <v>ภารกิจด้านการพยาบาล</v>
      </c>
      <c r="C130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30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30" s="36">
        <f>IFERROR(__xludf.DUMMYFUNCTION("""COMPUTED_VALUE"""),5.0)</f>
        <v>5</v>
      </c>
      <c r="F130" s="36">
        <f>IFERROR(__xludf.DUMMYFUNCTION("""COMPUTED_VALUE"""),8.0)</f>
        <v>8</v>
      </c>
      <c r="G130" s="36">
        <f>IFERROR(__xludf.DUMMYFUNCTION("""COMPUTED_VALUE"""),139.0)</f>
        <v>139</v>
      </c>
    </row>
    <row r="131">
      <c r="A131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B131" s="36" t="str">
        <f>IFERROR(__xludf.DUMMYFUNCTION("""COMPUTED_VALUE"""),"ภารกิจด้านการพยาบาล")</f>
        <v>ภารกิจด้านการพยาบาล</v>
      </c>
      <c r="C131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131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131" s="36">
        <f>IFERROR(__xludf.DUMMYFUNCTION("""COMPUTED_VALUE"""),5.0)</f>
        <v>5</v>
      </c>
      <c r="F131" s="36">
        <f>IFERROR(__xludf.DUMMYFUNCTION("""COMPUTED_VALUE"""),8.0)</f>
        <v>8</v>
      </c>
      <c r="G131" s="36">
        <f>IFERROR(__xludf.DUMMYFUNCTION("""COMPUTED_VALUE"""),139.0)</f>
        <v>139</v>
      </c>
    </row>
    <row r="132">
      <c r="A132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B132" s="36" t="str">
        <f>IFERROR(__xludf.DUMMYFUNCTION("""COMPUTED_VALUE"""),"ภารกิจด้านการพยาบาล")</f>
        <v>ภารกิจด้านการพยาบาล</v>
      </c>
      <c r="C132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D132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E132" s="36">
        <f>IFERROR(__xludf.DUMMYFUNCTION("""COMPUTED_VALUE"""),5.0)</f>
        <v>5</v>
      </c>
      <c r="F132" s="36">
        <f>IFERROR(__xludf.DUMMYFUNCTION("""COMPUTED_VALUE"""),8.0)</f>
        <v>8</v>
      </c>
      <c r="G132" s="36">
        <f>IFERROR(__xludf.DUMMYFUNCTION("""COMPUTED_VALUE"""),139.0)</f>
        <v>139</v>
      </c>
    </row>
    <row r="133">
      <c r="A133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133" s="36" t="str">
        <f>IFERROR(__xludf.DUMMYFUNCTION("""COMPUTED_VALUE"""),"ภารกิจด้านการพยาบาล")</f>
        <v>ภารกิจด้านการพยาบาล</v>
      </c>
      <c r="C133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133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133" s="36">
        <f>IFERROR(__xludf.DUMMYFUNCTION("""COMPUTED_VALUE"""),7.0)</f>
        <v>7</v>
      </c>
      <c r="F133" s="36">
        <f>IFERROR(__xludf.DUMMYFUNCTION("""COMPUTED_VALUE"""),9.0)</f>
        <v>9</v>
      </c>
      <c r="G133" s="36">
        <f>IFERROR(__xludf.DUMMYFUNCTION("""COMPUTED_VALUE"""),139.0)</f>
        <v>139</v>
      </c>
    </row>
    <row r="134">
      <c r="A134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B134" s="36" t="str">
        <f>IFERROR(__xludf.DUMMYFUNCTION("""COMPUTED_VALUE"""),"ภารกิจด้านการพยาบาล")</f>
        <v>ภารกิจด้านการพยาบาล</v>
      </c>
      <c r="C134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D134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E134" s="36">
        <f>IFERROR(__xludf.DUMMYFUNCTION("""COMPUTED_VALUE"""),8.0)</f>
        <v>8</v>
      </c>
      <c r="F134" s="36">
        <f>IFERROR(__xludf.DUMMYFUNCTION("""COMPUTED_VALUE"""),9.0)</f>
        <v>9</v>
      </c>
      <c r="G134" s="36">
        <f>IFERROR(__xludf.DUMMYFUNCTION("""COMPUTED_VALUE"""),139.0)</f>
        <v>139</v>
      </c>
    </row>
    <row r="135">
      <c r="A135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135" s="36" t="str">
        <f>IFERROR(__xludf.DUMMYFUNCTION("""COMPUTED_VALUE"""),"ภารกิจด้านการพยาบาล")</f>
        <v>ภารกิจด้านการพยาบาล</v>
      </c>
      <c r="C135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135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135" s="36">
        <f>IFERROR(__xludf.DUMMYFUNCTION("""COMPUTED_VALUE"""),6.0)</f>
        <v>6</v>
      </c>
      <c r="F135" s="36">
        <f>IFERROR(__xludf.DUMMYFUNCTION("""COMPUTED_VALUE"""),16.0)</f>
        <v>16</v>
      </c>
      <c r="G135" s="36">
        <f>IFERROR(__xludf.DUMMYFUNCTION("""COMPUTED_VALUE"""),139.0)</f>
        <v>139</v>
      </c>
    </row>
    <row r="136">
      <c r="A136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136" s="36" t="str">
        <f>IFERROR(__xludf.DUMMYFUNCTION("""COMPUTED_VALUE"""),"ภารกิจด้านการพยาบาล")</f>
        <v>ภารกิจด้านการพยาบาล</v>
      </c>
      <c r="C136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136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136" s="36">
        <f>IFERROR(__xludf.DUMMYFUNCTION("""COMPUTED_VALUE"""),3.0)</f>
        <v>3</v>
      </c>
      <c r="F136" s="36">
        <f>IFERROR(__xludf.DUMMYFUNCTION("""COMPUTED_VALUE"""),5.0)</f>
        <v>5</v>
      </c>
      <c r="G136" s="36">
        <f>IFERROR(__xludf.DUMMYFUNCTION("""COMPUTED_VALUE"""),139.0)</f>
        <v>139</v>
      </c>
    </row>
    <row r="137">
      <c r="A137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137" s="36" t="str">
        <f>IFERROR(__xludf.DUMMYFUNCTION("""COMPUTED_VALUE"""),"ภารกิจด้านการพยาบาล")</f>
        <v>ภารกิจด้านการพยาบาล</v>
      </c>
      <c r="C137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D137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E137" s="36">
        <f>IFERROR(__xludf.DUMMYFUNCTION("""COMPUTED_VALUE"""),6.0)</f>
        <v>6</v>
      </c>
      <c r="F137" s="36">
        <f>IFERROR(__xludf.DUMMYFUNCTION("""COMPUTED_VALUE"""),9.0)</f>
        <v>9</v>
      </c>
      <c r="G137" s="36">
        <f>IFERROR(__xludf.DUMMYFUNCTION("""COMPUTED_VALUE"""),139.0)</f>
        <v>139</v>
      </c>
    </row>
    <row r="138">
      <c r="A138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138" s="36" t="str">
        <f>IFERROR(__xludf.DUMMYFUNCTION("""COMPUTED_VALUE"""),"ภารกิจด้านการพยาบาล")</f>
        <v>ภารกิจด้านการพยาบาล</v>
      </c>
      <c r="C138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138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138" s="36">
        <f>IFERROR(__xludf.DUMMYFUNCTION("""COMPUTED_VALUE"""),3.0)</f>
        <v>3</v>
      </c>
      <c r="F138" s="36">
        <f>IFERROR(__xludf.DUMMYFUNCTION("""COMPUTED_VALUE"""),5.0)</f>
        <v>5</v>
      </c>
      <c r="G138" s="36">
        <f>IFERROR(__xludf.DUMMYFUNCTION("""COMPUTED_VALUE"""),139.0)</f>
        <v>139</v>
      </c>
    </row>
    <row r="139">
      <c r="A139" s="36" t="str">
        <f>IFERROR(__xludf.DUMMYFUNCTION("""COMPUTED_VALUE"""),"กลุ่มงานการพยาบาลผู้ป่วยสูติ-นรีเวช")</f>
        <v>กลุ่มงานการพยาบาลผู้ป่วยสูติ-นรีเวช</v>
      </c>
      <c r="B139" s="36" t="str">
        <f>IFERROR(__xludf.DUMMYFUNCTION("""COMPUTED_VALUE"""),"ภารกิจด้านการพยาบาล")</f>
        <v>ภารกิจด้านการพยาบาล</v>
      </c>
      <c r="C139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139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139" s="36">
        <f>IFERROR(__xludf.DUMMYFUNCTION("""COMPUTED_VALUE"""),6.0)</f>
        <v>6</v>
      </c>
      <c r="F139" s="36">
        <f>IFERROR(__xludf.DUMMYFUNCTION("""COMPUTED_VALUE"""),9.0)</f>
        <v>9</v>
      </c>
      <c r="G139" s="36">
        <f>IFERROR(__xludf.DUMMYFUNCTION("""COMPUTED_VALUE"""),139.0)</f>
        <v>139</v>
      </c>
    </row>
    <row r="140">
      <c r="A140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B140" s="36" t="str">
        <f>IFERROR(__xludf.DUMMYFUNCTION("""COMPUTED_VALUE"""),"ภารกิจด้านการพยาบาล")</f>
        <v>ภารกิจด้านการพยาบาล</v>
      </c>
      <c r="C140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40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40" s="36">
        <f>IFERROR(__xludf.DUMMYFUNCTION("""COMPUTED_VALUE"""),5.0)</f>
        <v>5</v>
      </c>
      <c r="F140" s="36">
        <f>IFERROR(__xludf.DUMMYFUNCTION("""COMPUTED_VALUE"""),8.0)</f>
        <v>8</v>
      </c>
      <c r="G140" s="36">
        <f>IFERROR(__xludf.DUMMYFUNCTION("""COMPUTED_VALUE"""),139.0)</f>
        <v>139</v>
      </c>
    </row>
    <row r="141">
      <c r="A141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141" s="36" t="str">
        <f>IFERROR(__xludf.DUMMYFUNCTION("""COMPUTED_VALUE"""),"ภารกิจด้านการพยาบาล")</f>
        <v>ภารกิจด้านการพยาบาล</v>
      </c>
      <c r="C141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D141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E141" s="36">
        <f>IFERROR(__xludf.DUMMYFUNCTION("""COMPUTED_VALUE"""),3.0)</f>
        <v>3</v>
      </c>
      <c r="F141" s="36">
        <f>IFERROR(__xludf.DUMMYFUNCTION("""COMPUTED_VALUE"""),5.0)</f>
        <v>5</v>
      </c>
      <c r="G141" s="36">
        <f>IFERROR(__xludf.DUMMYFUNCTION("""COMPUTED_VALUE"""),139.0)</f>
        <v>139</v>
      </c>
    </row>
    <row r="142">
      <c r="A142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B142" s="36" t="str">
        <f>IFERROR(__xludf.DUMMYFUNCTION("""COMPUTED_VALUE"""),"ภารกิจด้านการพยาบาล")</f>
        <v>ภารกิจด้านการพยาบาล</v>
      </c>
      <c r="C142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142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142" s="36">
        <f>IFERROR(__xludf.DUMMYFUNCTION("""COMPUTED_VALUE"""),11.0)</f>
        <v>11</v>
      </c>
      <c r="F142" s="36">
        <f>IFERROR(__xludf.DUMMYFUNCTION("""COMPUTED_VALUE"""),15.0)</f>
        <v>15</v>
      </c>
      <c r="G142" s="36">
        <f>IFERROR(__xludf.DUMMYFUNCTION("""COMPUTED_VALUE"""),139.0)</f>
        <v>139</v>
      </c>
    </row>
    <row r="143">
      <c r="A143" s="36" t="str">
        <f>IFERROR(__xludf.DUMMYFUNCTION("""COMPUTED_VALUE"""),"กลุ่มงานการพยาบาลผู้ป่วยสูติ-นรีเวช")</f>
        <v>กลุ่มงานการพยาบาลผู้ป่วยสูติ-นรีเวช</v>
      </c>
      <c r="B143" s="36" t="str">
        <f>IFERROR(__xludf.DUMMYFUNCTION("""COMPUTED_VALUE"""),"ภารกิจด้านการพยาบาล")</f>
        <v>ภารกิจด้านการพยาบาล</v>
      </c>
      <c r="C143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43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43" s="36">
        <f>IFERROR(__xludf.DUMMYFUNCTION("""COMPUTED_VALUE"""),6.0)</f>
        <v>6</v>
      </c>
      <c r="F143" s="36">
        <f>IFERROR(__xludf.DUMMYFUNCTION("""COMPUTED_VALUE"""),9.0)</f>
        <v>9</v>
      </c>
      <c r="G143" s="36">
        <f>IFERROR(__xludf.DUMMYFUNCTION("""COMPUTED_VALUE"""),139.0)</f>
        <v>139</v>
      </c>
    </row>
    <row r="144">
      <c r="A144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144" s="36" t="str">
        <f>IFERROR(__xludf.DUMMYFUNCTION("""COMPUTED_VALUE"""),"ภารกิจด้านการพยาบาล")</f>
        <v>ภารกิจด้านการพยาบาล</v>
      </c>
      <c r="C144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44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44" s="36">
        <f>IFERROR(__xludf.DUMMYFUNCTION("""COMPUTED_VALUE"""),3.0)</f>
        <v>3</v>
      </c>
      <c r="F144" s="36">
        <f>IFERROR(__xludf.DUMMYFUNCTION("""COMPUTED_VALUE"""),5.0)</f>
        <v>5</v>
      </c>
      <c r="G144" s="36">
        <f>IFERROR(__xludf.DUMMYFUNCTION("""COMPUTED_VALUE"""),139.0)</f>
        <v>139</v>
      </c>
    </row>
    <row r="145">
      <c r="A145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145" s="36" t="str">
        <f>IFERROR(__xludf.DUMMYFUNCTION("""COMPUTED_VALUE"""),"ภารกิจด้านการพยาบาล")</f>
        <v>ภารกิจด้านการพยาบาล</v>
      </c>
      <c r="C145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45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45" s="36">
        <f>IFERROR(__xludf.DUMMYFUNCTION("""COMPUTED_VALUE"""),6.0)</f>
        <v>6</v>
      </c>
      <c r="F145" s="36">
        <f>IFERROR(__xludf.DUMMYFUNCTION("""COMPUTED_VALUE"""),8.0)</f>
        <v>8</v>
      </c>
      <c r="G145" s="36">
        <f>IFERROR(__xludf.DUMMYFUNCTION("""COMPUTED_VALUE"""),139.0)</f>
        <v>139</v>
      </c>
    </row>
    <row r="146">
      <c r="A146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146" s="36" t="str">
        <f>IFERROR(__xludf.DUMMYFUNCTION("""COMPUTED_VALUE"""),"ภารกิจด้านการพยาบาล")</f>
        <v>ภารกิจด้านการพยาบาล</v>
      </c>
      <c r="C146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46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46" s="36">
        <f>IFERROR(__xludf.DUMMYFUNCTION("""COMPUTED_VALUE"""),10.0)</f>
        <v>10</v>
      </c>
      <c r="F146" s="36">
        <f>IFERROR(__xludf.DUMMYFUNCTION("""COMPUTED_VALUE"""),12.0)</f>
        <v>12</v>
      </c>
      <c r="G146" s="36">
        <f>IFERROR(__xludf.DUMMYFUNCTION("""COMPUTED_VALUE"""),139.0)</f>
        <v>139</v>
      </c>
    </row>
    <row r="147">
      <c r="A147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147" s="36" t="str">
        <f>IFERROR(__xludf.DUMMYFUNCTION("""COMPUTED_VALUE"""),"ภารกิจด้านการพยาบาล")</f>
        <v>ภารกิจด้านการพยาบาล</v>
      </c>
      <c r="C147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47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47" s="36">
        <f>IFERROR(__xludf.DUMMYFUNCTION("""COMPUTED_VALUE"""),6.0)</f>
        <v>6</v>
      </c>
      <c r="F147" s="36">
        <f>IFERROR(__xludf.DUMMYFUNCTION("""COMPUTED_VALUE"""),16.0)</f>
        <v>16</v>
      </c>
      <c r="G147" s="36">
        <f>IFERROR(__xludf.DUMMYFUNCTION("""COMPUTED_VALUE"""),139.0)</f>
        <v>139</v>
      </c>
    </row>
    <row r="148">
      <c r="A148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B148" s="36" t="str">
        <f>IFERROR(__xludf.DUMMYFUNCTION("""COMPUTED_VALUE"""),"ภารกิจด้านการพยาบาล")</f>
        <v>ภารกิจด้านการพยาบาล</v>
      </c>
      <c r="C148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48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48" s="36">
        <f>IFERROR(__xludf.DUMMYFUNCTION("""COMPUTED_VALUE"""),11.0)</f>
        <v>11</v>
      </c>
      <c r="F148" s="36">
        <f>IFERROR(__xludf.DUMMYFUNCTION("""COMPUTED_VALUE"""),15.0)</f>
        <v>15</v>
      </c>
      <c r="G148" s="36">
        <f>IFERROR(__xludf.DUMMYFUNCTION("""COMPUTED_VALUE"""),139.0)</f>
        <v>139</v>
      </c>
    </row>
    <row r="149">
      <c r="A149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B149" s="36" t="str">
        <f>IFERROR(__xludf.DUMMYFUNCTION("""COMPUTED_VALUE"""),"ภารกิจด้านการพยาบาล")</f>
        <v>ภารกิจด้านการพยาบาล</v>
      </c>
      <c r="C149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D149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E149" s="36">
        <f>IFERROR(__xludf.DUMMYFUNCTION("""COMPUTED_VALUE"""),5.0)</f>
        <v>5</v>
      </c>
      <c r="F149" s="36">
        <f>IFERROR(__xludf.DUMMYFUNCTION("""COMPUTED_VALUE"""),8.0)</f>
        <v>8</v>
      </c>
      <c r="G149" s="36">
        <f>IFERROR(__xludf.DUMMYFUNCTION("""COMPUTED_VALUE"""),139.0)</f>
        <v>139</v>
      </c>
    </row>
    <row r="150">
      <c r="A150" s="36" t="str">
        <f>IFERROR(__xludf.DUMMYFUNCTION("""COMPUTED_VALUE"""),"กลุ่มงานการพยาบาลวิสัญญี")</f>
        <v>กลุ่มงานการพยาบาลวิสัญญี</v>
      </c>
      <c r="B150" s="36" t="str">
        <f>IFERROR(__xludf.DUMMYFUNCTION("""COMPUTED_VALUE"""),"ภารกิจด้านการพยาบาล")</f>
        <v>ภารกิจด้านการพยาบาล</v>
      </c>
      <c r="C150" s="36" t="str">
        <f>IFERROR(__xludf.DUMMYFUNCTION("""COMPUTED_VALUE"""),"กลุ่มงานการพยาบาลวิสัญญี")</f>
        <v>กลุ่มงานการพยาบาลวิสัญญี</v>
      </c>
      <c r="D150" s="36" t="str">
        <f>IFERROR(__xludf.DUMMYFUNCTION("""COMPUTED_VALUE"""),"กลุ่มงานการพยาบาลวิสัญญี")</f>
        <v>กลุ่มงานการพยาบาลวิสัญญี</v>
      </c>
      <c r="E150" s="36">
        <f>IFERROR(__xludf.DUMMYFUNCTION("""COMPUTED_VALUE"""),2.0)</f>
        <v>2</v>
      </c>
      <c r="F150" s="36">
        <f>IFERROR(__xludf.DUMMYFUNCTION("""COMPUTED_VALUE"""),3.0)</f>
        <v>3</v>
      </c>
      <c r="G150" s="36">
        <f>IFERROR(__xludf.DUMMYFUNCTION("""COMPUTED_VALUE"""),139.0)</f>
        <v>139</v>
      </c>
    </row>
    <row r="151">
      <c r="A151" s="36" t="str">
        <f>IFERROR(__xludf.DUMMYFUNCTION("""COMPUTED_VALUE"""),"กลุ่มงานการพยาบาลชุมชน")</f>
        <v>กลุ่มงานการพยาบาลชุมชน</v>
      </c>
      <c r="B151" s="36" t="str">
        <f>IFERROR(__xludf.DUMMYFUNCTION("""COMPUTED_VALUE"""),"ภารกิจด้านบริการปฐมภูมิ")</f>
        <v>ภารกิจด้านบริการปฐมภูมิ</v>
      </c>
      <c r="C151" s="36" t="str">
        <f>IFERROR(__xludf.DUMMYFUNCTION("""COMPUTED_VALUE"""),"งานการพยาบาลที่บ้านและชุมชน")</f>
        <v>งานการพยาบาลที่บ้านและชุมชน</v>
      </c>
      <c r="D151" s="36" t="str">
        <f>IFERROR(__xludf.DUMMYFUNCTION("""COMPUTED_VALUE"""),"กลุ่มงานการพยาบาลชุมชน")</f>
        <v>กลุ่มงานการพยาบาลชุมชน</v>
      </c>
      <c r="E151" s="36">
        <f>IFERROR(__xludf.DUMMYFUNCTION("""COMPUTED_VALUE"""),2.0)</f>
        <v>2</v>
      </c>
      <c r="F151" s="36">
        <f>IFERROR(__xludf.DUMMYFUNCTION("""COMPUTED_VALUE"""),5.0)</f>
        <v>5</v>
      </c>
      <c r="G151" s="36">
        <f>IFERROR(__xludf.DUMMYFUNCTION("""COMPUTED_VALUE"""),18.0)</f>
        <v>18</v>
      </c>
    </row>
    <row r="152">
      <c r="A152" s="36" t="str">
        <f>IFERROR(__xludf.DUMMYFUNCTION("""COMPUTED_VALUE"""),"กลุ่มงานโภชนศาสตร์")</f>
        <v>กลุ่มงานโภชนศาสตร์</v>
      </c>
      <c r="B152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152" s="36" t="str">
        <f>IFERROR(__xludf.DUMMYFUNCTION("""COMPUTED_VALUE"""),"กลุ่มงานบริหารทั่วไป")</f>
        <v>กลุ่มงานบริหารทั่วไป</v>
      </c>
      <c r="D152" s="36" t="str">
        <f>IFERROR(__xludf.DUMMYFUNCTION("""COMPUTED_VALUE"""),"กลุ่มงานบริหารทั่วไป")</f>
        <v>กลุ่มงานบริหารทั่วไป</v>
      </c>
      <c r="E152" s="36">
        <f>IFERROR(__xludf.DUMMYFUNCTION("""COMPUTED_VALUE"""),14.0)</f>
        <v>14</v>
      </c>
      <c r="F152" s="36">
        <f>IFERROR(__xludf.DUMMYFUNCTION("""COMPUTED_VALUE"""),54.0)</f>
        <v>54</v>
      </c>
      <c r="G152" s="36">
        <f>IFERROR(__xludf.DUMMYFUNCTION("""COMPUTED_VALUE"""),57.0)</f>
        <v>57</v>
      </c>
    </row>
    <row r="153">
      <c r="A153" s="36" t="str">
        <f>IFERROR(__xludf.DUMMYFUNCTION("""COMPUTED_VALUE"""),"กลุ่มงานการพยาบาลด้านการควบคุมและป้องกันการติดเชื้อ")</f>
        <v>กลุ่มงานการพยาบาลด้านการควบคุมและป้องกันการติดเชื้อ</v>
      </c>
      <c r="B153" s="36" t="str">
        <f>IFERROR(__xludf.DUMMYFUNCTION("""COMPUTED_VALUE"""),"ภารกิจด้านการพยาบาล")</f>
        <v>ภารกิจด้านการพยาบาล</v>
      </c>
      <c r="C153" s="36" t="str">
        <f>IFERROR(__xludf.DUMMYFUNCTION("""COMPUTED_VALUE"""),"กลุ่มงานบริหารทั่วไป")</f>
        <v>กลุ่มงานบริหารทั่วไป</v>
      </c>
      <c r="D153" s="36" t="str">
        <f>IFERROR(__xludf.DUMMYFUNCTION("""COMPUTED_VALUE"""),"กลุ่มงานบริหารทั่วไป")</f>
        <v>กลุ่มงานบริหารทั่วไป</v>
      </c>
      <c r="E153" s="36">
        <f>IFERROR(__xludf.DUMMYFUNCTION("""COMPUTED_VALUE"""),12.0)</f>
        <v>12</v>
      </c>
      <c r="F153" s="36">
        <f>IFERROR(__xludf.DUMMYFUNCTION("""COMPUTED_VALUE"""),12.0)</f>
        <v>12</v>
      </c>
      <c r="G153" s="36">
        <f>IFERROR(__xludf.DUMMYFUNCTION("""COMPUTED_VALUE"""),139.0)</f>
        <v>139</v>
      </c>
    </row>
    <row r="154">
      <c r="A154" s="36" t="str">
        <f>IFERROR(__xludf.DUMMYFUNCTION("""COMPUTED_VALUE"""),"กลุ่มงานบริหารทั่วไป")</f>
        <v>กลุ่มงานบริหารทั่วไป</v>
      </c>
      <c r="B154" s="36" t="str">
        <f>IFERROR(__xludf.DUMMYFUNCTION("""COMPUTED_VALUE"""),"ภารกิจด้านอำนวยการ")</f>
        <v>ภารกิจด้านอำนวยการ</v>
      </c>
      <c r="C154" s="36" t="str">
        <f>IFERROR(__xludf.DUMMYFUNCTION("""COMPUTED_VALUE"""),"กลุ่มงานบริหารทั่วไป")</f>
        <v>กลุ่มงานบริหารทั่วไป</v>
      </c>
      <c r="D154" s="36" t="str">
        <f>IFERROR(__xludf.DUMMYFUNCTION("""COMPUTED_VALUE"""),"กลุ่มงานบริหารทั่วไป")</f>
        <v>กลุ่มงานบริหารทั่วไป</v>
      </c>
      <c r="E154" s="36">
        <f>IFERROR(__xludf.DUMMYFUNCTION("""COMPUTED_VALUE"""),14.0)</f>
        <v>14</v>
      </c>
      <c r="F154" s="36">
        <f>IFERROR(__xludf.DUMMYFUNCTION("""COMPUTED_VALUE"""),54.0)</f>
        <v>54</v>
      </c>
      <c r="G154" s="36">
        <f>IFERROR(__xludf.DUMMYFUNCTION("""COMPUTED_VALUE"""),57.0)</f>
        <v>57</v>
      </c>
    </row>
    <row r="155">
      <c r="A155" s="36" t="str">
        <f>IFERROR(__xludf.DUMMYFUNCTION("""COMPUTED_VALUE"""),"กลุ่มงานการเงิน")</f>
        <v>กลุ่มงานการเงิน</v>
      </c>
      <c r="B155" s="36" t="str">
        <f>IFERROR(__xludf.DUMMYFUNCTION("""COMPUTED_VALUE"""),"ภารกิจด้านอำนวยการ")</f>
        <v>ภารกิจด้านอำนวยการ</v>
      </c>
      <c r="C155" s="36" t="str">
        <f>IFERROR(__xludf.DUMMYFUNCTION("""COMPUTED_VALUE"""),"กลุ่มงานบริหารทั่วไป")</f>
        <v>กลุ่มงานบริหารทั่วไป</v>
      </c>
      <c r="D155" s="36" t="str">
        <f>IFERROR(__xludf.DUMMYFUNCTION("""COMPUTED_VALUE"""),"กลุ่มงานบริหารทั่วไป")</f>
        <v>กลุ่มงานบริหารทั่วไป</v>
      </c>
      <c r="E155" s="36">
        <f>IFERROR(__xludf.DUMMYFUNCTION("""COMPUTED_VALUE"""),6.0)</f>
        <v>6</v>
      </c>
      <c r="F155" s="36">
        <f>IFERROR(__xludf.DUMMYFUNCTION("""COMPUTED_VALUE"""),54.0)</f>
        <v>54</v>
      </c>
      <c r="G155" s="36">
        <f>IFERROR(__xludf.DUMMYFUNCTION("""COMPUTED_VALUE"""),57.0)</f>
        <v>57</v>
      </c>
    </row>
    <row r="156">
      <c r="A156" s="36" t="str">
        <f>IFERROR(__xludf.DUMMYFUNCTION("""COMPUTED_VALUE"""),"กลุ่มงานประกันสุขภาพ")</f>
        <v>กลุ่มงานประกันสุขภาพ</v>
      </c>
      <c r="B156" s="36" t="str">
        <f>IFERROR(__xludf.DUMMYFUNCTION("""COMPUTED_VALUE"""),"ภารกิจด้านพัฒนาระบบบริการและสนับสนุนบริการสุขภาพ")</f>
        <v>ภารกิจด้านพัฒนาระบบบริการและสนับสนุนบริการสุขภาพ</v>
      </c>
      <c r="C156" s="36" t="str">
        <f>IFERROR(__xludf.DUMMYFUNCTION("""COMPUTED_VALUE"""),"กลุ่มงานประกันสุขภาพ")</f>
        <v>กลุ่มงานประกันสุขภาพ</v>
      </c>
      <c r="D156" s="36" t="str">
        <f>IFERROR(__xludf.DUMMYFUNCTION("""COMPUTED_VALUE"""),"กลุ่มงานประกันสุขภาพ")</f>
        <v>กลุ่มงานประกันสุขภาพ</v>
      </c>
      <c r="E156" s="36">
        <f>IFERROR(__xludf.DUMMYFUNCTION("""COMPUTED_VALUE"""),6.0)</f>
        <v>6</v>
      </c>
      <c r="F156" s="36">
        <f>IFERROR(__xludf.DUMMYFUNCTION("""COMPUTED_VALUE"""),54.0)</f>
        <v>54</v>
      </c>
      <c r="G156" s="36">
        <f>IFERROR(__xludf.DUMMYFUNCTION("""COMPUTED_VALUE"""),57.0)</f>
        <v>57</v>
      </c>
    </row>
    <row r="157">
      <c r="A157" s="36" t="str">
        <f>IFERROR(__xludf.DUMMYFUNCTION("""COMPUTED_VALUE"""),"กลุ่มงานเวชระเบียนและข้อมูลทางการแพทย์")</f>
        <v>กลุ่มงานเวชระเบียนและข้อมูลทางการแพทย์</v>
      </c>
      <c r="B157" s="36" t="str">
        <f>IFERROR(__xludf.DUMMYFUNCTION("""COMPUTED_VALUE"""),"ภารกิจสุขภาพดิจิทัล")</f>
        <v>ภารกิจสุขภาพดิจิทัล</v>
      </c>
      <c r="C157" s="36" t="str">
        <f>IFERROR(__xludf.DUMMYFUNCTION("""COMPUTED_VALUE"""),"กลุ่มงานบริหารทั่วไป")</f>
        <v>กลุ่มงานบริหารทั่วไป</v>
      </c>
      <c r="D157" s="36" t="str">
        <f>IFERROR(__xludf.DUMMYFUNCTION("""COMPUTED_VALUE"""),"กลุ่มงานบริหารทั่วไป")</f>
        <v>กลุ่มงานบริหารทั่วไป</v>
      </c>
      <c r="E157" s="36">
        <f>IFERROR(__xludf.DUMMYFUNCTION("""COMPUTED_VALUE"""),6.0)</f>
        <v>6</v>
      </c>
      <c r="F157" s="36">
        <f>IFERROR(__xludf.DUMMYFUNCTION("""COMPUTED_VALUE"""),54.0)</f>
        <v>54</v>
      </c>
      <c r="G157" s="36">
        <f>IFERROR(__xludf.DUMMYFUNCTION("""COMPUTED_VALUE"""),57.0)</f>
        <v>57</v>
      </c>
    </row>
    <row r="158">
      <c r="A158" s="36" t="str">
        <f>IFERROR(__xludf.DUMMYFUNCTION("""COMPUTED_VALUE"""),"กลุ่มงานการพยาบาลด้านการควบคุมและป้องกันการติดเชื้อ")</f>
        <v>กลุ่มงานการพยาบาลด้านการควบคุมและป้องกันการติดเชื้อ</v>
      </c>
      <c r="B158" s="36" t="str">
        <f>IFERROR(__xludf.DUMMYFUNCTION("""COMPUTED_VALUE"""),"ภารกิจด้านการพยาบาล")</f>
        <v>ภารกิจด้านการพยาบาล</v>
      </c>
      <c r="C158" s="36" t="str">
        <f>IFERROR(__xludf.DUMMYFUNCTION("""COMPUTED_VALUE"""),"กลุ่มงานการพยาบาลด้านการควบคุมและป้องกันการติดเชื้อ")</f>
        <v>กลุ่มงานการพยาบาลด้านการควบคุมและป้องกันการติดเชื้อ</v>
      </c>
      <c r="D158" s="36" t="str">
        <f>IFERROR(__xludf.DUMMYFUNCTION("""COMPUTED_VALUE"""),"กลุ่มงานการพยาบาลด้านการควบคุมและป้องกันการติดเชื้อ")</f>
        <v>กลุ่มงานการพยาบาลด้านการควบคุมและป้องกันการติดเชื้อ</v>
      </c>
      <c r="E158" s="36">
        <f>IFERROR(__xludf.DUMMYFUNCTION("""COMPUTED_VALUE"""),12.0)</f>
        <v>12</v>
      </c>
      <c r="F158" s="36">
        <f>IFERROR(__xludf.DUMMYFUNCTION("""COMPUTED_VALUE"""),12.0)</f>
        <v>12</v>
      </c>
      <c r="G158" s="36">
        <f>IFERROR(__xludf.DUMMYFUNCTION("""COMPUTED_VALUE"""),139.0)</f>
        <v>139</v>
      </c>
    </row>
    <row r="159">
      <c r="A159" s="36" t="str">
        <f>IFERROR(__xludf.DUMMYFUNCTION("""COMPUTED_VALUE"""),"กลุ่มงานบริหารทั่วไป")</f>
        <v>กลุ่มงานบริหารทั่วไป</v>
      </c>
      <c r="B159" s="36" t="str">
        <f>IFERROR(__xludf.DUMMYFUNCTION("""COMPUTED_VALUE"""),"ภารกิจด้านอำนวยการ")</f>
        <v>ภารกิจด้านอำนวยการ</v>
      </c>
      <c r="C159" s="36" t="str">
        <f>IFERROR(__xludf.DUMMYFUNCTION("""COMPUTED_VALUE"""),"กลุ่มงานบริหารทั่วไป")</f>
        <v>กลุ่มงานบริหารทั่วไป</v>
      </c>
      <c r="D159" s="36" t="str">
        <f>IFERROR(__xludf.DUMMYFUNCTION("""COMPUTED_VALUE"""),"กลุ่มงานบริหารทั่วไป")</f>
        <v>กลุ่มงานบริหารทั่วไป</v>
      </c>
      <c r="E159" s="36">
        <f>IFERROR(__xludf.DUMMYFUNCTION("""COMPUTED_VALUE"""),8.0)</f>
        <v>8</v>
      </c>
      <c r="F159" s="36">
        <f>IFERROR(__xludf.DUMMYFUNCTION("""COMPUTED_VALUE"""),54.0)</f>
        <v>54</v>
      </c>
      <c r="G159" s="36">
        <f>IFERROR(__xludf.DUMMYFUNCTION("""COMPUTED_VALUE"""),57.0)</f>
        <v>57</v>
      </c>
    </row>
    <row r="160">
      <c r="A160" s="36" t="str">
        <f>IFERROR(__xludf.DUMMYFUNCTION("""COMPUTED_VALUE"""),"กลุ่มงานเวชระเบียนและข้อมูลทางการแพทย์")</f>
        <v>กลุ่มงานเวชระเบียนและข้อมูลทางการแพทย์</v>
      </c>
      <c r="B160" s="36" t="str">
        <f>IFERROR(__xludf.DUMMYFUNCTION("""COMPUTED_VALUE"""),"ภารกิจสุขภาพดิจิทัล")</f>
        <v>ภารกิจสุขภาพดิจิทัล</v>
      </c>
      <c r="C160" s="36" t="str">
        <f>IFERROR(__xludf.DUMMYFUNCTION("""COMPUTED_VALUE"""),"กลุ่มงานเวชระเบียนและข้อมูลทางการแพทย์")</f>
        <v>กลุ่มงานเวชระเบียนและข้อมูลทางการแพทย์</v>
      </c>
      <c r="D160" s="36" t="str">
        <f>IFERROR(__xludf.DUMMYFUNCTION("""COMPUTED_VALUE"""),"กลุ่มงานเวชระเบียนและข้อมูลทางการแพทย์")</f>
        <v>กลุ่มงานเวชระเบียนและข้อมูลทางการแพทย์</v>
      </c>
      <c r="E160" s="36">
        <f>IFERROR(__xludf.DUMMYFUNCTION("""COMPUTED_VALUE"""),5.0)</f>
        <v>5</v>
      </c>
      <c r="F160" s="36">
        <f>IFERROR(__xludf.DUMMYFUNCTION("""COMPUTED_VALUE"""),5.0)</f>
        <v>5</v>
      </c>
      <c r="G160" s="36">
        <f>IFERROR(__xludf.DUMMYFUNCTION("""COMPUTED_VALUE"""),5.0)</f>
        <v>5</v>
      </c>
    </row>
    <row r="161">
      <c r="A161" s="36" t="str">
        <f>IFERROR(__xludf.DUMMYFUNCTION("""COMPUTED_VALUE"""),"กลุ่มงานโภชนศาสตร์")</f>
        <v>กลุ่มงานโภชนศาสตร์</v>
      </c>
      <c r="B161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161" s="36" t="str">
        <f>IFERROR(__xludf.DUMMYFUNCTION("""COMPUTED_VALUE"""),"กลุ่มงานโภชนศาสตร์")</f>
        <v>กลุ่มงานโภชนศาสตร์</v>
      </c>
      <c r="D161" s="36" t="str">
        <f>IFERROR(__xludf.DUMMYFUNCTION("""COMPUTED_VALUE"""),"กลุ่มงานโภชนศาสตร์")</f>
        <v>กลุ่มงานโภชนศาสตร์</v>
      </c>
      <c r="E161" s="36">
        <f>IFERROR(__xludf.DUMMYFUNCTION("""COMPUTED_VALUE"""),12.0)</f>
        <v>12</v>
      </c>
      <c r="F161" s="36">
        <f>IFERROR(__xludf.DUMMYFUNCTION("""COMPUTED_VALUE"""),12.0)</f>
        <v>12</v>
      </c>
      <c r="G161" s="36">
        <f>IFERROR(__xludf.DUMMYFUNCTION("""COMPUTED_VALUE"""),50.0)</f>
        <v>50</v>
      </c>
    </row>
    <row r="162">
      <c r="A162" s="36" t="str">
        <f>IFERROR(__xludf.DUMMYFUNCTION("""COMPUTED_VALUE"""),"กลุ่มงานเทคนิคการแพทย์และพยาธิวิทยาคลินิก")</f>
        <v>กลุ่มงานเทคนิคการแพทย์และพยาธิวิทยาคลินิก</v>
      </c>
      <c r="B162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162" s="36" t="str">
        <f>IFERROR(__xludf.DUMMYFUNCTION("""COMPUTED_VALUE"""),"กลุ่มงานเทคนิคการแพทย์และพยาธิวิทยาคลินิก")</f>
        <v>กลุ่มงานเทคนิคการแพทย์และพยาธิวิทยาคลินิก</v>
      </c>
      <c r="D162" s="36" t="str">
        <f>IFERROR(__xludf.DUMMYFUNCTION("""COMPUTED_VALUE"""),"กลุ่มงานเทคนิคการแพทย์และพยาธิวิทยาคลินิก")</f>
        <v>กลุ่มงานเทคนิคการแพทย์และพยาธิวิทยาคลินิก</v>
      </c>
      <c r="E162" s="36">
        <f>IFERROR(__xludf.DUMMYFUNCTION("""COMPUTED_VALUE"""),5.0)</f>
        <v>5</v>
      </c>
      <c r="F162" s="36">
        <f>IFERROR(__xludf.DUMMYFUNCTION("""COMPUTED_VALUE"""),7.0)</f>
        <v>7</v>
      </c>
      <c r="G162" s="36">
        <f>IFERROR(__xludf.DUMMYFUNCTION("""COMPUTED_VALUE"""),50.0)</f>
        <v>50</v>
      </c>
    </row>
    <row r="163">
      <c r="A163" s="36" t="str">
        <f>IFERROR(__xludf.DUMMYFUNCTION("""COMPUTED_VALUE"""),"กลุ่มงานเภสัชกรรม")</f>
        <v>กลุ่มงานเภสัชกรรม</v>
      </c>
      <c r="B163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163" s="36" t="str">
        <f>IFERROR(__xludf.DUMMYFUNCTION("""COMPUTED_VALUE"""),"กลุ่มงานเภสัชกรรม")</f>
        <v>กลุ่มงานเภสัชกรรม</v>
      </c>
      <c r="D163" s="36" t="str">
        <f>IFERROR(__xludf.DUMMYFUNCTION("""COMPUTED_VALUE"""),"กลุ่มงานเภสัชกรรม")</f>
        <v>กลุ่มงานเภสัชกรรม</v>
      </c>
      <c r="E163" s="36">
        <f>IFERROR(__xludf.DUMMYFUNCTION("""COMPUTED_VALUE"""),8.0)</f>
        <v>8</v>
      </c>
      <c r="F163" s="36">
        <f>IFERROR(__xludf.DUMMYFUNCTION("""COMPUTED_VALUE"""),8.0)</f>
        <v>8</v>
      </c>
      <c r="G163" s="36">
        <f>IFERROR(__xludf.DUMMYFUNCTION("""COMPUTED_VALUE"""),50.0)</f>
        <v>50</v>
      </c>
    </row>
    <row r="164">
      <c r="A164" s="36" t="str">
        <f>IFERROR(__xludf.DUMMYFUNCTION("""COMPUTED_VALUE"""),"งานอาชีวอนามัยความปลอดภัยและอนามัยสิ่งแวดล้อม")</f>
        <v>งานอาชีวอนามัยความปลอดภัยและอนามัยสิ่งแวดล้อม</v>
      </c>
      <c r="B164" s="36" t="str">
        <f>IFERROR(__xludf.DUMMYFUNCTION("""COMPUTED_VALUE"""),"ภารกิจด้านบริการปฐมภูมิ")</f>
        <v>ภารกิจด้านบริการปฐมภูมิ</v>
      </c>
      <c r="C164" s="36" t="str">
        <f>IFERROR(__xludf.DUMMYFUNCTION("""COMPUTED_VALUE"""),"กลุ่มงานบริหารทั่วไป")</f>
        <v>กลุ่มงานบริหารทั่วไป</v>
      </c>
      <c r="D164" s="36" t="str">
        <f>IFERROR(__xludf.DUMMYFUNCTION("""COMPUTED_VALUE"""),"กลุ่มงานบริหารทั่วไป")</f>
        <v>กลุ่มงานบริหารทั่วไป</v>
      </c>
      <c r="E164" s="36">
        <f>IFERROR(__xludf.DUMMYFUNCTION("""COMPUTED_VALUE"""),3.0)</f>
        <v>3</v>
      </c>
      <c r="F164" s="36">
        <f>IFERROR(__xludf.DUMMYFUNCTION("""COMPUTED_VALUE"""),54.0)</f>
        <v>54</v>
      </c>
      <c r="G164" s="36">
        <f>IFERROR(__xludf.DUMMYFUNCTION("""COMPUTED_VALUE"""),57.0)</f>
        <v>57</v>
      </c>
    </row>
    <row r="165">
      <c r="A165" s="36" t="str">
        <f>IFERROR(__xludf.DUMMYFUNCTION("""COMPUTED_VALUE"""),"กลุ่มงานเวชกรรมสังคม")</f>
        <v>กลุ่มงานเวชกรรมสังคม</v>
      </c>
      <c r="B165" s="36" t="str">
        <f>IFERROR(__xludf.DUMMYFUNCTION("""COMPUTED_VALUE"""),"ภารกิจด้านบริการปฐมภูมิ")</f>
        <v>ภารกิจด้านบริการปฐมภูมิ</v>
      </c>
      <c r="C165" s="36" t="str">
        <f>IFERROR(__xludf.DUMMYFUNCTION("""COMPUTED_VALUE"""),"กลุ่มงานบริหารทั่วไป")</f>
        <v>กลุ่มงานบริหารทั่วไป</v>
      </c>
      <c r="D165" s="36" t="str">
        <f>IFERROR(__xludf.DUMMYFUNCTION("""COMPUTED_VALUE"""),"กลุ่มงานบริหารทั่วไป")</f>
        <v>กลุ่มงานบริหารทั่วไป</v>
      </c>
      <c r="E165" s="36">
        <f>IFERROR(__xludf.DUMMYFUNCTION("""COMPUTED_VALUE"""),3.0)</f>
        <v>3</v>
      </c>
      <c r="F165" s="36">
        <f>IFERROR(__xludf.DUMMYFUNCTION("""COMPUTED_VALUE"""),54.0)</f>
        <v>54</v>
      </c>
      <c r="G165" s="36">
        <f>IFERROR(__xludf.DUMMYFUNCTION("""COMPUTED_VALUE"""),57.0)</f>
        <v>57</v>
      </c>
    </row>
    <row r="166">
      <c r="A166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B166" s="36" t="str">
        <f>IFERROR(__xludf.DUMMYFUNCTION("""COMPUTED_VALUE"""),"ภารกิจด้านการพยาบาล")</f>
        <v>ภารกิจด้านการพยาบาล</v>
      </c>
      <c r="C166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D166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E166" s="36">
        <f>IFERROR(__xludf.DUMMYFUNCTION("""COMPUTED_VALUE"""),25.0)</f>
        <v>25</v>
      </c>
      <c r="F166" s="36">
        <f>IFERROR(__xludf.DUMMYFUNCTION("""COMPUTED_VALUE"""),25.0)</f>
        <v>25</v>
      </c>
      <c r="G166" s="36">
        <f>IFERROR(__xludf.DUMMYFUNCTION("""COMPUTED_VALUE"""),266.0)</f>
        <v>266</v>
      </c>
    </row>
    <row r="167">
      <c r="A167" s="36" t="str">
        <f>IFERROR(__xludf.DUMMYFUNCTION("""COMPUTED_VALUE"""),"รพ.สะเมิง")</f>
        <v>รพ.สะเมิง</v>
      </c>
      <c r="B167" s="36" t="str">
        <f>IFERROR(__xludf.DUMMYFUNCTION("""COMPUTED_VALUE"""),"รพ.สะเมิง")</f>
        <v>รพ.สะเมิง</v>
      </c>
      <c r="C167" s="36" t="str">
        <f>IFERROR(__xludf.DUMMYFUNCTION("""COMPUTED_VALUE"""),"กลุ่มงานการพยาบาลจิตเวช")</f>
        <v>กลุ่มงานการพยาบาลจิตเวช</v>
      </c>
      <c r="D167" s="36" t="str">
        <f>IFERROR(__xludf.DUMMYFUNCTION("""COMPUTED_VALUE"""),"กลุ่มงานการพยาบาลจิตเวช")</f>
        <v>กลุ่มงานการพยาบาลจิตเวช</v>
      </c>
      <c r="E167" s="36">
        <f>IFERROR(__xludf.DUMMYFUNCTION("""COMPUTED_VALUE"""),6.0)</f>
        <v>6</v>
      </c>
      <c r="F167" s="36">
        <f>IFERROR(__xludf.DUMMYFUNCTION("""COMPUTED_VALUE"""),6.0)</f>
        <v>6</v>
      </c>
      <c r="G167" s="36">
        <f>IFERROR(__xludf.DUMMYFUNCTION("""COMPUTED_VALUE"""),266.0)</f>
        <v>266</v>
      </c>
    </row>
    <row r="168">
      <c r="A168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B168" s="36" t="str">
        <f>IFERROR(__xludf.DUMMYFUNCTION("""COMPUTED_VALUE"""),"ภารกิจด้านการพยาบาล")</f>
        <v>ภารกิจด้านการพยาบาล</v>
      </c>
      <c r="C168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68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68" s="36">
        <f>IFERROR(__xludf.DUMMYFUNCTION("""COMPUTED_VALUE"""),25.0)</f>
        <v>25</v>
      </c>
      <c r="F168" s="36">
        <f>IFERROR(__xludf.DUMMYFUNCTION("""COMPUTED_VALUE"""),25.0)</f>
        <v>25</v>
      </c>
      <c r="G168" s="36">
        <f>IFERROR(__xludf.DUMMYFUNCTION("""COMPUTED_VALUE"""),266.0)</f>
        <v>266</v>
      </c>
    </row>
    <row r="169">
      <c r="A169" s="36" t="str">
        <f>IFERROR(__xludf.DUMMYFUNCTION("""COMPUTED_VALUE"""),"กลุ่มงานการพยาบาลชุมชน")</f>
        <v>กลุ่มงานการพยาบาลชุมชน</v>
      </c>
      <c r="B169" s="36" t="str">
        <f>IFERROR(__xludf.DUMMYFUNCTION("""COMPUTED_VALUE"""),"ภารกิจด้านบริการปฐมภูมิ")</f>
        <v>ภารกิจด้านบริการปฐมภูมิ</v>
      </c>
      <c r="C169" s="36" t="str">
        <f>IFERROR(__xludf.DUMMYFUNCTION("""COMPUTED_VALUE"""),"งานการพยาบาลที่บ้านและชุมชน")</f>
        <v>งานการพยาบาลที่บ้านและชุมชน</v>
      </c>
      <c r="D169" s="36" t="str">
        <f>IFERROR(__xludf.DUMMYFUNCTION("""COMPUTED_VALUE"""),"กลุ่มงานการพยาบาลชุมชน")</f>
        <v>กลุ่มงานการพยาบาลชุมชน</v>
      </c>
      <c r="E169" s="36">
        <f>IFERROR(__xludf.DUMMYFUNCTION("""COMPUTED_VALUE"""),4.0)</f>
        <v>4</v>
      </c>
      <c r="F169" s="36">
        <f>IFERROR(__xludf.DUMMYFUNCTION("""COMPUTED_VALUE"""),5.0)</f>
        <v>5</v>
      </c>
      <c r="G169" s="36">
        <f>IFERROR(__xludf.DUMMYFUNCTION("""COMPUTED_VALUE"""),66.0)</f>
        <v>66</v>
      </c>
    </row>
    <row r="170">
      <c r="A170" s="36" t="str">
        <f>IFERROR(__xludf.DUMMYFUNCTION("""COMPUTED_VALUE"""),"กลุ่มงานการพยาบาลชุมชน")</f>
        <v>กลุ่มงานการพยาบาลชุมชน</v>
      </c>
      <c r="B170" s="36" t="str">
        <f>IFERROR(__xludf.DUMMYFUNCTION("""COMPUTED_VALUE"""),"ภารกิจด้านบริการปฐมภูมิ")</f>
        <v>ภารกิจด้านบริการปฐมภูมิ</v>
      </c>
      <c r="C170" s="36" t="str">
        <f>IFERROR(__xludf.DUMMYFUNCTION("""COMPUTED_VALUE"""),"งานการพยาบาลที่บ้านและชุมชน")</f>
        <v>งานการพยาบาลที่บ้านและชุมชน</v>
      </c>
      <c r="D170" s="36" t="str">
        <f>IFERROR(__xludf.DUMMYFUNCTION("""COMPUTED_VALUE"""),"กลุ่มงานการพยาบาลชุมชน")</f>
        <v>กลุ่มงานการพยาบาลชุมชน</v>
      </c>
      <c r="E170" s="36">
        <f>IFERROR(__xludf.DUMMYFUNCTION("""COMPUTED_VALUE"""),5.0)</f>
        <v>5</v>
      </c>
      <c r="F170" s="36">
        <f>IFERROR(__xludf.DUMMYFUNCTION("""COMPUTED_VALUE"""),5.0)</f>
        <v>5</v>
      </c>
      <c r="G170" s="36">
        <f>IFERROR(__xludf.DUMMYFUNCTION("""COMPUTED_VALUE"""),66.0)</f>
        <v>66</v>
      </c>
    </row>
    <row r="171">
      <c r="A171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B171" s="36" t="str">
        <f>IFERROR(__xludf.DUMMYFUNCTION("""COMPUTED_VALUE"""),"ภารกิจด้านการพยาบาล")</f>
        <v>ภารกิจด้านการพยาบาล</v>
      </c>
      <c r="C171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171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171" s="36">
        <f>IFERROR(__xludf.DUMMYFUNCTION("""COMPUTED_VALUE"""),25.0)</f>
        <v>25</v>
      </c>
      <c r="F171" s="36">
        <f>IFERROR(__xludf.DUMMYFUNCTION("""COMPUTED_VALUE"""),25.0)</f>
        <v>25</v>
      </c>
      <c r="G171" s="36">
        <f>IFERROR(__xludf.DUMMYFUNCTION("""COMPUTED_VALUE"""),266.0)</f>
        <v>266</v>
      </c>
    </row>
    <row r="172">
      <c r="A172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B172" s="36" t="str">
        <f>IFERROR(__xludf.DUMMYFUNCTION("""COMPUTED_VALUE"""),"ภารกิจด้านการพยาบาล")</f>
        <v>ภารกิจด้านการพยาบาล</v>
      </c>
      <c r="C172" s="36" t="str">
        <f>IFERROR(__xludf.DUMMYFUNCTION("""COMPUTED_VALUE"""),"รพ.เวียงแหง")</f>
        <v>รพ.เวียงแหง</v>
      </c>
      <c r="D172" s="36" t="str">
        <f>IFERROR(__xludf.DUMMYFUNCTION("""COMPUTED_VALUE"""),"รพ.เวียงแหง")</f>
        <v>รพ.เวียงแหง</v>
      </c>
      <c r="E172" s="36">
        <f>IFERROR(__xludf.DUMMYFUNCTION("""COMPUTED_VALUE"""),25.0)</f>
        <v>25</v>
      </c>
      <c r="F172" s="36">
        <f>IFERROR(__xludf.DUMMYFUNCTION("""COMPUTED_VALUE"""),25.0)</f>
        <v>25</v>
      </c>
      <c r="G172" s="36">
        <f>IFERROR(__xludf.DUMMYFUNCTION("""COMPUTED_VALUE"""),266.0)</f>
        <v>266</v>
      </c>
    </row>
    <row r="173">
      <c r="A173" s="36" t="str">
        <f>IFERROR(__xludf.DUMMYFUNCTION("""COMPUTED_VALUE"""),"กลุ่มงานการพยาบาลด้านการควบคุมและป้องกันการติดเชื้อ")</f>
        <v>กลุ่มงานการพยาบาลด้านการควบคุมและป้องกันการติดเชื้อ</v>
      </c>
      <c r="B173" s="36" t="str">
        <f>IFERROR(__xludf.DUMMYFUNCTION("""COMPUTED_VALUE"""),"ภารกิจด้านการพยาบาล")</f>
        <v>ภารกิจด้านการพยาบาล</v>
      </c>
      <c r="C173" s="36" t="str">
        <f>IFERROR(__xludf.DUMMYFUNCTION("""COMPUTED_VALUE"""),"กลุ่มงานการพยาบาลด้านการควบคุมและป้องกันการติดเชื้อ")</f>
        <v>กลุ่มงานการพยาบาลด้านการควบคุมและป้องกันการติดเชื้อ</v>
      </c>
      <c r="D173" s="36" t="str">
        <f>IFERROR(__xludf.DUMMYFUNCTION("""COMPUTED_VALUE"""),"กลุ่มงานการพยาบาลด้านการควบคุมและป้องกันการติดเชื้อ")</f>
        <v>กลุ่มงานการพยาบาลด้านการควบคุมและป้องกันการติดเชื้อ</v>
      </c>
      <c r="E173" s="36">
        <f>IFERROR(__xludf.DUMMYFUNCTION("""COMPUTED_VALUE"""),5.0)</f>
        <v>5</v>
      </c>
      <c r="F173" s="36">
        <f>IFERROR(__xludf.DUMMYFUNCTION("""COMPUTED_VALUE"""),5.0)</f>
        <v>5</v>
      </c>
      <c r="G173" s="36">
        <f>IFERROR(__xludf.DUMMYFUNCTION("""COMPUTED_VALUE"""),266.0)</f>
        <v>266</v>
      </c>
    </row>
    <row r="174">
      <c r="A174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174" s="36" t="str">
        <f>IFERROR(__xludf.DUMMYFUNCTION("""COMPUTED_VALUE"""),"ภารกิจด้านการพยาบาล")</f>
        <v>ภารกิจด้านการพยาบาล</v>
      </c>
      <c r="C174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D174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E174" s="36">
        <f>IFERROR(__xludf.DUMMYFUNCTION("""COMPUTED_VALUE"""),44.0)</f>
        <v>44</v>
      </c>
      <c r="F174" s="36">
        <f>IFERROR(__xludf.DUMMYFUNCTION("""COMPUTED_VALUE"""),44.0)</f>
        <v>44</v>
      </c>
      <c r="G174" s="36">
        <f>IFERROR(__xludf.DUMMYFUNCTION("""COMPUTED_VALUE"""),266.0)</f>
        <v>266</v>
      </c>
    </row>
    <row r="175">
      <c r="A175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175" s="36" t="str">
        <f>IFERROR(__xludf.DUMMYFUNCTION("""COMPUTED_VALUE"""),"ภารกิจด้านการพยาบาล")</f>
        <v>ภารกิจด้านการพยาบาล</v>
      </c>
      <c r="C175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D175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E175" s="36">
        <f>IFERROR(__xludf.DUMMYFUNCTION("""COMPUTED_VALUE"""),24.0)</f>
        <v>24</v>
      </c>
      <c r="F175" s="36">
        <f>IFERROR(__xludf.DUMMYFUNCTION("""COMPUTED_VALUE"""),24.0)</f>
        <v>24</v>
      </c>
      <c r="G175" s="36">
        <f>IFERROR(__xludf.DUMMYFUNCTION("""COMPUTED_VALUE"""),266.0)</f>
        <v>266</v>
      </c>
    </row>
    <row r="176">
      <c r="A176" s="36" t="str">
        <f>IFERROR(__xludf.DUMMYFUNCTION("""COMPUTED_VALUE"""),"กลุ่มงานการพยาบาลผู้คลอด")</f>
        <v>กลุ่มงานการพยาบาลผู้คลอด</v>
      </c>
      <c r="B176" s="36" t="str">
        <f>IFERROR(__xludf.DUMMYFUNCTION("""COMPUTED_VALUE"""),"ภารกิจด้านการพยาบาล")</f>
        <v>ภารกิจด้านการพยาบาล</v>
      </c>
      <c r="C176" s="36" t="str">
        <f>IFERROR(__xludf.DUMMYFUNCTION("""COMPUTED_VALUE"""),"กลุ่มงานการพยาบาลผู้คลอด")</f>
        <v>กลุ่มงานการพยาบาลผู้คลอด</v>
      </c>
      <c r="D176" s="36" t="str">
        <f>IFERROR(__xludf.DUMMYFUNCTION("""COMPUTED_VALUE"""),"กลุ่มงานการพยาบาลผู้คลอด")</f>
        <v>กลุ่มงานการพยาบาลผู้คลอด</v>
      </c>
      <c r="E176" s="36">
        <f>IFERROR(__xludf.DUMMYFUNCTION("""COMPUTED_VALUE"""),9.0)</f>
        <v>9</v>
      </c>
      <c r="F176" s="36">
        <f>IFERROR(__xludf.DUMMYFUNCTION("""COMPUTED_VALUE"""),9.0)</f>
        <v>9</v>
      </c>
      <c r="G176" s="36">
        <f>IFERROR(__xludf.DUMMYFUNCTION("""COMPUTED_VALUE"""),266.0)</f>
        <v>266</v>
      </c>
    </row>
    <row r="177">
      <c r="A177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B177" s="36" t="str">
        <f>IFERROR(__xludf.DUMMYFUNCTION("""COMPUTED_VALUE"""),"ภารกิจด้านการพยาบาล")</f>
        <v>ภารกิจด้านการพยาบาล</v>
      </c>
      <c r="C177" s="36" t="str">
        <f>IFERROR(__xludf.DUMMYFUNCTION("""COMPUTED_VALUE"""),"กลุ่มงานการพยาบาลผู้คลอด")</f>
        <v>กลุ่มงานการพยาบาลผู้คลอด</v>
      </c>
      <c r="D177" s="36" t="str">
        <f>IFERROR(__xludf.DUMMYFUNCTION("""COMPUTED_VALUE"""),"กลุ่มงานการพยาบาลผู้คลอด")</f>
        <v>กลุ่มงานการพยาบาลผู้คลอด</v>
      </c>
      <c r="E177" s="36">
        <f>IFERROR(__xludf.DUMMYFUNCTION("""COMPUTED_VALUE"""),25.0)</f>
        <v>25</v>
      </c>
      <c r="F177" s="36">
        <f>IFERROR(__xludf.DUMMYFUNCTION("""COMPUTED_VALUE"""),25.0)</f>
        <v>25</v>
      </c>
      <c r="G177" s="36">
        <f>IFERROR(__xludf.DUMMYFUNCTION("""COMPUTED_VALUE"""),266.0)</f>
        <v>266</v>
      </c>
    </row>
    <row r="178">
      <c r="A178" s="36" t="str">
        <f>IFERROR(__xludf.DUMMYFUNCTION("""COMPUTED_VALUE"""),"กลุ่มงานการพยาบาลผู้ป่วยสูติ-นรีเวช")</f>
        <v>กลุ่มงานการพยาบาลผู้ป่วยสูติ-นรีเวช</v>
      </c>
      <c r="B178" s="36" t="str">
        <f>IFERROR(__xludf.DUMMYFUNCTION("""COMPUTED_VALUE"""),"ภารกิจด้านการพยาบาล")</f>
        <v>ภารกิจด้านการพยาบาล</v>
      </c>
      <c r="C178" s="36" t="str">
        <f>IFERROR(__xludf.DUMMYFUNCTION("""COMPUTED_VALUE"""),"กลุ่มงานการพยาบาลผู้คลอด")</f>
        <v>กลุ่มงานการพยาบาลผู้คลอด</v>
      </c>
      <c r="D178" s="36" t="str">
        <f>IFERROR(__xludf.DUMMYFUNCTION("""COMPUTED_VALUE"""),"กลุ่มงานการพยาบาลผู้คลอด")</f>
        <v>กลุ่มงานการพยาบาลผู้คลอด</v>
      </c>
      <c r="E178" s="36">
        <f>IFERROR(__xludf.DUMMYFUNCTION("""COMPUTED_VALUE"""),9.0)</f>
        <v>9</v>
      </c>
      <c r="F178" s="36">
        <f>IFERROR(__xludf.DUMMYFUNCTION("""COMPUTED_VALUE"""),12.0)</f>
        <v>12</v>
      </c>
      <c r="G178" s="36">
        <f>IFERROR(__xludf.DUMMYFUNCTION("""COMPUTED_VALUE"""),266.0)</f>
        <v>266</v>
      </c>
    </row>
    <row r="179">
      <c r="A179" s="36" t="str">
        <f>IFERROR(__xludf.DUMMYFUNCTION("""COMPUTED_VALUE"""),"ภารกิจด้านการพยาบาล")</f>
        <v>ภารกิจด้านการพยาบาล</v>
      </c>
      <c r="B179" s="36" t="str">
        <f>IFERROR(__xludf.DUMMYFUNCTION("""COMPUTED_VALUE"""),"ภารกิจด้านการพยาบาล")</f>
        <v>ภารกิจด้านการพยาบาล</v>
      </c>
      <c r="C179" s="36" t="str">
        <f>IFERROR(__xludf.DUMMYFUNCTION("""COMPUTED_VALUE"""),"กลุ่มงานการพยาบาลผู้คลอด")</f>
        <v>กลุ่มงานการพยาบาลผู้คลอด</v>
      </c>
      <c r="D179" s="36" t="str">
        <f>IFERROR(__xludf.DUMMYFUNCTION("""COMPUTED_VALUE"""),"กลุ่มงานการพยาบาลผู้คลอด")</f>
        <v>กลุ่มงานการพยาบาลผู้คลอด</v>
      </c>
      <c r="E179" s="36"/>
      <c r="F179" s="36"/>
      <c r="G179" s="36">
        <f>IFERROR(__xludf.DUMMYFUNCTION("""COMPUTED_VALUE"""),266.0)</f>
        <v>266</v>
      </c>
    </row>
    <row r="180">
      <c r="A180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B180" s="36" t="str">
        <f>IFERROR(__xludf.DUMMYFUNCTION("""COMPUTED_VALUE"""),"ภารกิจด้านการพยาบาล")</f>
        <v>ภารกิจด้านการพยาบาล</v>
      </c>
      <c r="C180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80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80" s="36">
        <f>IFERROR(__xludf.DUMMYFUNCTION("""COMPUTED_VALUE"""),10.0)</f>
        <v>10</v>
      </c>
      <c r="F180" s="36">
        <f>IFERROR(__xludf.DUMMYFUNCTION("""COMPUTED_VALUE"""),10.0)</f>
        <v>10</v>
      </c>
      <c r="G180" s="36">
        <f>IFERROR(__xludf.DUMMYFUNCTION("""COMPUTED_VALUE"""),266.0)</f>
        <v>266</v>
      </c>
    </row>
    <row r="181">
      <c r="A181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181" s="36" t="str">
        <f>IFERROR(__xludf.DUMMYFUNCTION("""COMPUTED_VALUE"""),"ภารกิจด้านการพยาบาล")</f>
        <v>ภารกิจด้านการพยาบาล</v>
      </c>
      <c r="C181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81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81" s="36">
        <f>IFERROR(__xludf.DUMMYFUNCTION("""COMPUTED_VALUE"""),44.0)</f>
        <v>44</v>
      </c>
      <c r="F181" s="36">
        <f>IFERROR(__xludf.DUMMYFUNCTION("""COMPUTED_VALUE"""),44.0)</f>
        <v>44</v>
      </c>
      <c r="G181" s="36">
        <f>IFERROR(__xludf.DUMMYFUNCTION("""COMPUTED_VALUE"""),266.0)</f>
        <v>266</v>
      </c>
    </row>
    <row r="182">
      <c r="A182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182" s="36" t="str">
        <f>IFERROR(__xludf.DUMMYFUNCTION("""COMPUTED_VALUE"""),"ภารกิจด้านการพยาบาล")</f>
        <v>ภารกิจด้านการพยาบาล</v>
      </c>
      <c r="C182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82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82" s="36">
        <f>IFERROR(__xludf.DUMMYFUNCTION("""COMPUTED_VALUE"""),32.0)</f>
        <v>32</v>
      </c>
      <c r="F182" s="36">
        <f>IFERROR(__xludf.DUMMYFUNCTION("""COMPUTED_VALUE"""),32.0)</f>
        <v>32</v>
      </c>
      <c r="G182" s="36">
        <f>IFERROR(__xludf.DUMMYFUNCTION("""COMPUTED_VALUE"""),266.0)</f>
        <v>266</v>
      </c>
    </row>
    <row r="183">
      <c r="A183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183" s="36" t="str">
        <f>IFERROR(__xludf.DUMMYFUNCTION("""COMPUTED_VALUE"""),"ภารกิจด้านการพยาบาล")</f>
        <v>ภารกิจด้านการพยาบาล</v>
      </c>
      <c r="C183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83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83" s="36">
        <f>IFERROR(__xludf.DUMMYFUNCTION("""COMPUTED_VALUE"""),14.0)</f>
        <v>14</v>
      </c>
      <c r="F183" s="36">
        <f>IFERROR(__xludf.DUMMYFUNCTION("""COMPUTED_VALUE"""),14.0)</f>
        <v>14</v>
      </c>
      <c r="G183" s="36">
        <f>IFERROR(__xludf.DUMMYFUNCTION("""COMPUTED_VALUE"""),266.0)</f>
        <v>266</v>
      </c>
    </row>
    <row r="184">
      <c r="A184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184" s="36" t="str">
        <f>IFERROR(__xludf.DUMMYFUNCTION("""COMPUTED_VALUE"""),"ภารกิจด้านการพยาบาล")</f>
        <v>ภารกิจด้านการพยาบาล</v>
      </c>
      <c r="C184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D184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E184" s="36">
        <f>IFERROR(__xludf.DUMMYFUNCTION("""COMPUTED_VALUE"""),32.0)</f>
        <v>32</v>
      </c>
      <c r="F184" s="36">
        <f>IFERROR(__xludf.DUMMYFUNCTION("""COMPUTED_VALUE"""),32.0)</f>
        <v>32</v>
      </c>
      <c r="G184" s="36">
        <f>IFERROR(__xludf.DUMMYFUNCTION("""COMPUTED_VALUE"""),266.0)</f>
        <v>266</v>
      </c>
    </row>
    <row r="185">
      <c r="A185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B185" s="36" t="str">
        <f>IFERROR(__xludf.DUMMYFUNCTION("""COMPUTED_VALUE"""),"ภารกิจด้านการพยาบาล")</f>
        <v>ภารกิจด้านการพยาบาล</v>
      </c>
      <c r="C185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185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185" s="36">
        <f>IFERROR(__xludf.DUMMYFUNCTION("""COMPUTED_VALUE"""),10.0)</f>
        <v>10</v>
      </c>
      <c r="F185" s="36">
        <f>IFERROR(__xludf.DUMMYFUNCTION("""COMPUTED_VALUE"""),10.0)</f>
        <v>10</v>
      </c>
      <c r="G185" s="36">
        <f>IFERROR(__xludf.DUMMYFUNCTION("""COMPUTED_VALUE"""),266.0)</f>
        <v>266</v>
      </c>
    </row>
    <row r="186">
      <c r="A186" s="36" t="str">
        <f>IFERROR(__xludf.DUMMYFUNCTION("""COMPUTED_VALUE"""),"กลุ่มงานการพยาบาลชุมชน")</f>
        <v>กลุ่มงานการพยาบาลชุมชน</v>
      </c>
      <c r="B186" s="36" t="str">
        <f>IFERROR(__xludf.DUMMYFUNCTION("""COMPUTED_VALUE"""),"ภารกิจด้านบริการปฐมภูมิ")</f>
        <v>ภารกิจด้านบริการปฐมภูมิ</v>
      </c>
      <c r="C186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86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86" s="36">
        <f>IFERROR(__xludf.DUMMYFUNCTION("""COMPUTED_VALUE"""),5.0)</f>
        <v>5</v>
      </c>
      <c r="F186" s="36">
        <f>IFERROR(__xludf.DUMMYFUNCTION("""COMPUTED_VALUE"""),5.0)</f>
        <v>5</v>
      </c>
      <c r="G186" s="36">
        <f>IFERROR(__xludf.DUMMYFUNCTION("""COMPUTED_VALUE"""),66.0)</f>
        <v>66</v>
      </c>
    </row>
    <row r="187">
      <c r="A187" s="36" t="str">
        <f>IFERROR(__xludf.DUMMYFUNCTION("""COMPUTED_VALUE"""),"กลุ่มงานอาชีวเวชกรรม")</f>
        <v>กลุ่มงานอาชีวเวชกรรม</v>
      </c>
      <c r="B187" s="36" t="str">
        <f>IFERROR(__xludf.DUMMYFUNCTION("""COMPUTED_VALUE"""),"ภารกิจด้านบริการปฐมภูมิ")</f>
        <v>ภารกิจด้านบริการปฐมภูมิ</v>
      </c>
      <c r="C187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187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187" s="36">
        <f>IFERROR(__xludf.DUMMYFUNCTION("""COMPUTED_VALUE"""),5.0)</f>
        <v>5</v>
      </c>
      <c r="F187" s="36">
        <f>IFERROR(__xludf.DUMMYFUNCTION("""COMPUTED_VALUE"""),17.0)</f>
        <v>17</v>
      </c>
      <c r="G187" s="36">
        <f>IFERROR(__xludf.DUMMYFUNCTION("""COMPUTED_VALUE"""),66.0)</f>
        <v>66</v>
      </c>
    </row>
    <row r="188">
      <c r="A188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B188" s="36" t="str">
        <f>IFERROR(__xludf.DUMMYFUNCTION("""COMPUTED_VALUE"""),"ภารกิจด้านการพยาบาล")</f>
        <v>ภารกิจด้านการพยาบาล</v>
      </c>
      <c r="C188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88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88" s="36">
        <f>IFERROR(__xludf.DUMMYFUNCTION("""COMPUTED_VALUE"""),20.0)</f>
        <v>20</v>
      </c>
      <c r="F188" s="36">
        <f>IFERROR(__xludf.DUMMYFUNCTION("""COMPUTED_VALUE"""),20.0)</f>
        <v>20</v>
      </c>
      <c r="G188" s="36">
        <f>IFERROR(__xludf.DUMMYFUNCTION("""COMPUTED_VALUE"""),266.0)</f>
        <v>266</v>
      </c>
    </row>
    <row r="189">
      <c r="A189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189" s="36" t="str">
        <f>IFERROR(__xludf.DUMMYFUNCTION("""COMPUTED_VALUE"""),"ภารกิจด้านการพยาบาล")</f>
        <v>ภารกิจด้านการพยาบาล</v>
      </c>
      <c r="C189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89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89" s="36">
        <f>IFERROR(__xludf.DUMMYFUNCTION("""COMPUTED_VALUE"""),32.0)</f>
        <v>32</v>
      </c>
      <c r="F189" s="36">
        <f>IFERROR(__xludf.DUMMYFUNCTION("""COMPUTED_VALUE"""),32.0)</f>
        <v>32</v>
      </c>
      <c r="G189" s="36">
        <f>IFERROR(__xludf.DUMMYFUNCTION("""COMPUTED_VALUE"""),266.0)</f>
        <v>266</v>
      </c>
    </row>
    <row r="190">
      <c r="A190" s="36" t="str">
        <f>IFERROR(__xludf.DUMMYFUNCTION("""COMPUTED_VALUE"""),"กลุ่มงานการพยาบาลวิสัญญี")</f>
        <v>กลุ่มงานการพยาบาลวิสัญญี</v>
      </c>
      <c r="B190" s="36" t="str">
        <f>IFERROR(__xludf.DUMMYFUNCTION("""COMPUTED_VALUE"""),"ภารกิจด้านการพยาบาล")</f>
        <v>ภารกิจด้านการพยาบาล</v>
      </c>
      <c r="C190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90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90" s="36">
        <f>IFERROR(__xludf.DUMMYFUNCTION("""COMPUTED_VALUE"""),18.0)</f>
        <v>18</v>
      </c>
      <c r="F190" s="36">
        <f>IFERROR(__xludf.DUMMYFUNCTION("""COMPUTED_VALUE"""),18.0)</f>
        <v>18</v>
      </c>
      <c r="G190" s="36">
        <f>IFERROR(__xludf.DUMMYFUNCTION("""COMPUTED_VALUE"""),266.0)</f>
        <v>266</v>
      </c>
    </row>
    <row r="191">
      <c r="A191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191" s="36" t="str">
        <f>IFERROR(__xludf.DUMMYFUNCTION("""COMPUTED_VALUE"""),"ภารกิจด้านการพยาบาล")</f>
        <v>ภารกิจด้านการพยาบาล</v>
      </c>
      <c r="C191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91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91" s="36">
        <f>IFERROR(__xludf.DUMMYFUNCTION("""COMPUTED_VALUE"""),14.0)</f>
        <v>14</v>
      </c>
      <c r="F191" s="36">
        <f>IFERROR(__xludf.DUMMYFUNCTION("""COMPUTED_VALUE"""),14.0)</f>
        <v>14</v>
      </c>
      <c r="G191" s="36">
        <f>IFERROR(__xludf.DUMMYFUNCTION("""COMPUTED_VALUE"""),266.0)</f>
        <v>266</v>
      </c>
    </row>
    <row r="192">
      <c r="A192" s="36" t="str">
        <f>IFERROR(__xludf.DUMMYFUNCTION("""COMPUTED_VALUE"""),"กลุ่มงานเวชกรรมสังคม")</f>
        <v>กลุ่มงานเวชกรรมสังคม</v>
      </c>
      <c r="B192" s="36" t="str">
        <f>IFERROR(__xludf.DUMMYFUNCTION("""COMPUTED_VALUE"""),"ภารกิจด้านบริการปฐมภูมิ")</f>
        <v>ภารกิจด้านบริการปฐมภูมิ</v>
      </c>
      <c r="C192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92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92" s="36">
        <f>IFERROR(__xludf.DUMMYFUNCTION("""COMPUTED_VALUE"""),25.0)</f>
        <v>25</v>
      </c>
      <c r="F192" s="36">
        <f>IFERROR(__xludf.DUMMYFUNCTION("""COMPUTED_VALUE"""),25.0)</f>
        <v>25</v>
      </c>
      <c r="G192" s="36">
        <f>IFERROR(__xludf.DUMMYFUNCTION("""COMPUTED_VALUE"""),66.0)</f>
        <v>66</v>
      </c>
    </row>
    <row r="193">
      <c r="A193" s="36" t="str">
        <f>IFERROR(__xludf.DUMMYFUNCTION("""COMPUTED_VALUE"""),"รพ.แม่อาย")</f>
        <v>รพ.แม่อาย</v>
      </c>
      <c r="B193" s="36" t="str">
        <f>IFERROR(__xludf.DUMMYFUNCTION("""COMPUTED_VALUE"""),"รพ.แม่อาย")</f>
        <v>รพ.แม่อาย</v>
      </c>
      <c r="C193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93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93" s="36">
        <f>IFERROR(__xludf.DUMMYFUNCTION("""COMPUTED_VALUE"""),25.0)</f>
        <v>25</v>
      </c>
      <c r="F193" s="36">
        <f>IFERROR(__xludf.DUMMYFUNCTION("""COMPUTED_VALUE"""),25.0)</f>
        <v>25</v>
      </c>
      <c r="G193" s="36">
        <f>IFERROR(__xludf.DUMMYFUNCTION("""COMPUTED_VALUE"""),266.0)</f>
        <v>266</v>
      </c>
    </row>
    <row r="194">
      <c r="A194" s="36" t="str">
        <f>IFERROR(__xludf.DUMMYFUNCTION("""COMPUTED_VALUE"""),"รพสต.บ้านสันต้นกอก ต.ดอนแก้ว สารภี")</f>
        <v>รพสต.บ้านสันต้นกอก ต.ดอนแก้ว สารภี</v>
      </c>
      <c r="B194" s="36" t="str">
        <f>IFERROR(__xludf.DUMMYFUNCTION("""COMPUTED_VALUE"""),"รพสต.บ้านสันต้นกอก ต.ดอนแก้ว สารภี")</f>
        <v>รพสต.บ้านสันต้นกอก ต.ดอนแก้ว สารภี</v>
      </c>
      <c r="C194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D194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E194" s="36">
        <f>IFERROR(__xludf.DUMMYFUNCTION("""COMPUTED_VALUE"""),25.0)</f>
        <v>25</v>
      </c>
      <c r="F194" s="36">
        <f>IFERROR(__xludf.DUMMYFUNCTION("""COMPUTED_VALUE"""),25.0)</f>
        <v>25</v>
      </c>
      <c r="G194" s="36">
        <f>IFERROR(__xludf.DUMMYFUNCTION("""COMPUTED_VALUE"""),266.0)</f>
        <v>266</v>
      </c>
    </row>
    <row r="195">
      <c r="A195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195" s="36" t="str">
        <f>IFERROR(__xludf.DUMMYFUNCTION("""COMPUTED_VALUE"""),"ภารกิจด้านการพยาบาล")</f>
        <v>ภารกิจด้านการพยาบาล</v>
      </c>
      <c r="C195" s="36" t="str">
        <f>IFERROR(__xludf.DUMMYFUNCTION("""COMPUTED_VALUE"""),"กลุ่มงานการพยาบาลผู้ป่วยใน")</f>
        <v>กลุ่มงานการพยาบาลผู้ป่วยใน</v>
      </c>
      <c r="D195" s="36" t="str">
        <f>IFERROR(__xludf.DUMMYFUNCTION("""COMPUTED_VALUE"""),"กลุ่มงานการพยาบาลผู้ป่วยใน")</f>
        <v>กลุ่มงานการพยาบาลผู้ป่วยใน</v>
      </c>
      <c r="E195" s="36">
        <f>IFERROR(__xludf.DUMMYFUNCTION("""COMPUTED_VALUE"""),44.0)</f>
        <v>44</v>
      </c>
      <c r="F195" s="36">
        <f>IFERROR(__xludf.DUMMYFUNCTION("""COMPUTED_VALUE"""),44.0)</f>
        <v>44</v>
      </c>
      <c r="G195" s="36">
        <f>IFERROR(__xludf.DUMMYFUNCTION("""COMPUTED_VALUE"""),266.0)</f>
        <v>266</v>
      </c>
    </row>
    <row r="196">
      <c r="A196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196" s="36" t="str">
        <f>IFERROR(__xludf.DUMMYFUNCTION("""COMPUTED_VALUE"""),"ภารกิจด้านการพยาบาล")</f>
        <v>ภารกิจด้านการพยาบาล</v>
      </c>
      <c r="C196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196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196" s="36">
        <f>IFERROR(__xludf.DUMMYFUNCTION("""COMPUTED_VALUE"""),14.0)</f>
        <v>14</v>
      </c>
      <c r="F196" s="36">
        <f>IFERROR(__xludf.DUMMYFUNCTION("""COMPUTED_VALUE"""),14.0)</f>
        <v>14</v>
      </c>
      <c r="G196" s="36">
        <f>IFERROR(__xludf.DUMMYFUNCTION("""COMPUTED_VALUE"""),266.0)</f>
        <v>266</v>
      </c>
    </row>
    <row r="197">
      <c r="A197" s="36" t="str">
        <f>IFERROR(__xludf.DUMMYFUNCTION("""COMPUTED_VALUE"""),"กลุ่มงานการพยาบาลวิสัญญี")</f>
        <v>กลุ่มงานการพยาบาลวิสัญญี</v>
      </c>
      <c r="B197" s="36" t="str">
        <f>IFERROR(__xludf.DUMMYFUNCTION("""COMPUTED_VALUE"""),"ภารกิจด้านการพยาบาล")</f>
        <v>ภารกิจด้านการพยาบาล</v>
      </c>
      <c r="C197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197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197" s="36">
        <f>IFERROR(__xludf.DUMMYFUNCTION("""COMPUTED_VALUE"""),18.0)</f>
        <v>18</v>
      </c>
      <c r="F197" s="36">
        <f>IFERROR(__xludf.DUMMYFUNCTION("""COMPUTED_VALUE"""),18.0)</f>
        <v>18</v>
      </c>
      <c r="G197" s="36">
        <f>IFERROR(__xludf.DUMMYFUNCTION("""COMPUTED_VALUE"""),266.0)</f>
        <v>266</v>
      </c>
    </row>
    <row r="198">
      <c r="A198" s="36" t="str">
        <f>IFERROR(__xludf.DUMMYFUNCTION("""COMPUTED_VALUE"""),"กลุ่มงานอาชีวเวชกรรม")</f>
        <v>กลุ่มงานอาชีวเวชกรรม</v>
      </c>
      <c r="B198" s="36" t="str">
        <f>IFERROR(__xludf.DUMMYFUNCTION("""COMPUTED_VALUE"""),"ภารกิจด้านบริการปฐมภูมิ")</f>
        <v>ภารกิจด้านบริการปฐมภูมิ</v>
      </c>
      <c r="C198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198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198" s="36">
        <f>IFERROR(__xludf.DUMMYFUNCTION("""COMPUTED_VALUE"""),5.0)</f>
        <v>5</v>
      </c>
      <c r="F198" s="36">
        <f>IFERROR(__xludf.DUMMYFUNCTION("""COMPUTED_VALUE"""),17.0)</f>
        <v>17</v>
      </c>
      <c r="G198" s="36">
        <f>IFERROR(__xludf.DUMMYFUNCTION("""COMPUTED_VALUE"""),66.0)</f>
        <v>66</v>
      </c>
    </row>
    <row r="199">
      <c r="A199" s="36" t="str">
        <f>IFERROR(__xludf.DUMMYFUNCTION("""COMPUTED_VALUE"""),"กลุ่มงานการพยาบาลผู้คลอด")</f>
        <v>กลุ่มงานการพยาบาลผู้คลอด</v>
      </c>
      <c r="B199" s="36" t="str">
        <f>IFERROR(__xludf.DUMMYFUNCTION("""COMPUTED_VALUE"""),"ภารกิจด้านการพยาบาล")</f>
        <v>ภารกิจด้านการพยาบาล</v>
      </c>
      <c r="C199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D199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E199" s="36">
        <f>IFERROR(__xludf.DUMMYFUNCTION("""COMPUTED_VALUE"""),9.0)</f>
        <v>9</v>
      </c>
      <c r="F199" s="36">
        <f>IFERROR(__xludf.DUMMYFUNCTION("""COMPUTED_VALUE"""),9.0)</f>
        <v>9</v>
      </c>
      <c r="G199" s="36">
        <f>IFERROR(__xludf.DUMMYFUNCTION("""COMPUTED_VALUE"""),266.0)</f>
        <v>266</v>
      </c>
    </row>
    <row r="200">
      <c r="A200" s="36" t="str">
        <f>IFERROR(__xludf.DUMMYFUNCTION("""COMPUTED_VALUE"""),"กลุ่มงานการพยาบาลผู้ป่วยสูติ-นรีเวช")</f>
        <v>กลุ่มงานการพยาบาลผู้ป่วยสูติ-นรีเวช</v>
      </c>
      <c r="B200" s="36" t="str">
        <f>IFERROR(__xludf.DUMMYFUNCTION("""COMPUTED_VALUE"""),"ภารกิจด้านการพยาบาล")</f>
        <v>ภารกิจด้านการพยาบาล</v>
      </c>
      <c r="C200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D200" s="36" t="str">
        <f>IFERROR(__xludf.DUMMYFUNCTION("""COMPUTED_VALUE"""),"กลุ่มงานการพยาบาลผู้ป่วยสูติ - นรีเวช")</f>
        <v>กลุ่มงานการพยาบาลผู้ป่วยสูติ - นรีเวช</v>
      </c>
      <c r="E200" s="36">
        <f>IFERROR(__xludf.DUMMYFUNCTION("""COMPUTED_VALUE"""),9.0)</f>
        <v>9</v>
      </c>
      <c r="F200" s="36">
        <f>IFERROR(__xludf.DUMMYFUNCTION("""COMPUTED_VALUE"""),12.0)</f>
        <v>12</v>
      </c>
      <c r="G200" s="36">
        <f>IFERROR(__xludf.DUMMYFUNCTION("""COMPUTED_VALUE"""),266.0)</f>
        <v>266</v>
      </c>
    </row>
    <row r="201">
      <c r="A201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201" s="36" t="str">
        <f>IFERROR(__xludf.DUMMYFUNCTION("""COMPUTED_VALUE"""),"ภารกิจด้านการพยาบาล")</f>
        <v>ภารกิจด้านการพยาบาล</v>
      </c>
      <c r="C201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D201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E201" s="36">
        <f>IFERROR(__xludf.DUMMYFUNCTION("""COMPUTED_VALUE"""),44.0)</f>
        <v>44</v>
      </c>
      <c r="F201" s="36">
        <f>IFERROR(__xludf.DUMMYFUNCTION("""COMPUTED_VALUE"""),44.0)</f>
        <v>44</v>
      </c>
      <c r="G201" s="36">
        <f>IFERROR(__xludf.DUMMYFUNCTION("""COMPUTED_VALUE"""),266.0)</f>
        <v>266</v>
      </c>
    </row>
    <row r="202">
      <c r="A202" s="36" t="str">
        <f>IFERROR(__xludf.DUMMYFUNCTION("""COMPUTED_VALUE"""),"กลุ่มงานการพยาบาลวิสัญญี")</f>
        <v>กลุ่มงานการพยาบาลวิสัญญี</v>
      </c>
      <c r="B202" s="36" t="str">
        <f>IFERROR(__xludf.DUMMYFUNCTION("""COMPUTED_VALUE"""),"ภารกิจด้านการพยาบาล")</f>
        <v>ภารกิจด้านการพยาบาล</v>
      </c>
      <c r="C202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D202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E202" s="36">
        <f>IFERROR(__xludf.DUMMYFUNCTION("""COMPUTED_VALUE"""),18.0)</f>
        <v>18</v>
      </c>
      <c r="F202" s="36">
        <f>IFERROR(__xludf.DUMMYFUNCTION("""COMPUTED_VALUE"""),18.0)</f>
        <v>18</v>
      </c>
      <c r="G202" s="36">
        <f>IFERROR(__xludf.DUMMYFUNCTION("""COMPUTED_VALUE"""),266.0)</f>
        <v>266</v>
      </c>
    </row>
    <row r="203">
      <c r="A203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B203" s="36" t="str">
        <f>IFERROR(__xludf.DUMMYFUNCTION("""COMPUTED_VALUE"""),"ภารกิจด้านการพยาบาล")</f>
        <v>ภารกิจด้านการพยาบาล</v>
      </c>
      <c r="C203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D203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E203" s="36">
        <f>IFERROR(__xludf.DUMMYFUNCTION("""COMPUTED_VALUE"""),6.0)</f>
        <v>6</v>
      </c>
      <c r="F203" s="36">
        <f>IFERROR(__xludf.DUMMYFUNCTION("""COMPUTED_VALUE"""),6.0)</f>
        <v>6</v>
      </c>
      <c r="G203" s="36">
        <f>IFERROR(__xludf.DUMMYFUNCTION("""COMPUTED_VALUE"""),266.0)</f>
        <v>266</v>
      </c>
    </row>
    <row r="204">
      <c r="A204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204" s="36" t="str">
        <f>IFERROR(__xludf.DUMMYFUNCTION("""COMPUTED_VALUE"""),"ภารกิจด้านการพยาบาล")</f>
        <v>ภารกิจด้านการพยาบาล</v>
      </c>
      <c r="C204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204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204" s="36">
        <f>IFERROR(__xludf.DUMMYFUNCTION("""COMPUTED_VALUE"""),32.0)</f>
        <v>32</v>
      </c>
      <c r="F204" s="36">
        <f>IFERROR(__xludf.DUMMYFUNCTION("""COMPUTED_VALUE"""),32.0)</f>
        <v>32</v>
      </c>
      <c r="G204" s="36">
        <f>IFERROR(__xludf.DUMMYFUNCTION("""COMPUTED_VALUE"""),266.0)</f>
        <v>266</v>
      </c>
    </row>
    <row r="205">
      <c r="A205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B205" s="36" t="str">
        <f>IFERROR(__xludf.DUMMYFUNCTION("""COMPUTED_VALUE"""),"ภารกิจด้านการพยาบาล")</f>
        <v>ภารกิจด้านการพยาบาล</v>
      </c>
      <c r="C205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205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205" s="36">
        <f>IFERROR(__xludf.DUMMYFUNCTION("""COMPUTED_VALUE"""),20.0)</f>
        <v>20</v>
      </c>
      <c r="F205" s="36">
        <f>IFERROR(__xludf.DUMMYFUNCTION("""COMPUTED_VALUE"""),20.0)</f>
        <v>20</v>
      </c>
      <c r="G205" s="36">
        <f>IFERROR(__xludf.DUMMYFUNCTION("""COMPUTED_VALUE"""),266.0)</f>
        <v>266</v>
      </c>
    </row>
    <row r="206">
      <c r="A206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206" s="36" t="str">
        <f>IFERROR(__xludf.DUMMYFUNCTION("""COMPUTED_VALUE"""),"ภารกิจด้านการพยาบาล")</f>
        <v>ภารกิจด้านการพยาบาล</v>
      </c>
      <c r="C206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206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206" s="36">
        <f>IFERROR(__xludf.DUMMYFUNCTION("""COMPUTED_VALUE"""),44.0)</f>
        <v>44</v>
      </c>
      <c r="F206" s="36">
        <f>IFERROR(__xludf.DUMMYFUNCTION("""COMPUTED_VALUE"""),44.0)</f>
        <v>44</v>
      </c>
      <c r="G206" s="36">
        <f>IFERROR(__xludf.DUMMYFUNCTION("""COMPUTED_VALUE"""),266.0)</f>
        <v>266</v>
      </c>
    </row>
    <row r="207">
      <c r="A207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B207" s="36" t="str">
        <f>IFERROR(__xludf.DUMMYFUNCTION("""COMPUTED_VALUE"""),"ภารกิจด้านการพยาบาล")</f>
        <v>ภารกิจด้านการพยาบาล</v>
      </c>
      <c r="C207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D207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E207" s="36">
        <f>IFERROR(__xludf.DUMMYFUNCTION("""COMPUTED_VALUE"""),6.0)</f>
        <v>6</v>
      </c>
      <c r="F207" s="36">
        <f>IFERROR(__xludf.DUMMYFUNCTION("""COMPUTED_VALUE"""),6.0)</f>
        <v>6</v>
      </c>
      <c r="G207" s="36">
        <f>IFERROR(__xludf.DUMMYFUNCTION("""COMPUTED_VALUE"""),266.0)</f>
        <v>266</v>
      </c>
    </row>
    <row r="208">
      <c r="A208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208" s="36" t="str">
        <f>IFERROR(__xludf.DUMMYFUNCTION("""COMPUTED_VALUE"""),"ภารกิจด้านการพยาบาล")</f>
        <v>ภารกิจด้านการพยาบาล</v>
      </c>
      <c r="C208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D208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E208" s="36">
        <f>IFERROR(__xludf.DUMMYFUNCTION("""COMPUTED_VALUE"""),44.0)</f>
        <v>44</v>
      </c>
      <c r="F208" s="36">
        <f>IFERROR(__xludf.DUMMYFUNCTION("""COMPUTED_VALUE"""),44.0)</f>
        <v>44</v>
      </c>
      <c r="G208" s="36">
        <f>IFERROR(__xludf.DUMMYFUNCTION("""COMPUTED_VALUE"""),266.0)</f>
        <v>266</v>
      </c>
    </row>
    <row r="209">
      <c r="A209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B209" s="36" t="str">
        <f>IFERROR(__xludf.DUMMYFUNCTION("""COMPUTED_VALUE"""),"ภารกิจด้านการพยาบาล")</f>
        <v>ภารกิจด้านการพยาบาล</v>
      </c>
      <c r="C209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209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209" s="36">
        <f>IFERROR(__xludf.DUMMYFUNCTION("""COMPUTED_VALUE"""),25.0)</f>
        <v>25</v>
      </c>
      <c r="F209" s="36">
        <f>IFERROR(__xludf.DUMMYFUNCTION("""COMPUTED_VALUE"""),25.0)</f>
        <v>25</v>
      </c>
      <c r="G209" s="36">
        <f>IFERROR(__xludf.DUMMYFUNCTION("""COMPUTED_VALUE"""),266.0)</f>
        <v>266</v>
      </c>
    </row>
    <row r="210">
      <c r="A210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210" s="36" t="str">
        <f>IFERROR(__xludf.DUMMYFUNCTION("""COMPUTED_VALUE"""),"ภารกิจด้านการพยาบาล")</f>
        <v>ภารกิจด้านการพยาบาล</v>
      </c>
      <c r="C210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210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210" s="36">
        <f>IFERROR(__xludf.DUMMYFUNCTION("""COMPUTED_VALUE"""),14.0)</f>
        <v>14</v>
      </c>
      <c r="F210" s="36">
        <f>IFERROR(__xludf.DUMMYFUNCTION("""COMPUTED_VALUE"""),14.0)</f>
        <v>14</v>
      </c>
      <c r="G210" s="36">
        <f>IFERROR(__xludf.DUMMYFUNCTION("""COMPUTED_VALUE"""),266.0)</f>
        <v>266</v>
      </c>
    </row>
    <row r="211">
      <c r="A211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211" s="36" t="str">
        <f>IFERROR(__xludf.DUMMYFUNCTION("""COMPUTED_VALUE"""),"ภารกิจด้านการพยาบาล")</f>
        <v>ภารกิจด้านการพยาบาล</v>
      </c>
      <c r="C211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211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E211" s="36">
        <f>IFERROR(__xludf.DUMMYFUNCTION("""COMPUTED_VALUE"""),44.0)</f>
        <v>44</v>
      </c>
      <c r="F211" s="36">
        <f>IFERROR(__xludf.DUMMYFUNCTION("""COMPUTED_VALUE"""),44.0)</f>
        <v>44</v>
      </c>
      <c r="G211" s="36">
        <f>IFERROR(__xludf.DUMMYFUNCTION("""COMPUTED_VALUE"""),266.0)</f>
        <v>266</v>
      </c>
    </row>
    <row r="212">
      <c r="A212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B212" s="36" t="str">
        <f>IFERROR(__xludf.DUMMYFUNCTION("""COMPUTED_VALUE"""),"ภารกิจด้านการพยาบาล")</f>
        <v>ภารกิจด้านการพยาบาล</v>
      </c>
      <c r="C212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212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E212" s="36">
        <f>IFERROR(__xludf.DUMMYFUNCTION("""COMPUTED_VALUE"""),6.0)</f>
        <v>6</v>
      </c>
      <c r="F212" s="36">
        <f>IFERROR(__xludf.DUMMYFUNCTION("""COMPUTED_VALUE"""),6.0)</f>
        <v>6</v>
      </c>
      <c r="G212" s="36">
        <f>IFERROR(__xludf.DUMMYFUNCTION("""COMPUTED_VALUE"""),266.0)</f>
        <v>266</v>
      </c>
    </row>
    <row r="213">
      <c r="A213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213" s="36" t="str">
        <f>IFERROR(__xludf.DUMMYFUNCTION("""COMPUTED_VALUE"""),"ภารกิจด้านการพยาบาล")</f>
        <v>ภารกิจด้านการพยาบาล</v>
      </c>
      <c r="C213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213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E213" s="36">
        <f>IFERROR(__xludf.DUMMYFUNCTION("""COMPUTED_VALUE"""),32.0)</f>
        <v>32</v>
      </c>
      <c r="F213" s="36">
        <f>IFERROR(__xludf.DUMMYFUNCTION("""COMPUTED_VALUE"""),32.0)</f>
        <v>32</v>
      </c>
      <c r="G213" s="36">
        <f>IFERROR(__xludf.DUMMYFUNCTION("""COMPUTED_VALUE"""),266.0)</f>
        <v>266</v>
      </c>
    </row>
    <row r="214">
      <c r="A214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214" s="36" t="str">
        <f>IFERROR(__xludf.DUMMYFUNCTION("""COMPUTED_VALUE"""),"ภารกิจด้านการพยาบาล")</f>
        <v>ภารกิจด้านการพยาบาล</v>
      </c>
      <c r="C214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214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E214" s="36">
        <f>IFERROR(__xludf.DUMMYFUNCTION("""COMPUTED_VALUE"""),14.0)</f>
        <v>14</v>
      </c>
      <c r="F214" s="36">
        <f>IFERROR(__xludf.DUMMYFUNCTION("""COMPUTED_VALUE"""),14.0)</f>
        <v>14</v>
      </c>
      <c r="G214" s="36">
        <f>IFERROR(__xludf.DUMMYFUNCTION("""COMPUTED_VALUE"""),266.0)</f>
        <v>266</v>
      </c>
    </row>
    <row r="215">
      <c r="A215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215" s="36" t="str">
        <f>IFERROR(__xludf.DUMMYFUNCTION("""COMPUTED_VALUE"""),"ภารกิจด้านการพยาบาล")</f>
        <v>ภารกิจด้านการพยาบาล</v>
      </c>
      <c r="C215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215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E215" s="36">
        <f>IFERROR(__xludf.DUMMYFUNCTION("""COMPUTED_VALUE"""),14.0)</f>
        <v>14</v>
      </c>
      <c r="F215" s="36">
        <f>IFERROR(__xludf.DUMMYFUNCTION("""COMPUTED_VALUE"""),14.0)</f>
        <v>14</v>
      </c>
      <c r="G215" s="36">
        <f>IFERROR(__xludf.DUMMYFUNCTION("""COMPUTED_VALUE"""),266.0)</f>
        <v>266</v>
      </c>
    </row>
    <row r="216">
      <c r="A216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B216" s="36" t="str">
        <f>IFERROR(__xludf.DUMMYFUNCTION("""COMPUTED_VALUE"""),"ภารกิจด้านการพยาบาล")</f>
        <v>ภารกิจด้านการพยาบาล</v>
      </c>
      <c r="C216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216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216" s="36">
        <f>IFERROR(__xludf.DUMMYFUNCTION("""COMPUTED_VALUE"""),20.0)</f>
        <v>20</v>
      </c>
      <c r="F216" s="36">
        <f>IFERROR(__xludf.DUMMYFUNCTION("""COMPUTED_VALUE"""),20.0)</f>
        <v>20</v>
      </c>
      <c r="G216" s="36">
        <f>IFERROR(__xludf.DUMMYFUNCTION("""COMPUTED_VALUE"""),266.0)</f>
        <v>266</v>
      </c>
    </row>
    <row r="217">
      <c r="A217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B217" s="36" t="str">
        <f>IFERROR(__xludf.DUMMYFUNCTION("""COMPUTED_VALUE"""),"ภารกิจด้านการพยาบาล")</f>
        <v>ภารกิจด้านการพยาบาล</v>
      </c>
      <c r="C217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217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217" s="36">
        <f>IFERROR(__xludf.DUMMYFUNCTION("""COMPUTED_VALUE"""),32.0)</f>
        <v>32</v>
      </c>
      <c r="F217" s="36">
        <f>IFERROR(__xludf.DUMMYFUNCTION("""COMPUTED_VALUE"""),32.0)</f>
        <v>32</v>
      </c>
      <c r="G217" s="36">
        <f>IFERROR(__xludf.DUMMYFUNCTION("""COMPUTED_VALUE"""),266.0)</f>
        <v>266</v>
      </c>
    </row>
    <row r="218">
      <c r="A218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B218" s="36" t="str">
        <f>IFERROR(__xludf.DUMMYFUNCTION("""COMPUTED_VALUE"""),"ภารกิจด้านการพยาบาล")</f>
        <v>ภารกิจด้านการพยาบาล</v>
      </c>
      <c r="C218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218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218" s="36">
        <f>IFERROR(__xludf.DUMMYFUNCTION("""COMPUTED_VALUE"""),25.0)</f>
        <v>25</v>
      </c>
      <c r="F218" s="36">
        <f>IFERROR(__xludf.DUMMYFUNCTION("""COMPUTED_VALUE"""),25.0)</f>
        <v>25</v>
      </c>
      <c r="G218" s="36">
        <f>IFERROR(__xludf.DUMMYFUNCTION("""COMPUTED_VALUE"""),266.0)</f>
        <v>266</v>
      </c>
    </row>
    <row r="219">
      <c r="A219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219" s="36" t="str">
        <f>IFERROR(__xludf.DUMMYFUNCTION("""COMPUTED_VALUE"""),"ภารกิจด้านการพยาบาล")</f>
        <v>ภารกิจด้านการพยาบาล</v>
      </c>
      <c r="C219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219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219" s="36">
        <f>IFERROR(__xludf.DUMMYFUNCTION("""COMPUTED_VALUE"""),14.0)</f>
        <v>14</v>
      </c>
      <c r="F219" s="36">
        <f>IFERROR(__xludf.DUMMYFUNCTION("""COMPUTED_VALUE"""),14.0)</f>
        <v>14</v>
      </c>
      <c r="G219" s="36">
        <f>IFERROR(__xludf.DUMMYFUNCTION("""COMPUTED_VALUE"""),266.0)</f>
        <v>266</v>
      </c>
    </row>
    <row r="220">
      <c r="A220" s="36" t="str">
        <f>IFERROR(__xludf.DUMMYFUNCTION("""COMPUTED_VALUE"""),"กลุ่มงานการพยาบาลวิสัญญี")</f>
        <v>กลุ่มงานการพยาบาลวิสัญญี</v>
      </c>
      <c r="B220" s="36" t="str">
        <f>IFERROR(__xludf.DUMMYFUNCTION("""COMPUTED_VALUE"""),"ภารกิจด้านการพยาบาล")</f>
        <v>ภารกิจด้านการพยาบาล</v>
      </c>
      <c r="C220" s="36" t="str">
        <f>IFERROR(__xludf.DUMMYFUNCTION("""COMPUTED_VALUE"""),"กลุ่มงานการพยาบาลวิสัญญี")</f>
        <v>กลุ่มงานการพยาบาลวิสัญญี</v>
      </c>
      <c r="D220" s="36" t="str">
        <f>IFERROR(__xludf.DUMMYFUNCTION("""COMPUTED_VALUE"""),"กลุ่มงานการพยาบาลวิสัญญี")</f>
        <v>กลุ่มงานการพยาบาลวิสัญญี</v>
      </c>
      <c r="E220" s="36">
        <f>IFERROR(__xludf.DUMMYFUNCTION("""COMPUTED_VALUE"""),18.0)</f>
        <v>18</v>
      </c>
      <c r="F220" s="36">
        <f>IFERROR(__xludf.DUMMYFUNCTION("""COMPUTED_VALUE"""),18.0)</f>
        <v>18</v>
      </c>
      <c r="G220" s="36">
        <f>IFERROR(__xludf.DUMMYFUNCTION("""COMPUTED_VALUE"""),266.0)</f>
        <v>266</v>
      </c>
    </row>
    <row r="221">
      <c r="A221" s="36" t="str">
        <f>IFERROR(__xludf.DUMMYFUNCTION("""COMPUTED_VALUE"""),"กลุ่มงานจิตเวชและยาเสพติด")</f>
        <v>กลุ่มงานจิตเวชและยาเสพติด</v>
      </c>
      <c r="B221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221" s="36" t="str">
        <f>IFERROR(__xludf.DUMMYFUNCTION("""COMPUTED_VALUE"""),"กลุ่มงานจิตเวชและยาเสพติด")</f>
        <v>กลุ่มงานจิตเวชและยาเสพติด</v>
      </c>
      <c r="D221" s="36" t="str">
        <f>IFERROR(__xludf.DUMMYFUNCTION("""COMPUTED_VALUE"""),"กลุ่มงานจิตเวชและยาเสพติด")</f>
        <v>กลุ่มงานจิตเวชและยาเสพติด</v>
      </c>
      <c r="E221" s="36">
        <f>IFERROR(__xludf.DUMMYFUNCTION("""COMPUTED_VALUE"""),4.0)</f>
        <v>4</v>
      </c>
      <c r="F221" s="36">
        <f>IFERROR(__xludf.DUMMYFUNCTION("""COMPUTED_VALUE"""),8.0)</f>
        <v>8</v>
      </c>
      <c r="G221" s="36">
        <f>IFERROR(__xludf.DUMMYFUNCTION("""COMPUTED_VALUE"""),199.0)</f>
        <v>199</v>
      </c>
    </row>
    <row r="222">
      <c r="A222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B222" s="36" t="str">
        <f>IFERROR(__xludf.DUMMYFUNCTION("""COMPUTED_VALUE"""),"ภารกิจด้านการพยาบาล")</f>
        <v>ภารกิจด้านการพยาบาล</v>
      </c>
      <c r="C222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222" s="36" t="str">
        <f>IFERROR(__xludf.DUMMYFUNCTION("""COMPUTED_VALUE"""),"กลุ่มงานเวชกรรมสังคม")</f>
        <v>กลุ่มงานเวชกรรมสังคม</v>
      </c>
      <c r="E222" s="36">
        <f>IFERROR(__xludf.DUMMYFUNCTION("""COMPUTED_VALUE"""),6.0)</f>
        <v>6</v>
      </c>
      <c r="F222" s="36">
        <f>IFERROR(__xludf.DUMMYFUNCTION("""COMPUTED_VALUE"""),6.0)</f>
        <v>6</v>
      </c>
      <c r="G222" s="36">
        <f>IFERROR(__xludf.DUMMYFUNCTION("""COMPUTED_VALUE"""),266.0)</f>
        <v>266</v>
      </c>
    </row>
    <row r="223">
      <c r="A223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223" s="36" t="str">
        <f>IFERROR(__xludf.DUMMYFUNCTION("""COMPUTED_VALUE"""),"ภารกิจด้านการพยาบาล")</f>
        <v>ภารกิจด้านการพยาบาล</v>
      </c>
      <c r="C223" s="36" t="str">
        <f>IFERROR(__xludf.DUMMYFUNCTION("""COMPUTED_VALUE"""),"งานส่งเสริมสุขภาพและฟื้นฟู")</f>
        <v>งานส่งเสริมสุขภาพและฟื้นฟู</v>
      </c>
      <c r="D223" s="36" t="str">
        <f>IFERROR(__xludf.DUMMYFUNCTION("""COMPUTED_VALUE"""),"กลุ่มงานเวชกรรมสังคม")</f>
        <v>กลุ่มงานเวชกรรมสังคม</v>
      </c>
      <c r="E223" s="36">
        <f>IFERROR(__xludf.DUMMYFUNCTION("""COMPUTED_VALUE"""),14.0)</f>
        <v>14</v>
      </c>
      <c r="F223" s="36">
        <f>IFERROR(__xludf.DUMMYFUNCTION("""COMPUTED_VALUE"""),14.0)</f>
        <v>14</v>
      </c>
      <c r="G223" s="36">
        <f>IFERROR(__xludf.DUMMYFUNCTION("""COMPUTED_VALUE"""),266.0)</f>
        <v>266</v>
      </c>
    </row>
    <row r="224">
      <c r="A224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224" s="36" t="str">
        <f>IFERROR(__xludf.DUMMYFUNCTION("""COMPUTED_VALUE"""),"ภารกิจด้านการพยาบาล")</f>
        <v>ภารกิจด้านการพยาบาล</v>
      </c>
      <c r="C224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224" s="36" t="str">
        <f>IFERROR(__xludf.DUMMYFUNCTION("""COMPUTED_VALUE"""),"กลุ่มงานเวชกรรมสังคม")</f>
        <v>กลุ่มงานเวชกรรมสังคม</v>
      </c>
      <c r="E224" s="36">
        <f>IFERROR(__xludf.DUMMYFUNCTION("""COMPUTED_VALUE"""),44.0)</f>
        <v>44</v>
      </c>
      <c r="F224" s="36">
        <f>IFERROR(__xludf.DUMMYFUNCTION("""COMPUTED_VALUE"""),44.0)</f>
        <v>44</v>
      </c>
      <c r="G224" s="36">
        <f>IFERROR(__xludf.DUMMYFUNCTION("""COMPUTED_VALUE"""),266.0)</f>
        <v>266</v>
      </c>
    </row>
    <row r="225">
      <c r="A225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225" s="36" t="str">
        <f>IFERROR(__xludf.DUMMYFUNCTION("""COMPUTED_VALUE"""),"ภารกิจด้านการพยาบาล")</f>
        <v>ภารกิจด้านการพยาบาล</v>
      </c>
      <c r="C225" s="36" t="str">
        <f>IFERROR(__xludf.DUMMYFUNCTION("""COMPUTED_VALUE"""),"งานส่งเสริมสุขภาพและพื้นฟู")</f>
        <v>งานส่งเสริมสุขภาพและพื้นฟู</v>
      </c>
      <c r="D225" s="36" t="str">
        <f>IFERROR(__xludf.DUMMYFUNCTION("""COMPUTED_VALUE"""),"กลุ่มงานเวชกรรมสังคม")</f>
        <v>กลุ่มงานเวชกรรมสังคม</v>
      </c>
      <c r="E225" s="36">
        <f>IFERROR(__xludf.DUMMYFUNCTION("""COMPUTED_VALUE"""),24.0)</f>
        <v>24</v>
      </c>
      <c r="F225" s="36">
        <f>IFERROR(__xludf.DUMMYFUNCTION("""COMPUTED_VALUE"""),24.0)</f>
        <v>24</v>
      </c>
      <c r="G225" s="36">
        <f>IFERROR(__xludf.DUMMYFUNCTION("""COMPUTED_VALUE"""),266.0)</f>
        <v>266</v>
      </c>
    </row>
    <row r="226">
      <c r="A226" s="36" t="str">
        <f>IFERROR(__xludf.DUMMYFUNCTION("""COMPUTED_VALUE"""),"กลุ่มงานเวชกรรมสังคม")</f>
        <v>กลุ่มงานเวชกรรมสังคม</v>
      </c>
      <c r="B226" s="36" t="str">
        <f>IFERROR(__xludf.DUMMYFUNCTION("""COMPUTED_VALUE"""),"ภารกิจด้านบริการปฐมภูมิ")</f>
        <v>ภารกิจด้านบริการปฐมภูมิ</v>
      </c>
      <c r="C226" s="36" t="str">
        <f>IFERROR(__xludf.DUMMYFUNCTION("""COMPUTED_VALUE"""),"งานส่งเสริมสุขภาพและพื้นฟู")</f>
        <v>งานส่งเสริมสุขภาพและพื้นฟู</v>
      </c>
      <c r="D226" s="36" t="str">
        <f>IFERROR(__xludf.DUMMYFUNCTION("""COMPUTED_VALUE"""),"กลุ่มงานเวชกรรมสังคม")</f>
        <v>กลุ่มงานเวชกรรมสังคม</v>
      </c>
      <c r="E226" s="36">
        <f>IFERROR(__xludf.DUMMYFUNCTION("""COMPUTED_VALUE"""),5.0)</f>
        <v>5</v>
      </c>
      <c r="F226" s="36">
        <f>IFERROR(__xludf.DUMMYFUNCTION("""COMPUTED_VALUE"""),26.0)</f>
        <v>26</v>
      </c>
      <c r="G226" s="36">
        <f>IFERROR(__xludf.DUMMYFUNCTION("""COMPUTED_VALUE"""),66.0)</f>
        <v>66</v>
      </c>
    </row>
    <row r="227">
      <c r="A227" s="36" t="str">
        <f>IFERROR(__xludf.DUMMYFUNCTION("""COMPUTED_VALUE"""),"รพสต.บ้านกอกหม่น ต.สันปูเลย อ.ดอยสะเก็ด เชียงใหม่")</f>
        <v>รพสต.บ้านกอกหม่น ต.สันปูเลย อ.ดอยสะเก็ด เชียงใหม่</v>
      </c>
      <c r="B227" s="36" t="str">
        <f>IFERROR(__xludf.DUMMYFUNCTION("""COMPUTED_VALUE"""),"รพสต.บ้านกอกหม่น ต.สันปูเลย อ.ดอยสะเก็ด เชียงใหม่")</f>
        <v>รพสต.บ้านกอกหม่น ต.สันปูเลย อ.ดอยสะเก็ด เชียงใหม่</v>
      </c>
      <c r="C227" s="36" t="str">
        <f>IFERROR(__xludf.DUMMYFUNCTION("""COMPUTED_VALUE"""),"งานเวชปฏิบัติครอบครัวและชุมชนและศูนย์สุขภาพชุมชนเขตเมือง")</f>
        <v>งานเวชปฏิบัติครอบครัวและชุมชนและศูนย์สุขภาพชุมชนเขตเมือง</v>
      </c>
      <c r="D227" s="36" t="str">
        <f>IFERROR(__xludf.DUMMYFUNCTION("""COMPUTED_VALUE"""),"กลุ่มงานเวชกรรมสังคม")</f>
        <v>กลุ่มงานเวชกรรมสังคม</v>
      </c>
      <c r="E227" s="36">
        <f>IFERROR(__xludf.DUMMYFUNCTION("""COMPUTED_VALUE"""),5.0)</f>
        <v>5</v>
      </c>
      <c r="F227" s="36">
        <f>IFERROR(__xludf.DUMMYFUNCTION("""COMPUTED_VALUE"""),26.0)</f>
        <v>26</v>
      </c>
      <c r="G227" s="36">
        <f>IFERROR(__xludf.DUMMYFUNCTION("""COMPUTED_VALUE"""),66.0)</f>
        <v>66</v>
      </c>
    </row>
    <row r="228">
      <c r="A228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228" s="36" t="str">
        <f>IFERROR(__xludf.DUMMYFUNCTION("""COMPUTED_VALUE"""),"ภารกิจด้านการพยาบาล")</f>
        <v>ภารกิจด้านการพยาบาล</v>
      </c>
      <c r="C228" s="36" t="str">
        <f>IFERROR(__xludf.DUMMYFUNCTION("""COMPUTED_VALUE"""),"งานตรวจสุขภาพ")</f>
        <v>งานตรวจสุขภาพ</v>
      </c>
      <c r="D228" s="36" t="str">
        <f>IFERROR(__xludf.DUMMYFUNCTION("""COMPUTED_VALUE"""),"กลุ่มงานอาชีวเวชกรรม")</f>
        <v>กลุ่มงานอาชีวเวชกรรม</v>
      </c>
      <c r="E228" s="36">
        <f>IFERROR(__xludf.DUMMYFUNCTION("""COMPUTED_VALUE"""),44.0)</f>
        <v>44</v>
      </c>
      <c r="F228" s="36">
        <f>IFERROR(__xludf.DUMMYFUNCTION("""COMPUTED_VALUE"""),44.0)</f>
        <v>44</v>
      </c>
      <c r="G228" s="36">
        <f>IFERROR(__xludf.DUMMYFUNCTION("""COMPUTED_VALUE"""),266.0)</f>
        <v>266</v>
      </c>
    </row>
    <row r="229">
      <c r="A229" s="36" t="str">
        <f>IFERROR(__xludf.DUMMYFUNCTION("""COMPUTED_VALUE"""),"กลุ่มงานอาชีวเวชกรรม")</f>
        <v>กลุ่มงานอาชีวเวชกรรม</v>
      </c>
      <c r="B229" s="36" t="str">
        <f>IFERROR(__xludf.DUMMYFUNCTION("""COMPUTED_VALUE"""),"ภารกิจด้านบริการปฐมภูมิ")</f>
        <v>ภารกิจด้านบริการปฐมภูมิ</v>
      </c>
      <c r="C229" s="36" t="str">
        <f>IFERROR(__xludf.DUMMYFUNCTION("""COMPUTED_VALUE"""),"งานส่งเสริมสุขภาพและพื้นฟูสภาพวัยทำงาน")</f>
        <v>งานส่งเสริมสุขภาพและพื้นฟูสภาพวัยทำงาน</v>
      </c>
      <c r="D229" s="36" t="str">
        <f>IFERROR(__xludf.DUMMYFUNCTION("""COMPUTED_VALUE"""),"กลุ่มงานอาชีวเวชกรรม")</f>
        <v>กลุ่มงานอาชีวเวชกรรม</v>
      </c>
      <c r="E229" s="36">
        <f>IFERROR(__xludf.DUMMYFUNCTION("""COMPUTED_VALUE"""),5.0)</f>
        <v>5</v>
      </c>
      <c r="F229" s="36">
        <f>IFERROR(__xludf.DUMMYFUNCTION("""COMPUTED_VALUE"""),17.0)</f>
        <v>17</v>
      </c>
      <c r="G229" s="36">
        <f>IFERROR(__xludf.DUMMYFUNCTION("""COMPUTED_VALUE"""),66.0)</f>
        <v>66</v>
      </c>
    </row>
    <row r="230">
      <c r="A230" s="36" t="str">
        <f>IFERROR(__xludf.DUMMYFUNCTION("""COMPUTED_VALUE"""),"รพ.พะเยา")</f>
        <v>รพ.พะเยา</v>
      </c>
      <c r="B230" s="36" t="str">
        <f>IFERROR(__xludf.DUMMYFUNCTION("""COMPUTED_VALUE"""),"รพ.พะเยา")</f>
        <v>รพ.พะเยา</v>
      </c>
      <c r="C230" s="36" t="str">
        <f>IFERROR(__xludf.DUMMYFUNCTION("""COMPUTED_VALUE"""),"งานส่งเสริมสุขภาพและพื้นฟูสภาพวัยทำงาน")</f>
        <v>งานส่งเสริมสุขภาพและพื้นฟูสภาพวัยทำงาน</v>
      </c>
      <c r="D230" s="36" t="str">
        <f>IFERROR(__xludf.DUMMYFUNCTION("""COMPUTED_VALUE"""),"กลุ่มงานอาชีวเวชกรรม")</f>
        <v>กลุ่มงานอาชีวเวชกรรม</v>
      </c>
      <c r="E230" s="36">
        <f>IFERROR(__xludf.DUMMYFUNCTION("""COMPUTED_VALUE"""),5.0)</f>
        <v>5</v>
      </c>
      <c r="F230" s="36">
        <f>IFERROR(__xludf.DUMMYFUNCTION("""COMPUTED_VALUE"""),17.0)</f>
        <v>17</v>
      </c>
      <c r="G230" s="36">
        <f>IFERROR(__xludf.DUMMYFUNCTION("""COMPUTED_VALUE"""),66.0)</f>
        <v>66</v>
      </c>
    </row>
    <row r="231">
      <c r="A231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231" s="36" t="str">
        <f>IFERROR(__xludf.DUMMYFUNCTION("""COMPUTED_VALUE"""),"ภารกิจด้านการพยาบาล")</f>
        <v>ภารกิจด้านการพยาบาล</v>
      </c>
      <c r="C231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231" s="36" t="str">
        <f>IFERROR(__xludf.DUMMYFUNCTION("""COMPUTED_VALUE"""),"รพสต.บ้านแม่เมือง ต.แม่นาวาง สสอ. แม่อาย")</f>
        <v>รพสต.บ้านแม่เมือง ต.แม่นาวาง สสอ. แม่อาย</v>
      </c>
      <c r="E231" s="36">
        <f>IFERROR(__xludf.DUMMYFUNCTION("""COMPUTED_VALUE"""),44.0)</f>
        <v>44</v>
      </c>
      <c r="F231" s="36">
        <f>IFERROR(__xludf.DUMMYFUNCTION("""COMPUTED_VALUE"""),44.0)</f>
        <v>44</v>
      </c>
      <c r="G231" s="36">
        <f>IFERROR(__xludf.DUMMYFUNCTION("""COMPUTED_VALUE"""),266.0)</f>
        <v>266</v>
      </c>
    </row>
    <row r="232">
      <c r="A232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232" s="36" t="str">
        <f>IFERROR(__xludf.DUMMYFUNCTION("""COMPUTED_VALUE"""),"ภารกิจด้านการพยาบาล")</f>
        <v>ภารกิจด้านการพยาบาล</v>
      </c>
      <c r="C232" s="36" t="str">
        <f>IFERROR(__xludf.DUMMYFUNCTION("""COMPUTED_VALUE"""),"กลุ่มงานการพยาบาลจิตเวช")</f>
        <v>กลุ่มงานการพยาบาลจิตเวช</v>
      </c>
      <c r="D232" s="36" t="str">
        <f>IFERROR(__xludf.DUMMYFUNCTION("""COMPUTED_VALUE"""),"กลุ่มงานการพยาบาลจิตเวช")</f>
        <v>กลุ่มงานการพยาบาลจิตเวช</v>
      </c>
      <c r="E232" s="36">
        <f>IFERROR(__xludf.DUMMYFUNCTION("""COMPUTED_VALUE"""),44.0)</f>
        <v>44</v>
      </c>
      <c r="F232" s="36">
        <f>IFERROR(__xludf.DUMMYFUNCTION("""COMPUTED_VALUE"""),44.0)</f>
        <v>44</v>
      </c>
      <c r="G232" s="36">
        <f>IFERROR(__xludf.DUMMYFUNCTION("""COMPUTED_VALUE"""),266.0)</f>
        <v>266</v>
      </c>
    </row>
    <row r="233">
      <c r="A233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233" s="36" t="str">
        <f>IFERROR(__xludf.DUMMYFUNCTION("""COMPUTED_VALUE"""),"ภารกิจด้านการพยาบาล")</f>
        <v>ภารกิจด้านการพยาบาล</v>
      </c>
      <c r="C233" s="36" t="str">
        <f>IFERROR(__xludf.DUMMYFUNCTION("""COMPUTED_VALUE"""),"กลุ่มงานการพยาบาลผู้คลอด")</f>
        <v>กลุ่มงานการพยาบาลผู้คลอด</v>
      </c>
      <c r="D233" s="36" t="str">
        <f>IFERROR(__xludf.DUMMYFUNCTION("""COMPUTED_VALUE"""),"กลุ่มงานการพยาบาลผู้คลอด")</f>
        <v>กลุ่มงานการพยาบาลผู้คลอด</v>
      </c>
      <c r="E233" s="36">
        <f>IFERROR(__xludf.DUMMYFUNCTION("""COMPUTED_VALUE"""),24.0)</f>
        <v>24</v>
      </c>
      <c r="F233" s="36">
        <f>IFERROR(__xludf.DUMMYFUNCTION("""COMPUTED_VALUE"""),24.0)</f>
        <v>24</v>
      </c>
      <c r="G233" s="36">
        <f>IFERROR(__xludf.DUMMYFUNCTION("""COMPUTED_VALUE"""),266.0)</f>
        <v>266</v>
      </c>
    </row>
    <row r="234">
      <c r="A234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B234" s="36" t="str">
        <f>IFERROR(__xludf.DUMMYFUNCTION("""COMPUTED_VALUE"""),"ภารกิจด้านการพยาบาล")</f>
        <v>ภารกิจด้านการพยาบาล</v>
      </c>
      <c r="C234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234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234" s="36">
        <f>IFERROR(__xludf.DUMMYFUNCTION("""COMPUTED_VALUE"""),25.0)</f>
        <v>25</v>
      </c>
      <c r="F234" s="36">
        <f>IFERROR(__xludf.DUMMYFUNCTION("""COMPUTED_VALUE"""),25.0)</f>
        <v>25</v>
      </c>
      <c r="G234" s="36">
        <f>IFERROR(__xludf.DUMMYFUNCTION("""COMPUTED_VALUE"""),266.0)</f>
        <v>266</v>
      </c>
    </row>
    <row r="235">
      <c r="A235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B235" s="36" t="str">
        <f>IFERROR(__xludf.DUMMYFUNCTION("""COMPUTED_VALUE"""),"ภารกิจด้านการพยาบาล")</f>
        <v>ภารกิจด้านการพยาบาล</v>
      </c>
      <c r="C235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235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E235" s="36">
        <f>IFERROR(__xludf.DUMMYFUNCTION("""COMPUTED_VALUE"""),25.0)</f>
        <v>25</v>
      </c>
      <c r="F235" s="36">
        <f>IFERROR(__xludf.DUMMYFUNCTION("""COMPUTED_VALUE"""),25.0)</f>
        <v>25</v>
      </c>
      <c r="G235" s="36">
        <f>IFERROR(__xludf.DUMMYFUNCTION("""COMPUTED_VALUE"""),266.0)</f>
        <v>266</v>
      </c>
    </row>
    <row r="236">
      <c r="A236" s="36" t="str">
        <f>IFERROR(__xludf.DUMMYFUNCTION("""COMPUTED_VALUE"""),"กลุ่มงานการพยาบาลผู้ป่วยนอก")</f>
        <v>กลุ่มงานการพยาบาลผู้ป่วยนอก</v>
      </c>
      <c r="B236" s="36" t="str">
        <f>IFERROR(__xludf.DUMMYFUNCTION("""COMPUTED_VALUE"""),"ภารกิจด้านการพยาบาล")</f>
        <v>ภารกิจด้านการพยาบาล</v>
      </c>
      <c r="C236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236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236" s="36">
        <f>IFERROR(__xludf.DUMMYFUNCTION("""COMPUTED_VALUE"""),25.0)</f>
        <v>25</v>
      </c>
      <c r="F236" s="36">
        <f>IFERROR(__xludf.DUMMYFUNCTION("""COMPUTED_VALUE"""),25.0)</f>
        <v>25</v>
      </c>
      <c r="G236" s="36">
        <f>IFERROR(__xludf.DUMMYFUNCTION("""COMPUTED_VALUE"""),266.0)</f>
        <v>266</v>
      </c>
    </row>
    <row r="237">
      <c r="A237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B237" s="36" t="str">
        <f>IFERROR(__xludf.DUMMYFUNCTION("""COMPUTED_VALUE"""),"ภารกิจด้านการพยาบาล")</f>
        <v>ภารกิจด้านการพยาบาล</v>
      </c>
      <c r="C237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237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237" s="36">
        <f>IFERROR(__xludf.DUMMYFUNCTION("""COMPUTED_VALUE"""),25.0)</f>
        <v>25</v>
      </c>
      <c r="F237" s="36">
        <f>IFERROR(__xludf.DUMMYFUNCTION("""COMPUTED_VALUE"""),25.0)</f>
        <v>25</v>
      </c>
      <c r="G237" s="36">
        <f>IFERROR(__xludf.DUMMYFUNCTION("""COMPUTED_VALUE"""),266.0)</f>
        <v>266</v>
      </c>
    </row>
    <row r="238">
      <c r="A238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B238" s="36" t="str">
        <f>IFERROR(__xludf.DUMMYFUNCTION("""COMPUTED_VALUE"""),"ภารกิจด้านการพยาบาล")</f>
        <v>ภารกิจด้านการพยาบาล</v>
      </c>
      <c r="C238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238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238" s="36">
        <f>IFERROR(__xludf.DUMMYFUNCTION("""COMPUTED_VALUE"""),20.0)</f>
        <v>20</v>
      </c>
      <c r="F238" s="36">
        <f>IFERROR(__xludf.DUMMYFUNCTION("""COMPUTED_VALUE"""),20.0)</f>
        <v>20</v>
      </c>
      <c r="G238" s="36">
        <f>IFERROR(__xludf.DUMMYFUNCTION("""COMPUTED_VALUE"""),266.0)</f>
        <v>266</v>
      </c>
    </row>
    <row r="239">
      <c r="A239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B239" s="36" t="str">
        <f>IFERROR(__xludf.DUMMYFUNCTION("""COMPUTED_VALUE"""),"ภารกิจด้านการพยาบาล")</f>
        <v>ภารกิจด้านการพยาบาล</v>
      </c>
      <c r="C239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D239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E239" s="36">
        <f>IFERROR(__xludf.DUMMYFUNCTION("""COMPUTED_VALUE"""),25.0)</f>
        <v>25</v>
      </c>
      <c r="F239" s="36">
        <f>IFERROR(__xludf.DUMMYFUNCTION("""COMPUTED_VALUE"""),25.0)</f>
        <v>25</v>
      </c>
      <c r="G239" s="36">
        <f>IFERROR(__xludf.DUMMYFUNCTION("""COMPUTED_VALUE"""),266.0)</f>
        <v>266</v>
      </c>
    </row>
    <row r="240">
      <c r="A240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B240" s="36" t="str">
        <f>IFERROR(__xludf.DUMMYFUNCTION("""COMPUTED_VALUE"""),"ภารกิจด้านการพยาบาล")</f>
        <v>ภารกิจด้านการพยาบาล</v>
      </c>
      <c r="C240" s="36" t="str">
        <f>IFERROR(__xludf.DUMMYFUNCTION("""COMPUTED_VALUE"""),"กลุ่มงานการพยาบาลผู้คลอด")</f>
        <v>กลุ่มงานการพยาบาลผู้คลอด</v>
      </c>
      <c r="D240" s="36" t="str">
        <f>IFERROR(__xludf.DUMMYFUNCTION("""COMPUTED_VALUE"""),"กลุ่มงานการพยาบาลผู้คลอด")</f>
        <v>กลุ่มงานการพยาบาลผู้คลอด</v>
      </c>
      <c r="E240" s="36">
        <f>IFERROR(__xludf.DUMMYFUNCTION("""COMPUTED_VALUE"""),10.0)</f>
        <v>10</v>
      </c>
      <c r="F240" s="36">
        <f>IFERROR(__xludf.DUMMYFUNCTION("""COMPUTED_VALUE"""),10.0)</f>
        <v>10</v>
      </c>
      <c r="G240" s="36">
        <f>IFERROR(__xludf.DUMMYFUNCTION("""COMPUTED_VALUE"""),266.0)</f>
        <v>266</v>
      </c>
    </row>
    <row r="241">
      <c r="A241" s="36" t="str">
        <f>IFERROR(__xludf.DUMMYFUNCTION("""COMPUTED_VALUE"""),"กลุ่มงานการพยาบาลตรวจรักษาพิเศษ")</f>
        <v>กลุ่มงานการพยาบาลตรวจรักษาพิเศษ</v>
      </c>
      <c r="B241" s="36" t="str">
        <f>IFERROR(__xludf.DUMMYFUNCTION("""COMPUTED_VALUE"""),"ภารกิจด้านการพยาบาล")</f>
        <v>ภารกิจด้านการพยาบาล</v>
      </c>
      <c r="C241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241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241" s="36">
        <f>IFERROR(__xludf.DUMMYFUNCTION("""COMPUTED_VALUE"""),24.0)</f>
        <v>24</v>
      </c>
      <c r="F241" s="36">
        <f>IFERROR(__xludf.DUMMYFUNCTION("""COMPUTED_VALUE"""),24.0)</f>
        <v>24</v>
      </c>
      <c r="G241" s="36">
        <f>IFERROR(__xludf.DUMMYFUNCTION("""COMPUTED_VALUE"""),266.0)</f>
        <v>266</v>
      </c>
    </row>
    <row r="242">
      <c r="A242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B242" s="36" t="str">
        <f>IFERROR(__xludf.DUMMYFUNCTION("""COMPUTED_VALUE"""),"ภารกิจด้านการพยาบาล")</f>
        <v>ภารกิจด้านการพยาบาล</v>
      </c>
      <c r="C242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242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E242" s="36">
        <f>IFERROR(__xludf.DUMMYFUNCTION("""COMPUTED_VALUE"""),10.0)</f>
        <v>10</v>
      </c>
      <c r="F242" s="36">
        <f>IFERROR(__xludf.DUMMYFUNCTION("""COMPUTED_VALUE"""),10.0)</f>
        <v>10</v>
      </c>
      <c r="G242" s="36">
        <f>IFERROR(__xludf.DUMMYFUNCTION("""COMPUTED_VALUE"""),266.0)</f>
        <v>266</v>
      </c>
    </row>
    <row r="243">
      <c r="A243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B243" s="36" t="str">
        <f>IFERROR(__xludf.DUMMYFUNCTION("""COMPUTED_VALUE"""),"ภารกิจด้านการพยาบาล")</f>
        <v>ภารกิจด้านการพยาบาล</v>
      </c>
      <c r="C243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D243" s="36" t="str">
        <f>IFERROR(__xludf.DUMMYFUNCTION("""COMPUTED_VALUE"""),"กลุ่มงานการพยาบาลผู้ป่วยห้องผ่าตัด")</f>
        <v>กลุ่มงานการพยาบาลผู้ป่วยห้องผ่าตัด</v>
      </c>
      <c r="E243" s="36">
        <f>IFERROR(__xludf.DUMMYFUNCTION("""COMPUTED_VALUE"""),20.0)</f>
        <v>20</v>
      </c>
      <c r="F243" s="36">
        <f>IFERROR(__xludf.DUMMYFUNCTION("""COMPUTED_VALUE"""),20.0)</f>
        <v>20</v>
      </c>
      <c r="G243" s="36">
        <f>IFERROR(__xludf.DUMMYFUNCTION("""COMPUTED_VALUE"""),266.0)</f>
        <v>266</v>
      </c>
    </row>
    <row r="244">
      <c r="A244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244" s="36" t="str">
        <f>IFERROR(__xludf.DUMMYFUNCTION("""COMPUTED_VALUE"""),"ภารกิจด้านการพยาบาล")</f>
        <v>ภารกิจด้านการพยาบาล</v>
      </c>
      <c r="C244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244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244" s="36">
        <f>IFERROR(__xludf.DUMMYFUNCTION("""COMPUTED_VALUE"""),44.0)</f>
        <v>44</v>
      </c>
      <c r="F244" s="36">
        <f>IFERROR(__xludf.DUMMYFUNCTION("""COMPUTED_VALUE"""),44.0)</f>
        <v>44</v>
      </c>
      <c r="G244" s="36">
        <f>IFERROR(__xludf.DUMMYFUNCTION("""COMPUTED_VALUE"""),266.0)</f>
        <v>266</v>
      </c>
    </row>
    <row r="245">
      <c r="A245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B245" s="36" t="str">
        <f>IFERROR(__xludf.DUMMYFUNCTION("""COMPUTED_VALUE"""),"ภารกิจด้านการพยาบาล")</f>
        <v>ภารกิจด้านการพยาบาล</v>
      </c>
      <c r="C245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245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245" s="36">
        <f>IFERROR(__xludf.DUMMYFUNCTION("""COMPUTED_VALUE"""),20.0)</f>
        <v>20</v>
      </c>
      <c r="F245" s="36">
        <f>IFERROR(__xludf.DUMMYFUNCTION("""COMPUTED_VALUE"""),20.0)</f>
        <v>20</v>
      </c>
      <c r="G245" s="36">
        <f>IFERROR(__xludf.DUMMYFUNCTION("""COMPUTED_VALUE"""),266.0)</f>
        <v>266</v>
      </c>
    </row>
    <row r="246">
      <c r="A246" s="36" t="str">
        <f>IFERROR(__xludf.DUMMYFUNCTION("""COMPUTED_VALUE"""),"กลุ่มงานการพยาบาลวิสัญญี")</f>
        <v>กลุ่มงานการพยาบาลวิสัญญี</v>
      </c>
      <c r="B246" s="36" t="str">
        <f>IFERROR(__xludf.DUMMYFUNCTION("""COMPUTED_VALUE"""),"ภารกิจด้านการพยาบาล")</f>
        <v>ภารกิจด้านการพยาบาล</v>
      </c>
      <c r="C246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246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246" s="36">
        <f>IFERROR(__xludf.DUMMYFUNCTION("""COMPUTED_VALUE"""),18.0)</f>
        <v>18</v>
      </c>
      <c r="F246" s="36">
        <f>IFERROR(__xludf.DUMMYFUNCTION("""COMPUTED_VALUE"""),18.0)</f>
        <v>18</v>
      </c>
      <c r="G246" s="36">
        <f>IFERROR(__xludf.DUMMYFUNCTION("""COMPUTED_VALUE"""),266.0)</f>
        <v>266</v>
      </c>
    </row>
    <row r="247">
      <c r="A247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B247" s="36" t="str">
        <f>IFERROR(__xludf.DUMMYFUNCTION("""COMPUTED_VALUE"""),"ภารกิจด้านการพยาบาล")</f>
        <v>ภารกิจด้านการพยาบาล</v>
      </c>
      <c r="C247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D247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E247" s="36">
        <f>IFERROR(__xludf.DUMMYFUNCTION("""COMPUTED_VALUE"""),20.0)</f>
        <v>20</v>
      </c>
      <c r="F247" s="36">
        <f>IFERROR(__xludf.DUMMYFUNCTION("""COMPUTED_VALUE"""),20.0)</f>
        <v>20</v>
      </c>
      <c r="G247" s="36">
        <f>IFERROR(__xludf.DUMMYFUNCTION("""COMPUTED_VALUE"""),266.0)</f>
        <v>266</v>
      </c>
    </row>
    <row r="248">
      <c r="A248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B248" s="36" t="str">
        <f>IFERROR(__xludf.DUMMYFUNCTION("""COMPUTED_VALUE"""),"ภารกิจด้านการพยาบาล")</f>
        <v>ภารกิจด้านการพยาบาล</v>
      </c>
      <c r="C248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248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248" s="36">
        <f>IFERROR(__xludf.DUMMYFUNCTION("""COMPUTED_VALUE"""),6.0)</f>
        <v>6</v>
      </c>
      <c r="F248" s="36">
        <f>IFERROR(__xludf.DUMMYFUNCTION("""COMPUTED_VALUE"""),6.0)</f>
        <v>6</v>
      </c>
      <c r="G248" s="36">
        <f>IFERROR(__xludf.DUMMYFUNCTION("""COMPUTED_VALUE"""),266.0)</f>
        <v>266</v>
      </c>
    </row>
    <row r="249">
      <c r="A249" s="36" t="str">
        <f>IFERROR(__xludf.DUMMYFUNCTION("""COMPUTED_VALUE"""),"กลุ่มงานการพยาบาลวิสัญญี")</f>
        <v>กลุ่มงานการพยาบาลวิสัญญี</v>
      </c>
      <c r="B249" s="36" t="str">
        <f>IFERROR(__xludf.DUMMYFUNCTION("""COMPUTED_VALUE"""),"ภารกิจด้านการพยาบาล")</f>
        <v>ภารกิจด้านการพยาบาล</v>
      </c>
      <c r="C249" s="36" t="str">
        <f>IFERROR(__xludf.DUMMYFUNCTION("""COMPUTED_VALUE"""),"งานส่งเสริมสุขภาพและพื้นฟูสภาพวัยทำงาน")</f>
        <v>งานส่งเสริมสุขภาพและพื้นฟูสภาพวัยทำงาน</v>
      </c>
      <c r="D249" s="36" t="str">
        <f>IFERROR(__xludf.DUMMYFUNCTION("""COMPUTED_VALUE"""),"กลุ่มงานอาชีวเวชกรรม")</f>
        <v>กลุ่มงานอาชีวเวชกรรม</v>
      </c>
      <c r="E249" s="36">
        <f>IFERROR(__xludf.DUMMYFUNCTION("""COMPUTED_VALUE"""),18.0)</f>
        <v>18</v>
      </c>
      <c r="F249" s="36">
        <f>IFERROR(__xludf.DUMMYFUNCTION("""COMPUTED_VALUE"""),18.0)</f>
        <v>18</v>
      </c>
      <c r="G249" s="36">
        <f>IFERROR(__xludf.DUMMYFUNCTION("""COMPUTED_VALUE"""),266.0)</f>
        <v>266</v>
      </c>
    </row>
    <row r="250">
      <c r="A250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250" s="36" t="str">
        <f>IFERROR(__xludf.DUMMYFUNCTION("""COMPUTED_VALUE"""),"ภารกิจด้านการพยาบาล")</f>
        <v>ภารกิจด้านการพยาบาล</v>
      </c>
      <c r="C250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250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250" s="36">
        <f>IFERROR(__xludf.DUMMYFUNCTION("""COMPUTED_VALUE"""),14.0)</f>
        <v>14</v>
      </c>
      <c r="F250" s="36">
        <f>IFERROR(__xludf.DUMMYFUNCTION("""COMPUTED_VALUE"""),14.0)</f>
        <v>14</v>
      </c>
      <c r="G250" s="36">
        <f>IFERROR(__xludf.DUMMYFUNCTION("""COMPUTED_VALUE"""),266.0)</f>
        <v>266</v>
      </c>
    </row>
    <row r="251">
      <c r="A251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B251" s="36" t="str">
        <f>IFERROR(__xludf.DUMMYFUNCTION("""COMPUTED_VALUE"""),"ภารกิจด้านการพยาบาล")</f>
        <v>ภารกิจด้านการพยาบาล</v>
      </c>
      <c r="C251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D251" s="36" t="str">
        <f>IFERROR(__xludf.DUMMYFUNCTION("""COMPUTED_VALUE"""),"กลุ่มงานการพยาบาลผู้ป่วยกุมารเวชกรรม")</f>
        <v>กลุ่มงานการพยาบาลผู้ป่วยกุมารเวชกรรม</v>
      </c>
      <c r="E251" s="36">
        <f>IFERROR(__xludf.DUMMYFUNCTION("""COMPUTED_VALUE"""),14.0)</f>
        <v>14</v>
      </c>
      <c r="F251" s="36">
        <f>IFERROR(__xludf.DUMMYFUNCTION("""COMPUTED_VALUE"""),14.0)</f>
        <v>14</v>
      </c>
      <c r="G251" s="36">
        <f>IFERROR(__xludf.DUMMYFUNCTION("""COMPUTED_VALUE"""),266.0)</f>
        <v>266</v>
      </c>
    </row>
    <row r="252">
      <c r="A252" s="36" t="str">
        <f>IFERROR(__xludf.DUMMYFUNCTION("""COMPUTED_VALUE"""),"กลุ่มงานเวชกรรมสังคม")</f>
        <v>กลุ่มงานเวชกรรมสังคม</v>
      </c>
      <c r="B252" s="36" t="str">
        <f>IFERROR(__xludf.DUMMYFUNCTION("""COMPUTED_VALUE"""),"ภารกิจด้านบริการปฐมภูมิ")</f>
        <v>ภารกิจด้านบริการปฐมภูมิ</v>
      </c>
      <c r="C252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D252" s="36" t="str">
        <f>IFERROR(__xludf.DUMMYFUNCTION("""COMPUTED_VALUE"""),"กลุ่มงานการพยาบาลผู้ป่วยหนัก")</f>
        <v>กลุ่มงานการพยาบาลผู้ป่วยหนัก</v>
      </c>
      <c r="E252" s="36">
        <f>IFERROR(__xludf.DUMMYFUNCTION("""COMPUTED_VALUE"""),5.0)</f>
        <v>5</v>
      </c>
      <c r="F252" s="36">
        <f>IFERROR(__xludf.DUMMYFUNCTION("""COMPUTED_VALUE"""),26.0)</f>
        <v>26</v>
      </c>
      <c r="G252" s="36">
        <f>IFERROR(__xludf.DUMMYFUNCTION("""COMPUTED_VALUE"""),66.0)</f>
        <v>66</v>
      </c>
    </row>
    <row r="253">
      <c r="A253" s="36" t="str">
        <f>IFERROR(__xludf.DUMMYFUNCTION("""COMPUTED_VALUE"""),"กลุ่มงานการพยาบาลผู้ป่วยอายุรกรรม")</f>
        <v>กลุ่มงานการพยาบาลผู้ป่วยอายุรกรรม</v>
      </c>
      <c r="B253" s="36" t="str">
        <f>IFERROR(__xludf.DUMMYFUNCTION("""COMPUTED_VALUE"""),"ภารกิจด้านการพยาบาล")</f>
        <v>ภารกิจด้านการพยาบาล</v>
      </c>
      <c r="C253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D253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E253" s="36">
        <f>IFERROR(__xludf.DUMMYFUNCTION("""COMPUTED_VALUE"""),44.0)</f>
        <v>44</v>
      </c>
      <c r="F253" s="36">
        <f>IFERROR(__xludf.DUMMYFUNCTION("""COMPUTED_VALUE"""),44.0)</f>
        <v>44</v>
      </c>
      <c r="G253" s="36">
        <f>IFERROR(__xludf.DUMMYFUNCTION("""COMPUTED_VALUE"""),266.0)</f>
        <v>266</v>
      </c>
    </row>
    <row r="254">
      <c r="A254" s="36" t="str">
        <f>IFERROR(__xludf.DUMMYFUNCTION("""COMPUTED_VALUE"""),"กลุ่มงานการพยาบาลผู้ป่วยศัลยกรรม")</f>
        <v>กลุ่มงานการพยาบาลผู้ป่วยศัลยกรรม</v>
      </c>
      <c r="B254" s="36" t="str">
        <f>IFERROR(__xludf.DUMMYFUNCTION("""COMPUTED_VALUE"""),"ภารกิจด้านการพยาบาล")</f>
        <v>ภารกิจด้านการพยาบาล</v>
      </c>
      <c r="C254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254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254" s="36">
        <f>IFERROR(__xludf.DUMMYFUNCTION("""COMPUTED_VALUE"""),14.0)</f>
        <v>14</v>
      </c>
      <c r="F254" s="36">
        <f>IFERROR(__xludf.DUMMYFUNCTION("""COMPUTED_VALUE"""),14.0)</f>
        <v>14</v>
      </c>
      <c r="G254" s="36">
        <f>IFERROR(__xludf.DUMMYFUNCTION("""COMPUTED_VALUE"""),266.0)</f>
        <v>266</v>
      </c>
    </row>
    <row r="255">
      <c r="A255" s="36" t="str">
        <f>IFERROR(__xludf.DUMMYFUNCTION("""COMPUTED_VALUE"""),"กลุ่มงานการพยาบาลผู้ป่วยโสต ศอ นาสิก จักษุ")</f>
        <v>กลุ่มงานการพยาบาลผู้ป่วยโสต ศอ นาสิก จักษุ</v>
      </c>
      <c r="B255" s="36" t="str">
        <f>IFERROR(__xludf.DUMMYFUNCTION("""COMPUTED_VALUE"""),"ภารกิจด้านการพยาบาล")</f>
        <v>ภารกิจด้านการพยาบาล</v>
      </c>
      <c r="C255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D255" s="36" t="str">
        <f>IFERROR(__xludf.DUMMYFUNCTION("""COMPUTED_VALUE"""),"กลุ่มงานการพยาบาลผู้ป่วยออร์โธปิดิกส์")</f>
        <v>กลุ่มงานการพยาบาลผู้ป่วยออร์โธปิดิกส์</v>
      </c>
      <c r="E255" s="36">
        <f>IFERROR(__xludf.DUMMYFUNCTION("""COMPUTED_VALUE"""),6.0)</f>
        <v>6</v>
      </c>
      <c r="F255" s="36">
        <f>IFERROR(__xludf.DUMMYFUNCTION("""COMPUTED_VALUE"""),6.0)</f>
        <v>6</v>
      </c>
      <c r="G255" s="36">
        <f>IFERROR(__xludf.DUMMYFUNCTION("""COMPUTED_VALUE"""),266.0)</f>
        <v>266</v>
      </c>
    </row>
    <row r="256">
      <c r="A256" s="36" t="str">
        <f>IFERROR(__xludf.DUMMYFUNCTION("""COMPUTED_VALUE"""),"กลุ่มงานการพยาบาลวิสัญญี")</f>
        <v>กลุ่มงานการพยาบาลวิสัญญี</v>
      </c>
      <c r="B256" s="36" t="str">
        <f>IFERROR(__xludf.DUMMYFUNCTION("""COMPUTED_VALUE"""),"ภารกิจด้านการพยาบาล")</f>
        <v>ภารกิจด้านการพยาบาล</v>
      </c>
      <c r="C256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D256" s="36" t="str">
        <f>IFERROR(__xludf.DUMMYFUNCTION("""COMPUTED_VALUE"""),"กลุ่มงานการพยาบาลผู้ป่วยอุบัติเหตุและฉุกเฉิน")</f>
        <v>กลุ่มงานการพยาบาลผู้ป่วยอุบัติเหตุและฉุกเฉิน</v>
      </c>
      <c r="E256" s="36">
        <f>IFERROR(__xludf.DUMMYFUNCTION("""COMPUTED_VALUE"""),18.0)</f>
        <v>18</v>
      </c>
      <c r="F256" s="36">
        <f>IFERROR(__xludf.DUMMYFUNCTION("""COMPUTED_VALUE"""),18.0)</f>
        <v>18</v>
      </c>
      <c r="G256" s="36">
        <f>IFERROR(__xludf.DUMMYFUNCTION("""COMPUTED_VALUE"""),266.0)</f>
        <v>266</v>
      </c>
    </row>
    <row r="257">
      <c r="A257" s="36" t="str">
        <f>IFERROR(__xludf.DUMMYFUNCTION("""COMPUTED_VALUE"""),"กลุ่มงานการแพทย์แผนไทยและการแพทย์ทางเลือก")</f>
        <v>กลุ่มงานการแพทย์แผนไทยและการแพทย์ทางเลือก</v>
      </c>
      <c r="B257" s="36" t="str">
        <f>IFERROR(__xludf.DUMMYFUNCTION("""COMPUTED_VALUE"""),"ภารกิจด้านบริการปฐมภูมิ")</f>
        <v>ภารกิจด้านบริการปฐมภูมิ</v>
      </c>
      <c r="C257" s="36" t="str">
        <f>IFERROR(__xludf.DUMMYFUNCTION("""COMPUTED_VALUE"""),"กลุ่มงานการแพทย์แผนไทยและการแพทย์ทางเลือก")</f>
        <v>กลุ่มงานการแพทย์แผนไทยและการแพทย์ทางเลือก</v>
      </c>
      <c r="D257" s="36" t="str">
        <f>IFERROR(__xludf.DUMMYFUNCTION("""COMPUTED_VALUE"""),"กลุ่มงานการแพทย์แผนไทยและการแพทย์ทางเลือก")</f>
        <v>กลุ่มงานการแพทย์แผนไทยและการแพทย์ทางเลือก</v>
      </c>
      <c r="E257" s="36">
        <f>IFERROR(__xludf.DUMMYFUNCTION("""COMPUTED_VALUE"""),5.0)</f>
        <v>5</v>
      </c>
      <c r="F257" s="36">
        <f>IFERROR(__xludf.DUMMYFUNCTION("""COMPUTED_VALUE"""),5.0)</f>
        <v>5</v>
      </c>
      <c r="G257" s="36">
        <f>IFERROR(__xludf.DUMMYFUNCTION("""COMPUTED_VALUE"""),66.0)</f>
        <v>66</v>
      </c>
    </row>
    <row r="258">
      <c r="A258" s="36" t="str">
        <f>IFERROR(__xludf.DUMMYFUNCTION("""COMPUTED_VALUE"""),"กลุ่มงานเภสัชกรรม")</f>
        <v>กลุ่มงานเภสัชกรรม</v>
      </c>
      <c r="B258" s="36" t="str">
        <f>IFERROR(__xludf.DUMMYFUNCTION("""COMPUTED_VALUE"""),"ภารกิจด้านบริการทุติยภูมิและตติยภูมิ")</f>
        <v>ภารกิจด้านบริการทุติยภูมิและตติยภูมิ</v>
      </c>
      <c r="C258" s="36" t="str">
        <f>IFERROR(__xludf.DUMMYFUNCTION("""COMPUTED_VALUE"""),"กลุ่มงานเภสัชกรรม")</f>
        <v>กลุ่มงานเภสัชกรรม</v>
      </c>
      <c r="D258" s="36" t="str">
        <f>IFERROR(__xludf.DUMMYFUNCTION("""COMPUTED_VALUE"""),"กลุ่มงานเภสัชกรรม")</f>
        <v>กลุ่มงานเภสัชกรรม</v>
      </c>
      <c r="E258" s="36">
        <f>IFERROR(__xludf.DUMMYFUNCTION("""COMPUTED_VALUE"""),30.0)</f>
        <v>30</v>
      </c>
      <c r="F258" s="36">
        <f>IFERROR(__xludf.DUMMYFUNCTION("""COMPUTED_VALUE"""),45.0)</f>
        <v>45</v>
      </c>
      <c r="G258" s="36">
        <f>IFERROR(__xludf.DUMMYFUNCTION("""COMPUTED_VALUE"""),199.0)</f>
        <v>199</v>
      </c>
    </row>
    <row r="259">
      <c r="A259" s="36" t="str">
        <f>IFERROR(__xludf.DUMMYFUNCTION("""COMPUTED_VALUE"""),"รพ.สารภี")</f>
        <v>รพ.สารภี</v>
      </c>
      <c r="B259" s="36" t="str">
        <f>IFERROR(__xludf.DUMMYFUNCTION("""COMPUTED_VALUE"""),"รพ.สารภี")</f>
        <v>รพ.สารภี</v>
      </c>
      <c r="C259" s="36" t="str">
        <f>IFERROR(__xludf.DUMMYFUNCTION("""COMPUTED_VALUE"""),"กลุ่มงานเภสัชกรรม")</f>
        <v>กลุ่มงานเภสัชกรรม</v>
      </c>
      <c r="D259" s="36" t="str">
        <f>IFERROR(__xludf.DUMMYFUNCTION("""COMPUTED_VALUE"""),"กลุ่มงานเภสัชกรรม")</f>
        <v>กลุ่มงานเภสัชกรรม</v>
      </c>
      <c r="E259" s="36">
        <f>IFERROR(__xludf.DUMMYFUNCTION("""COMPUTED_VALUE"""),30.0)</f>
        <v>30</v>
      </c>
      <c r="F259" s="36">
        <f>IFERROR(__xludf.DUMMYFUNCTION("""COMPUTED_VALUE"""),45.0)</f>
        <v>45</v>
      </c>
      <c r="G259" s="36">
        <f>IFERROR(__xludf.DUMMYFUNCTION("""COMPUTED_VALUE"""),199.0)</f>
        <v>199</v>
      </c>
    </row>
    <row r="260">
      <c r="A260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B260" s="36" t="str">
        <f>IFERROR(__xludf.DUMMYFUNCTION("""COMPUTED_VALUE"""),"ภารกิจด้านอำนวยการ")</f>
        <v>ภารกิจด้านอำนวยการ</v>
      </c>
      <c r="C260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D260" s="36" t="str">
        <f>IFERROR(__xludf.DUMMYFUNCTION("""COMPUTED_VALUE"""),"กลุ่มงานโครงสร้างพื้นฐานและวิศวกรรมทางการแพทย์")</f>
        <v>กลุ่มงานโครงสร้างพื้นฐานและวิศวกรรมทางการแพทย์</v>
      </c>
      <c r="E260" s="36">
        <f>IFERROR(__xludf.DUMMYFUNCTION("""COMPUTED_VALUE"""),2.0)</f>
        <v>2</v>
      </c>
      <c r="F260" s="36">
        <f>IFERROR(__xludf.DUMMYFUNCTION("""COMPUTED_VALUE"""),20.0)</f>
        <v>20</v>
      </c>
      <c r="G260" s="36">
        <f>IFERROR(__xludf.DUMMYFUNCTION("""COMPUTED_VALUE"""),85.0)</f>
        <v>85</v>
      </c>
    </row>
    <row r="261">
      <c r="A261" s="36" t="str">
        <f>IFERROR(__xludf.DUMMYFUNCTION("""COMPUTED_VALUE"""),"กลุ่มงานเวชกรรมสังคม")</f>
        <v>กลุ่มงานเวชกรรมสังคม</v>
      </c>
      <c r="B261" s="36" t="str">
        <f>IFERROR(__xludf.DUMMYFUNCTION("""COMPUTED_VALUE"""),"ภารกิจด้านบริการปฐมภูมิ")</f>
        <v>ภารกิจด้านบริการปฐมภูมิ</v>
      </c>
      <c r="C261" s="36" t="str">
        <f>IFERROR(__xludf.DUMMYFUNCTION("""COMPUTED_VALUE"""),"กลุ่มงานส่งเสริมป้องกันควบคุมโรค")</f>
        <v>กลุ่มงานส่งเสริมป้องกันควบคุมโรค</v>
      </c>
      <c r="D261" s="36" t="str">
        <f>IFERROR(__xludf.DUMMYFUNCTION("""COMPUTED_VALUE"""),"กลุ่มงานส่งเสริมป้องกันควบคุมโรค")</f>
        <v>กลุ่มงานส่งเสริมป้องกันควบคุมโรค</v>
      </c>
      <c r="E261" s="36">
        <f>IFERROR(__xludf.DUMMYFUNCTION("""COMPUTED_VALUE"""),25.0)</f>
        <v>25</v>
      </c>
      <c r="F261" s="36">
        <f>IFERROR(__xludf.DUMMYFUNCTION("""COMPUTED_VALUE"""),25.0)</f>
        <v>25</v>
      </c>
      <c r="G261" s="36">
        <f>IFERROR(__xludf.DUMMYFUNCTION("""COMPUTED_VALUE"""),66.0)</f>
        <v>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45" t="s">
        <v>3941</v>
      </c>
      <c r="B1" s="45" t="s">
        <v>3942</v>
      </c>
      <c r="C1" s="45" t="s">
        <v>3943</v>
      </c>
      <c r="D1" s="45" t="s">
        <v>605</v>
      </c>
      <c r="E1" s="45" t="s">
        <v>930</v>
      </c>
    </row>
  </sheetData>
  <drawing r:id="rId1"/>
</worksheet>
</file>